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agehanson/Documents/"/>
    </mc:Choice>
  </mc:AlternateContent>
  <xr:revisionPtr revIDLastSave="0" documentId="8_{FDE0D4BF-3542-C443-8547-B62F99052E2D}" xr6:coauthVersionLast="47" xr6:coauthVersionMax="47" xr10:uidLastSave="{00000000-0000-0000-0000-000000000000}"/>
  <bookViews>
    <workbookView xWindow="160" yWindow="1080" windowWidth="26440" windowHeight="14480" firstSheet="1" activeTab="3" xr2:uid="{00000000-000D-0000-FFFF-FFFF00000000}"/>
  </bookViews>
  <sheets>
    <sheet name="Outcome by Parent Category" sheetId="2" r:id="rId1"/>
    <sheet name="Outcome by Sub Category" sheetId="3" r:id="rId2"/>
    <sheet name="Outcome by month" sheetId="9" r:id="rId3"/>
    <sheet name="Backer Count (frfr)" sheetId="12" r:id="rId4"/>
    <sheet name="Sheet1" sheetId="13" r:id="rId5"/>
    <sheet name="Outcomes Based on Goal" sheetId="10" r:id="rId6"/>
    <sheet name="Crowdfunding (2)" sheetId="8" r:id="rId7"/>
    <sheet name="Sheet2" sheetId="14" r:id="rId8"/>
    <sheet name="Crowdfunding" sheetId="1" r:id="rId9"/>
  </sheets>
  <definedNames>
    <definedName name="_xlnm._FilterDatabase" localSheetId="3" hidden="1">'Backer Count (frfr)'!$A$1:$C$1</definedName>
  </definedNames>
  <calcPr calcId="191028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12" l="1"/>
  <c r="J7" i="13"/>
  <c r="J10" i="13"/>
  <c r="H27" i="12"/>
  <c r="H14" i="12" a="1"/>
  <c r="H14" i="12"/>
  <c r="H21" i="12"/>
  <c r="H18" i="12"/>
  <c r="R18" i="2"/>
  <c r="Q23" i="2"/>
  <c r="Q24" i="2"/>
  <c r="Q25" i="2"/>
  <c r="Q26" i="2"/>
  <c r="Q27" i="2"/>
  <c r="Q28" i="2"/>
  <c r="Q29" i="2"/>
  <c r="Q30" i="2"/>
  <c r="Q22" i="2"/>
  <c r="R30" i="2"/>
  <c r="R23" i="2"/>
  <c r="R24" i="2"/>
  <c r="R25" i="2"/>
  <c r="R26" i="2"/>
  <c r="R27" i="2"/>
  <c r="R28" i="2"/>
  <c r="R29" i="2"/>
  <c r="R22" i="2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5" i="3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H22" i="12"/>
  <c r="H19" i="12"/>
  <c r="H16" i="12" a="1"/>
  <c r="H16" i="12"/>
  <c r="H11" i="12"/>
  <c r="H10" i="12"/>
  <c r="H8" i="12"/>
  <c r="H7" i="12"/>
  <c r="E13" i="10"/>
  <c r="E12" i="10"/>
  <c r="E11" i="10"/>
  <c r="E10" i="10"/>
  <c r="E9" i="10"/>
  <c r="E8" i="10"/>
  <c r="E7" i="10"/>
  <c r="E6" i="10"/>
  <c r="E5" i="10"/>
  <c r="E4" i="10"/>
  <c r="E3" i="10"/>
  <c r="E2" i="10"/>
  <c r="D13" i="10"/>
  <c r="D12" i="10"/>
  <c r="D11" i="10"/>
  <c r="D10" i="10"/>
  <c r="D9" i="10"/>
  <c r="D8" i="10"/>
  <c r="D7" i="10"/>
  <c r="D6" i="10"/>
  <c r="D5" i="10"/>
  <c r="D4" i="10"/>
  <c r="D3" i="10"/>
  <c r="D2" i="10"/>
  <c r="C13" i="10"/>
  <c r="C12" i="10"/>
  <c r="C11" i="10"/>
  <c r="C10" i="10"/>
  <c r="C9" i="10"/>
  <c r="C2" i="10"/>
  <c r="C8" i="10"/>
  <c r="C7" i="10"/>
  <c r="C6" i="10"/>
  <c r="C5" i="10"/>
  <c r="C4" i="10"/>
  <c r="C3" i="10"/>
  <c r="B13" i="10"/>
  <c r="B12" i="10"/>
  <c r="B11" i="10"/>
  <c r="B9" i="10"/>
  <c r="B10" i="10"/>
  <c r="B8" i="10"/>
  <c r="B7" i="10"/>
  <c r="B6" i="10"/>
  <c r="B5" i="10"/>
  <c r="B4" i="10"/>
  <c r="B3" i="10"/>
  <c r="F3" i="10"/>
  <c r="G3" i="10"/>
  <c r="H3" i="10"/>
  <c r="F4" i="10"/>
  <c r="G4" i="10"/>
  <c r="H4" i="10"/>
  <c r="F5" i="10"/>
  <c r="G5" i="10"/>
  <c r="H5" i="10"/>
  <c r="F6" i="10"/>
  <c r="G6" i="10"/>
  <c r="H6" i="10"/>
  <c r="F7" i="10"/>
  <c r="G7" i="10"/>
  <c r="H7" i="10"/>
  <c r="F8" i="10"/>
  <c r="G8" i="10"/>
  <c r="H8" i="10"/>
  <c r="F9" i="10"/>
  <c r="G9" i="10"/>
  <c r="H9" i="10"/>
  <c r="G10" i="10"/>
  <c r="H10" i="10"/>
  <c r="G11" i="10"/>
  <c r="H11" i="10"/>
  <c r="G12" i="10"/>
  <c r="H12" i="10"/>
  <c r="G13" i="10"/>
  <c r="H13" i="10"/>
  <c r="H2" i="10"/>
  <c r="G2" i="10"/>
  <c r="B2" i="10"/>
  <c r="F2" i="10" s="1"/>
  <c r="F10" i="10"/>
  <c r="F11" i="10"/>
  <c r="F12" i="10"/>
  <c r="F13" i="10"/>
  <c r="R1001" i="8" a="1"/>
  <c r="R1001" i="8" s="1"/>
  <c r="F1001" i="8"/>
  <c r="R1000" i="8" a="1"/>
  <c r="R1000" i="8" s="1"/>
  <c r="F1000" i="8"/>
  <c r="R999" i="8" a="1"/>
  <c r="R999" i="8" s="1"/>
  <c r="F999" i="8"/>
  <c r="R998" i="8" a="1"/>
  <c r="R998" i="8" s="1"/>
  <c r="F998" i="8"/>
  <c r="R997" i="8" a="1"/>
  <c r="R997" i="8" s="1"/>
  <c r="F997" i="8"/>
  <c r="R996" i="8" a="1"/>
  <c r="R996" i="8" s="1"/>
  <c r="F996" i="8"/>
  <c r="R995" i="8" a="1"/>
  <c r="R995" i="8" s="1"/>
  <c r="F995" i="8"/>
  <c r="R994" i="8" a="1"/>
  <c r="R994" i="8" s="1"/>
  <c r="F994" i="8"/>
  <c r="R993" i="8" a="1"/>
  <c r="R993" i="8" s="1"/>
  <c r="F993" i="8"/>
  <c r="R992" i="8" a="1"/>
  <c r="R992" i="8" s="1"/>
  <c r="F992" i="8"/>
  <c r="R991" i="8" a="1"/>
  <c r="R991" i="8" s="1"/>
  <c r="F991" i="8"/>
  <c r="R990" i="8" a="1"/>
  <c r="R990" i="8" s="1"/>
  <c r="F990" i="8"/>
  <c r="R989" i="8" a="1"/>
  <c r="R989" i="8" s="1"/>
  <c r="F989" i="8"/>
  <c r="R988" i="8" a="1"/>
  <c r="R988" i="8" s="1"/>
  <c r="F988" i="8"/>
  <c r="R987" i="8" a="1"/>
  <c r="R987" i="8" s="1"/>
  <c r="F987" i="8"/>
  <c r="R986" i="8" a="1"/>
  <c r="R986" i="8" s="1"/>
  <c r="F986" i="8"/>
  <c r="R985" i="8" a="1"/>
  <c r="R985" i="8" s="1"/>
  <c r="F985" i="8"/>
  <c r="R984" i="8" a="1"/>
  <c r="R984" i="8" s="1"/>
  <c r="F984" i="8"/>
  <c r="R983" i="8" a="1"/>
  <c r="R983" i="8" s="1"/>
  <c r="F983" i="8"/>
  <c r="R982" i="8" a="1"/>
  <c r="R982" i="8" s="1"/>
  <c r="F982" i="8"/>
  <c r="R981" i="8" a="1"/>
  <c r="R981" i="8" s="1"/>
  <c r="F981" i="8"/>
  <c r="R980" i="8" a="1"/>
  <c r="R980" i="8" s="1"/>
  <c r="F980" i="8"/>
  <c r="R979" i="8" a="1"/>
  <c r="R979" i="8" s="1"/>
  <c r="F979" i="8"/>
  <c r="R978" i="8" a="1"/>
  <c r="R978" i="8" s="1"/>
  <c r="F978" i="8"/>
  <c r="R977" i="8" a="1"/>
  <c r="R977" i="8" s="1"/>
  <c r="F977" i="8"/>
  <c r="R976" i="8" a="1"/>
  <c r="R976" i="8" s="1"/>
  <c r="F976" i="8"/>
  <c r="R975" i="8" a="1"/>
  <c r="R975" i="8" s="1"/>
  <c r="F975" i="8"/>
  <c r="R974" i="8" a="1"/>
  <c r="R974" i="8" s="1"/>
  <c r="F974" i="8"/>
  <c r="R973" i="8" a="1"/>
  <c r="R973" i="8" s="1"/>
  <c r="F973" i="8"/>
  <c r="R972" i="8" a="1"/>
  <c r="R972" i="8" s="1"/>
  <c r="F972" i="8"/>
  <c r="R971" i="8" a="1"/>
  <c r="R971" i="8" s="1"/>
  <c r="F971" i="8"/>
  <c r="R970" i="8" a="1"/>
  <c r="R970" i="8" s="1"/>
  <c r="F970" i="8"/>
  <c r="R969" i="8" a="1"/>
  <c r="R969" i="8" s="1"/>
  <c r="F969" i="8"/>
  <c r="R968" i="8" a="1"/>
  <c r="R968" i="8" s="1"/>
  <c r="F968" i="8"/>
  <c r="R967" i="8" a="1"/>
  <c r="R967" i="8" s="1"/>
  <c r="F967" i="8"/>
  <c r="R966" i="8" a="1"/>
  <c r="R966" i="8" s="1"/>
  <c r="F966" i="8"/>
  <c r="R965" i="8" a="1"/>
  <c r="R965" i="8" s="1"/>
  <c r="F965" i="8"/>
  <c r="R964" i="8" a="1"/>
  <c r="R964" i="8" s="1"/>
  <c r="F964" i="8"/>
  <c r="R963" i="8" a="1"/>
  <c r="R963" i="8" s="1"/>
  <c r="F963" i="8"/>
  <c r="R962" i="8" a="1"/>
  <c r="R962" i="8" s="1"/>
  <c r="F962" i="8"/>
  <c r="R961" i="8" a="1"/>
  <c r="R961" i="8" s="1"/>
  <c r="F961" i="8"/>
  <c r="R960" i="8" a="1"/>
  <c r="R960" i="8" s="1"/>
  <c r="F960" i="8"/>
  <c r="R959" i="8" a="1"/>
  <c r="R959" i="8" s="1"/>
  <c r="F959" i="8"/>
  <c r="R958" i="8" a="1"/>
  <c r="R958" i="8" s="1"/>
  <c r="F958" i="8"/>
  <c r="R957" i="8" a="1"/>
  <c r="R957" i="8" s="1"/>
  <c r="F957" i="8"/>
  <c r="R956" i="8" a="1"/>
  <c r="R956" i="8" s="1"/>
  <c r="F956" i="8"/>
  <c r="R955" i="8" a="1"/>
  <c r="R955" i="8" s="1"/>
  <c r="F955" i="8"/>
  <c r="R954" i="8" a="1"/>
  <c r="R954" i="8" s="1"/>
  <c r="F954" i="8"/>
  <c r="R953" i="8" a="1"/>
  <c r="R953" i="8" s="1"/>
  <c r="F953" i="8"/>
  <c r="R952" i="8" a="1"/>
  <c r="R952" i="8" s="1"/>
  <c r="F952" i="8"/>
  <c r="R951" i="8" a="1"/>
  <c r="R951" i="8" s="1"/>
  <c r="F951" i="8"/>
  <c r="R950" i="8" a="1"/>
  <c r="R950" i="8" s="1"/>
  <c r="F950" i="8"/>
  <c r="R949" i="8" a="1"/>
  <c r="R949" i="8" s="1"/>
  <c r="F949" i="8"/>
  <c r="R948" i="8" a="1"/>
  <c r="R948" i="8" s="1"/>
  <c r="F948" i="8"/>
  <c r="R947" i="8" a="1"/>
  <c r="R947" i="8" s="1"/>
  <c r="F947" i="8"/>
  <c r="R946" i="8" a="1"/>
  <c r="R946" i="8" s="1"/>
  <c r="F946" i="8"/>
  <c r="R945" i="8" a="1"/>
  <c r="R945" i="8" s="1"/>
  <c r="F945" i="8"/>
  <c r="R944" i="8" a="1"/>
  <c r="R944" i="8" s="1"/>
  <c r="F944" i="8"/>
  <c r="R943" i="8" a="1"/>
  <c r="R943" i="8" s="1"/>
  <c r="F943" i="8"/>
  <c r="R942" i="8" a="1"/>
  <c r="R942" i="8" s="1"/>
  <c r="F942" i="8"/>
  <c r="R941" i="8" a="1"/>
  <c r="R941" i="8" s="1"/>
  <c r="F941" i="8"/>
  <c r="R940" i="8" a="1"/>
  <c r="R940" i="8" s="1"/>
  <c r="F940" i="8"/>
  <c r="R939" i="8" a="1"/>
  <c r="R939" i="8" s="1"/>
  <c r="F939" i="8"/>
  <c r="R938" i="8" a="1"/>
  <c r="R938" i="8" s="1"/>
  <c r="F938" i="8"/>
  <c r="R937" i="8" a="1"/>
  <c r="R937" i="8" s="1"/>
  <c r="F937" i="8"/>
  <c r="R936" i="8" a="1"/>
  <c r="R936" i="8" s="1"/>
  <c r="F936" i="8"/>
  <c r="R935" i="8" a="1"/>
  <c r="R935" i="8" s="1"/>
  <c r="F935" i="8"/>
  <c r="R934" i="8" a="1"/>
  <c r="R934" i="8" s="1"/>
  <c r="F934" i="8"/>
  <c r="R933" i="8" a="1"/>
  <c r="R933" i="8" s="1"/>
  <c r="F933" i="8"/>
  <c r="R932" i="8" a="1"/>
  <c r="R932" i="8" s="1"/>
  <c r="F932" i="8"/>
  <c r="R931" i="8" a="1"/>
  <c r="R931" i="8" s="1"/>
  <c r="F931" i="8"/>
  <c r="R930" i="8" a="1"/>
  <c r="R930" i="8" s="1"/>
  <c r="F930" i="8"/>
  <c r="R929" i="8" a="1"/>
  <c r="R929" i="8" s="1"/>
  <c r="F929" i="8"/>
  <c r="R928" i="8" a="1"/>
  <c r="R928" i="8" s="1"/>
  <c r="F928" i="8"/>
  <c r="R927" i="8" a="1"/>
  <c r="R927" i="8" s="1"/>
  <c r="F927" i="8"/>
  <c r="R926" i="8" a="1"/>
  <c r="R926" i="8" s="1"/>
  <c r="F926" i="8"/>
  <c r="R925" i="8" a="1"/>
  <c r="R925" i="8" s="1"/>
  <c r="F925" i="8"/>
  <c r="R924" i="8" a="1"/>
  <c r="R924" i="8" s="1"/>
  <c r="F924" i="8"/>
  <c r="R923" i="8" a="1"/>
  <c r="R923" i="8" s="1"/>
  <c r="F923" i="8"/>
  <c r="R922" i="8" a="1"/>
  <c r="R922" i="8" s="1"/>
  <c r="F922" i="8"/>
  <c r="R921" i="8" a="1"/>
  <c r="R921" i="8" s="1"/>
  <c r="F921" i="8"/>
  <c r="R920" i="8" a="1"/>
  <c r="R920" i="8" s="1"/>
  <c r="F920" i="8"/>
  <c r="R919" i="8" a="1"/>
  <c r="R919" i="8" s="1"/>
  <c r="F919" i="8"/>
  <c r="R918" i="8" a="1"/>
  <c r="R918" i="8" s="1"/>
  <c r="F918" i="8"/>
  <c r="R917" i="8" a="1"/>
  <c r="R917" i="8" s="1"/>
  <c r="F917" i="8"/>
  <c r="R916" i="8" a="1"/>
  <c r="R916" i="8" s="1"/>
  <c r="F916" i="8"/>
  <c r="R915" i="8" a="1"/>
  <c r="R915" i="8" s="1"/>
  <c r="F915" i="8"/>
  <c r="R914" i="8" a="1"/>
  <c r="R914" i="8" s="1"/>
  <c r="F914" i="8"/>
  <c r="R913" i="8" a="1"/>
  <c r="R913" i="8" s="1"/>
  <c r="F913" i="8"/>
  <c r="R912" i="8" a="1"/>
  <c r="R912" i="8" s="1"/>
  <c r="F912" i="8"/>
  <c r="R911" i="8" a="1"/>
  <c r="R911" i="8" s="1"/>
  <c r="F911" i="8"/>
  <c r="R910" i="8" a="1"/>
  <c r="R910" i="8" s="1"/>
  <c r="F910" i="8"/>
  <c r="R909" i="8" a="1"/>
  <c r="R909" i="8" s="1"/>
  <c r="F909" i="8"/>
  <c r="R908" i="8" a="1"/>
  <c r="R908" i="8" s="1"/>
  <c r="F908" i="8"/>
  <c r="R907" i="8" a="1"/>
  <c r="R907" i="8" s="1"/>
  <c r="F907" i="8"/>
  <c r="R906" i="8" a="1"/>
  <c r="R906" i="8" s="1"/>
  <c r="F906" i="8"/>
  <c r="R905" i="8" a="1"/>
  <c r="R905" i="8" s="1"/>
  <c r="F905" i="8"/>
  <c r="R904" i="8" a="1"/>
  <c r="R904" i="8" s="1"/>
  <c r="F904" i="8"/>
  <c r="R903" i="8" a="1"/>
  <c r="R903" i="8" s="1"/>
  <c r="F903" i="8"/>
  <c r="R902" i="8" a="1"/>
  <c r="R902" i="8" s="1"/>
  <c r="F902" i="8"/>
  <c r="R901" i="8" a="1"/>
  <c r="R901" i="8" s="1"/>
  <c r="F901" i="8"/>
  <c r="R900" i="8" a="1"/>
  <c r="R900" i="8" s="1"/>
  <c r="F900" i="8"/>
  <c r="R899" i="8" a="1"/>
  <c r="R899" i="8" s="1"/>
  <c r="F899" i="8"/>
  <c r="R898" i="8" a="1"/>
  <c r="R898" i="8" s="1"/>
  <c r="F898" i="8"/>
  <c r="R897" i="8" a="1"/>
  <c r="R897" i="8" s="1"/>
  <c r="F897" i="8"/>
  <c r="R896" i="8" a="1"/>
  <c r="R896" i="8" s="1"/>
  <c r="F896" i="8"/>
  <c r="R895" i="8" a="1"/>
  <c r="R895" i="8" s="1"/>
  <c r="F895" i="8"/>
  <c r="R894" i="8" a="1"/>
  <c r="R894" i="8" s="1"/>
  <c r="F894" i="8"/>
  <c r="R893" i="8" a="1"/>
  <c r="R893" i="8" s="1"/>
  <c r="F893" i="8"/>
  <c r="R892" i="8" a="1"/>
  <c r="R892" i="8" s="1"/>
  <c r="F892" i="8"/>
  <c r="R891" i="8" a="1"/>
  <c r="R891" i="8" s="1"/>
  <c r="F891" i="8"/>
  <c r="R890" i="8" a="1"/>
  <c r="R890" i="8" s="1"/>
  <c r="F890" i="8"/>
  <c r="R889" i="8" a="1"/>
  <c r="R889" i="8" s="1"/>
  <c r="F889" i="8"/>
  <c r="R888" i="8" a="1"/>
  <c r="R888" i="8" s="1"/>
  <c r="F888" i="8"/>
  <c r="R887" i="8" a="1"/>
  <c r="R887" i="8" s="1"/>
  <c r="F887" i="8"/>
  <c r="R886" i="8" a="1"/>
  <c r="R886" i="8" s="1"/>
  <c r="F886" i="8"/>
  <c r="R885" i="8" a="1"/>
  <c r="R885" i="8" s="1"/>
  <c r="F885" i="8"/>
  <c r="R884" i="8" a="1"/>
  <c r="R884" i="8" s="1"/>
  <c r="F884" i="8"/>
  <c r="R883" i="8" a="1"/>
  <c r="R883" i="8" s="1"/>
  <c r="F883" i="8"/>
  <c r="R882" i="8" a="1"/>
  <c r="R882" i="8" s="1"/>
  <c r="F882" i="8"/>
  <c r="R881" i="8" a="1"/>
  <c r="R881" i="8" s="1"/>
  <c r="F881" i="8"/>
  <c r="R880" i="8" a="1"/>
  <c r="R880" i="8" s="1"/>
  <c r="F880" i="8"/>
  <c r="R879" i="8" a="1"/>
  <c r="R879" i="8" s="1"/>
  <c r="F879" i="8"/>
  <c r="R878" i="8" a="1"/>
  <c r="R878" i="8" s="1"/>
  <c r="F878" i="8"/>
  <c r="R877" i="8" a="1"/>
  <c r="R877" i="8" s="1"/>
  <c r="F877" i="8"/>
  <c r="R876" i="8" a="1"/>
  <c r="R876" i="8" s="1"/>
  <c r="F876" i="8"/>
  <c r="R875" i="8" a="1"/>
  <c r="R875" i="8" s="1"/>
  <c r="F875" i="8"/>
  <c r="R874" i="8" a="1"/>
  <c r="R874" i="8" s="1"/>
  <c r="F874" i="8"/>
  <c r="R873" i="8" a="1"/>
  <c r="R873" i="8" s="1"/>
  <c r="F873" i="8"/>
  <c r="R872" i="8" a="1"/>
  <c r="R872" i="8" s="1"/>
  <c r="F872" i="8"/>
  <c r="R871" i="8" a="1"/>
  <c r="R871" i="8" s="1"/>
  <c r="F871" i="8"/>
  <c r="R870" i="8" a="1"/>
  <c r="R870" i="8" s="1"/>
  <c r="F870" i="8"/>
  <c r="R869" i="8" a="1"/>
  <c r="R869" i="8" s="1"/>
  <c r="F869" i="8"/>
  <c r="R868" i="8" a="1"/>
  <c r="R868" i="8" s="1"/>
  <c r="F868" i="8"/>
  <c r="R867" i="8" a="1"/>
  <c r="R867" i="8" s="1"/>
  <c r="F867" i="8"/>
  <c r="R866" i="8" a="1"/>
  <c r="R866" i="8" s="1"/>
  <c r="F866" i="8"/>
  <c r="R865" i="8" a="1"/>
  <c r="R865" i="8" s="1"/>
  <c r="F865" i="8"/>
  <c r="R864" i="8" a="1"/>
  <c r="R864" i="8" s="1"/>
  <c r="F864" i="8"/>
  <c r="R863" i="8" a="1"/>
  <c r="R863" i="8" s="1"/>
  <c r="F863" i="8"/>
  <c r="R862" i="8" a="1"/>
  <c r="R862" i="8" s="1"/>
  <c r="F862" i="8"/>
  <c r="R861" i="8" a="1"/>
  <c r="R861" i="8" s="1"/>
  <c r="F861" i="8"/>
  <c r="R860" i="8" a="1"/>
  <c r="R860" i="8" s="1"/>
  <c r="F860" i="8"/>
  <c r="R859" i="8" a="1"/>
  <c r="R859" i="8" s="1"/>
  <c r="F859" i="8"/>
  <c r="R858" i="8" a="1"/>
  <c r="R858" i="8" s="1"/>
  <c r="F858" i="8"/>
  <c r="R857" i="8" a="1"/>
  <c r="R857" i="8" s="1"/>
  <c r="F857" i="8"/>
  <c r="R856" i="8" a="1"/>
  <c r="R856" i="8" s="1"/>
  <c r="F856" i="8"/>
  <c r="R855" i="8" a="1"/>
  <c r="R855" i="8" s="1"/>
  <c r="F855" i="8"/>
  <c r="R854" i="8" a="1"/>
  <c r="R854" i="8" s="1"/>
  <c r="F854" i="8"/>
  <c r="R853" i="8" a="1"/>
  <c r="R853" i="8" s="1"/>
  <c r="F853" i="8"/>
  <c r="R852" i="8" a="1"/>
  <c r="R852" i="8" s="1"/>
  <c r="F852" i="8"/>
  <c r="R851" i="8" a="1"/>
  <c r="R851" i="8" s="1"/>
  <c r="F851" i="8"/>
  <c r="R850" i="8" a="1"/>
  <c r="R850" i="8" s="1"/>
  <c r="F850" i="8"/>
  <c r="R849" i="8" a="1"/>
  <c r="R849" i="8" s="1"/>
  <c r="F849" i="8"/>
  <c r="R848" i="8" a="1"/>
  <c r="R848" i="8" s="1"/>
  <c r="F848" i="8"/>
  <c r="R847" i="8" a="1"/>
  <c r="R847" i="8" s="1"/>
  <c r="F847" i="8"/>
  <c r="R846" i="8" a="1"/>
  <c r="R846" i="8" s="1"/>
  <c r="F846" i="8"/>
  <c r="R845" i="8" a="1"/>
  <c r="R845" i="8" s="1"/>
  <c r="F845" i="8"/>
  <c r="R844" i="8" a="1"/>
  <c r="R844" i="8" s="1"/>
  <c r="F844" i="8"/>
  <c r="R843" i="8" a="1"/>
  <c r="R843" i="8" s="1"/>
  <c r="F843" i="8"/>
  <c r="R842" i="8" a="1"/>
  <c r="R842" i="8" s="1"/>
  <c r="F842" i="8"/>
  <c r="R841" i="8" a="1"/>
  <c r="R841" i="8" s="1"/>
  <c r="F841" i="8"/>
  <c r="R840" i="8" a="1"/>
  <c r="R840" i="8" s="1"/>
  <c r="F840" i="8"/>
  <c r="R839" i="8" a="1"/>
  <c r="R839" i="8" s="1"/>
  <c r="F839" i="8"/>
  <c r="R838" i="8" a="1"/>
  <c r="R838" i="8" s="1"/>
  <c r="F838" i="8"/>
  <c r="R837" i="8" a="1"/>
  <c r="R837" i="8" s="1"/>
  <c r="F837" i="8"/>
  <c r="R836" i="8" a="1"/>
  <c r="R836" i="8" s="1"/>
  <c r="F836" i="8"/>
  <c r="R835" i="8" a="1"/>
  <c r="R835" i="8" s="1"/>
  <c r="F835" i="8"/>
  <c r="R834" i="8" a="1"/>
  <c r="R834" i="8" s="1"/>
  <c r="F834" i="8"/>
  <c r="R833" i="8" a="1"/>
  <c r="R833" i="8" s="1"/>
  <c r="F833" i="8"/>
  <c r="R832" i="8" a="1"/>
  <c r="R832" i="8" s="1"/>
  <c r="F832" i="8"/>
  <c r="R831" i="8" a="1"/>
  <c r="R831" i="8" s="1"/>
  <c r="F831" i="8"/>
  <c r="R830" i="8" a="1"/>
  <c r="R830" i="8" s="1"/>
  <c r="F830" i="8"/>
  <c r="R829" i="8" a="1"/>
  <c r="R829" i="8" s="1"/>
  <c r="F829" i="8"/>
  <c r="R828" i="8" a="1"/>
  <c r="R828" i="8" s="1"/>
  <c r="F828" i="8"/>
  <c r="R827" i="8" a="1"/>
  <c r="R827" i="8" s="1"/>
  <c r="F827" i="8"/>
  <c r="R826" i="8" a="1"/>
  <c r="R826" i="8" s="1"/>
  <c r="F826" i="8"/>
  <c r="R825" i="8" a="1"/>
  <c r="R825" i="8" s="1"/>
  <c r="F825" i="8"/>
  <c r="R824" i="8" a="1"/>
  <c r="R824" i="8" s="1"/>
  <c r="F824" i="8"/>
  <c r="R823" i="8" a="1"/>
  <c r="R823" i="8" s="1"/>
  <c r="F823" i="8"/>
  <c r="R822" i="8" a="1"/>
  <c r="R822" i="8" s="1"/>
  <c r="F822" i="8"/>
  <c r="R821" i="8" a="1"/>
  <c r="R821" i="8" s="1"/>
  <c r="F821" i="8"/>
  <c r="R820" i="8" a="1"/>
  <c r="R820" i="8" s="1"/>
  <c r="F820" i="8"/>
  <c r="R819" i="8" a="1"/>
  <c r="R819" i="8" s="1"/>
  <c r="F819" i="8"/>
  <c r="R818" i="8" a="1"/>
  <c r="R818" i="8" s="1"/>
  <c r="F818" i="8"/>
  <c r="R817" i="8" a="1"/>
  <c r="R817" i="8" s="1"/>
  <c r="F817" i="8"/>
  <c r="R816" i="8" a="1"/>
  <c r="R816" i="8" s="1"/>
  <c r="F816" i="8"/>
  <c r="R815" i="8" a="1"/>
  <c r="R815" i="8" s="1"/>
  <c r="F815" i="8"/>
  <c r="R814" i="8" a="1"/>
  <c r="R814" i="8" s="1"/>
  <c r="F814" i="8"/>
  <c r="R813" i="8" a="1"/>
  <c r="R813" i="8" s="1"/>
  <c r="F813" i="8"/>
  <c r="R812" i="8" a="1"/>
  <c r="R812" i="8" s="1"/>
  <c r="F812" i="8"/>
  <c r="R811" i="8" a="1"/>
  <c r="R811" i="8" s="1"/>
  <c r="F811" i="8"/>
  <c r="R810" i="8" a="1"/>
  <c r="R810" i="8" s="1"/>
  <c r="F810" i="8"/>
  <c r="R809" i="8" a="1"/>
  <c r="R809" i="8" s="1"/>
  <c r="F809" i="8"/>
  <c r="R808" i="8" a="1"/>
  <c r="R808" i="8" s="1"/>
  <c r="F808" i="8"/>
  <c r="R807" i="8" a="1"/>
  <c r="R807" i="8" s="1"/>
  <c r="F807" i="8"/>
  <c r="R806" i="8" a="1"/>
  <c r="R806" i="8" s="1"/>
  <c r="F806" i="8"/>
  <c r="R805" i="8" a="1"/>
  <c r="R805" i="8" s="1"/>
  <c r="F805" i="8"/>
  <c r="R804" i="8" a="1"/>
  <c r="R804" i="8" s="1"/>
  <c r="F804" i="8"/>
  <c r="R803" i="8" a="1"/>
  <c r="R803" i="8" s="1"/>
  <c r="F803" i="8"/>
  <c r="R802" i="8" a="1"/>
  <c r="R802" i="8" s="1"/>
  <c r="F802" i="8"/>
  <c r="R801" i="8" a="1"/>
  <c r="R801" i="8" s="1"/>
  <c r="F801" i="8"/>
  <c r="R800" i="8" a="1"/>
  <c r="R800" i="8" s="1"/>
  <c r="F800" i="8"/>
  <c r="R799" i="8" a="1"/>
  <c r="R799" i="8" s="1"/>
  <c r="F799" i="8"/>
  <c r="R798" i="8" a="1"/>
  <c r="R798" i="8" s="1"/>
  <c r="F798" i="8"/>
  <c r="R797" i="8" a="1"/>
  <c r="R797" i="8" s="1"/>
  <c r="F797" i="8"/>
  <c r="R796" i="8" a="1"/>
  <c r="R796" i="8" s="1"/>
  <c r="F796" i="8"/>
  <c r="R795" i="8" a="1"/>
  <c r="R795" i="8" s="1"/>
  <c r="F795" i="8"/>
  <c r="R794" i="8" a="1"/>
  <c r="R794" i="8" s="1"/>
  <c r="F794" i="8"/>
  <c r="R793" i="8" a="1"/>
  <c r="R793" i="8" s="1"/>
  <c r="F793" i="8"/>
  <c r="R792" i="8" a="1"/>
  <c r="R792" i="8" s="1"/>
  <c r="F792" i="8"/>
  <c r="R791" i="8" a="1"/>
  <c r="R791" i="8" s="1"/>
  <c r="F791" i="8"/>
  <c r="R790" i="8" a="1"/>
  <c r="R790" i="8" s="1"/>
  <c r="F790" i="8"/>
  <c r="R789" i="8" a="1"/>
  <c r="R789" i="8" s="1"/>
  <c r="F789" i="8"/>
  <c r="R788" i="8" a="1"/>
  <c r="R788" i="8" s="1"/>
  <c r="F788" i="8"/>
  <c r="R787" i="8" a="1"/>
  <c r="R787" i="8" s="1"/>
  <c r="F787" i="8"/>
  <c r="R786" i="8" a="1"/>
  <c r="R786" i="8" s="1"/>
  <c r="F786" i="8"/>
  <c r="R785" i="8" a="1"/>
  <c r="R785" i="8" s="1"/>
  <c r="F785" i="8"/>
  <c r="R784" i="8" a="1"/>
  <c r="R784" i="8" s="1"/>
  <c r="F784" i="8"/>
  <c r="R783" i="8" a="1"/>
  <c r="R783" i="8" s="1"/>
  <c r="F783" i="8"/>
  <c r="R782" i="8" a="1"/>
  <c r="R782" i="8" s="1"/>
  <c r="F782" i="8"/>
  <c r="R781" i="8" a="1"/>
  <c r="R781" i="8" s="1"/>
  <c r="F781" i="8"/>
  <c r="R780" i="8" a="1"/>
  <c r="R780" i="8" s="1"/>
  <c r="F780" i="8"/>
  <c r="R779" i="8" a="1"/>
  <c r="R779" i="8" s="1"/>
  <c r="F779" i="8"/>
  <c r="R778" i="8" a="1"/>
  <c r="R778" i="8" s="1"/>
  <c r="F778" i="8"/>
  <c r="R777" i="8" a="1"/>
  <c r="R777" i="8" s="1"/>
  <c r="F777" i="8"/>
  <c r="R776" i="8" a="1"/>
  <c r="R776" i="8" s="1"/>
  <c r="F776" i="8"/>
  <c r="R775" i="8" a="1"/>
  <c r="R775" i="8" s="1"/>
  <c r="F775" i="8"/>
  <c r="R774" i="8" a="1"/>
  <c r="R774" i="8" s="1"/>
  <c r="F774" i="8"/>
  <c r="R773" i="8" a="1"/>
  <c r="R773" i="8" s="1"/>
  <c r="F773" i="8"/>
  <c r="R772" i="8" a="1"/>
  <c r="R772" i="8" s="1"/>
  <c r="F772" i="8"/>
  <c r="R771" i="8" a="1"/>
  <c r="R771" i="8" s="1"/>
  <c r="F771" i="8"/>
  <c r="R770" i="8" a="1"/>
  <c r="R770" i="8" s="1"/>
  <c r="F770" i="8"/>
  <c r="R769" i="8" a="1"/>
  <c r="R769" i="8" s="1"/>
  <c r="F769" i="8"/>
  <c r="R768" i="8" a="1"/>
  <c r="R768" i="8" s="1"/>
  <c r="F768" i="8"/>
  <c r="R767" i="8" a="1"/>
  <c r="R767" i="8" s="1"/>
  <c r="F767" i="8"/>
  <c r="R766" i="8" a="1"/>
  <c r="R766" i="8" s="1"/>
  <c r="F766" i="8"/>
  <c r="R765" i="8" a="1"/>
  <c r="R765" i="8" s="1"/>
  <c r="F765" i="8"/>
  <c r="R764" i="8" a="1"/>
  <c r="R764" i="8" s="1"/>
  <c r="F764" i="8"/>
  <c r="R763" i="8" a="1"/>
  <c r="R763" i="8" s="1"/>
  <c r="F763" i="8"/>
  <c r="R762" i="8" a="1"/>
  <c r="R762" i="8" s="1"/>
  <c r="F762" i="8"/>
  <c r="R761" i="8" a="1"/>
  <c r="R761" i="8" s="1"/>
  <c r="F761" i="8"/>
  <c r="R760" i="8" a="1"/>
  <c r="R760" i="8" s="1"/>
  <c r="F760" i="8"/>
  <c r="R759" i="8" a="1"/>
  <c r="R759" i="8" s="1"/>
  <c r="F759" i="8"/>
  <c r="R758" i="8" a="1"/>
  <c r="R758" i="8" s="1"/>
  <c r="F758" i="8"/>
  <c r="R757" i="8" a="1"/>
  <c r="R757" i="8" s="1"/>
  <c r="F757" i="8"/>
  <c r="R756" i="8" a="1"/>
  <c r="R756" i="8" s="1"/>
  <c r="F756" i="8"/>
  <c r="R755" i="8" a="1"/>
  <c r="R755" i="8" s="1"/>
  <c r="F755" i="8"/>
  <c r="R754" i="8" a="1"/>
  <c r="R754" i="8" s="1"/>
  <c r="F754" i="8"/>
  <c r="R753" i="8" a="1"/>
  <c r="R753" i="8" s="1"/>
  <c r="F753" i="8"/>
  <c r="R752" i="8" a="1"/>
  <c r="R752" i="8" s="1"/>
  <c r="F752" i="8"/>
  <c r="R751" i="8" a="1"/>
  <c r="R751" i="8" s="1"/>
  <c r="F751" i="8"/>
  <c r="R750" i="8" a="1"/>
  <c r="R750" i="8" s="1"/>
  <c r="F750" i="8"/>
  <c r="R749" i="8" a="1"/>
  <c r="R749" i="8" s="1"/>
  <c r="F749" i="8"/>
  <c r="R748" i="8" a="1"/>
  <c r="R748" i="8" s="1"/>
  <c r="F748" i="8"/>
  <c r="R747" i="8" a="1"/>
  <c r="R747" i="8" s="1"/>
  <c r="F747" i="8"/>
  <c r="R746" i="8" a="1"/>
  <c r="R746" i="8" s="1"/>
  <c r="F746" i="8"/>
  <c r="R745" i="8" a="1"/>
  <c r="R745" i="8" s="1"/>
  <c r="F745" i="8"/>
  <c r="R744" i="8" a="1"/>
  <c r="R744" i="8" s="1"/>
  <c r="F744" i="8"/>
  <c r="R743" i="8" a="1"/>
  <c r="R743" i="8" s="1"/>
  <c r="F743" i="8"/>
  <c r="R742" i="8" a="1"/>
  <c r="R742" i="8" s="1"/>
  <c r="F742" i="8"/>
  <c r="R741" i="8" a="1"/>
  <c r="R741" i="8" s="1"/>
  <c r="F741" i="8"/>
  <c r="R740" i="8" a="1"/>
  <c r="R740" i="8" s="1"/>
  <c r="F740" i="8"/>
  <c r="R739" i="8" a="1"/>
  <c r="R739" i="8" s="1"/>
  <c r="F739" i="8"/>
  <c r="R738" i="8" a="1"/>
  <c r="R738" i="8" s="1"/>
  <c r="F738" i="8"/>
  <c r="R737" i="8" a="1"/>
  <c r="R737" i="8" s="1"/>
  <c r="F737" i="8"/>
  <c r="R736" i="8" a="1"/>
  <c r="R736" i="8" s="1"/>
  <c r="F736" i="8"/>
  <c r="R735" i="8" a="1"/>
  <c r="R735" i="8" s="1"/>
  <c r="F735" i="8"/>
  <c r="R734" i="8" a="1"/>
  <c r="R734" i="8" s="1"/>
  <c r="F734" i="8"/>
  <c r="R733" i="8" a="1"/>
  <c r="R733" i="8" s="1"/>
  <c r="F733" i="8"/>
  <c r="R732" i="8" a="1"/>
  <c r="R732" i="8" s="1"/>
  <c r="F732" i="8"/>
  <c r="R731" i="8" a="1"/>
  <c r="R731" i="8" s="1"/>
  <c r="F731" i="8"/>
  <c r="R730" i="8" a="1"/>
  <c r="R730" i="8" s="1"/>
  <c r="F730" i="8"/>
  <c r="R729" i="8" a="1"/>
  <c r="R729" i="8" s="1"/>
  <c r="F729" i="8"/>
  <c r="R728" i="8" a="1"/>
  <c r="R728" i="8" s="1"/>
  <c r="F728" i="8"/>
  <c r="R727" i="8" a="1"/>
  <c r="R727" i="8" s="1"/>
  <c r="F727" i="8"/>
  <c r="R726" i="8" a="1"/>
  <c r="R726" i="8" s="1"/>
  <c r="F726" i="8"/>
  <c r="R725" i="8" a="1"/>
  <c r="R725" i="8" s="1"/>
  <c r="F725" i="8"/>
  <c r="R724" i="8" a="1"/>
  <c r="R724" i="8" s="1"/>
  <c r="F724" i="8"/>
  <c r="R723" i="8" a="1"/>
  <c r="R723" i="8" s="1"/>
  <c r="F723" i="8"/>
  <c r="R722" i="8" a="1"/>
  <c r="R722" i="8" s="1"/>
  <c r="F722" i="8"/>
  <c r="R721" i="8" a="1"/>
  <c r="R721" i="8" s="1"/>
  <c r="F721" i="8"/>
  <c r="R720" i="8" a="1"/>
  <c r="R720" i="8" s="1"/>
  <c r="F720" i="8"/>
  <c r="R719" i="8" a="1"/>
  <c r="R719" i="8" s="1"/>
  <c r="F719" i="8"/>
  <c r="R718" i="8" a="1"/>
  <c r="R718" i="8" s="1"/>
  <c r="F718" i="8"/>
  <c r="R717" i="8" a="1"/>
  <c r="R717" i="8" s="1"/>
  <c r="F717" i="8"/>
  <c r="R716" i="8" a="1"/>
  <c r="R716" i="8" s="1"/>
  <c r="F716" i="8"/>
  <c r="R715" i="8" a="1"/>
  <c r="R715" i="8" s="1"/>
  <c r="F715" i="8"/>
  <c r="R714" i="8" a="1"/>
  <c r="R714" i="8" s="1"/>
  <c r="F714" i="8"/>
  <c r="R713" i="8" a="1"/>
  <c r="R713" i="8" s="1"/>
  <c r="F713" i="8"/>
  <c r="R712" i="8" a="1"/>
  <c r="R712" i="8" s="1"/>
  <c r="F712" i="8"/>
  <c r="R711" i="8" a="1"/>
  <c r="R711" i="8" s="1"/>
  <c r="F711" i="8"/>
  <c r="R710" i="8" a="1"/>
  <c r="R710" i="8" s="1"/>
  <c r="F710" i="8"/>
  <c r="R709" i="8" a="1"/>
  <c r="R709" i="8" s="1"/>
  <c r="F709" i="8"/>
  <c r="R708" i="8" a="1"/>
  <c r="R708" i="8" s="1"/>
  <c r="F708" i="8"/>
  <c r="R707" i="8" a="1"/>
  <c r="R707" i="8" s="1"/>
  <c r="F707" i="8"/>
  <c r="R706" i="8" a="1"/>
  <c r="R706" i="8" s="1"/>
  <c r="F706" i="8"/>
  <c r="R705" i="8" a="1"/>
  <c r="R705" i="8" s="1"/>
  <c r="F705" i="8"/>
  <c r="R704" i="8" a="1"/>
  <c r="R704" i="8" s="1"/>
  <c r="F704" i="8"/>
  <c r="R703" i="8" a="1"/>
  <c r="R703" i="8" s="1"/>
  <c r="F703" i="8"/>
  <c r="R702" i="8" a="1"/>
  <c r="R702" i="8" s="1"/>
  <c r="F702" i="8"/>
  <c r="R701" i="8" a="1"/>
  <c r="R701" i="8" s="1"/>
  <c r="F701" i="8"/>
  <c r="R700" i="8" a="1"/>
  <c r="R700" i="8" s="1"/>
  <c r="F700" i="8"/>
  <c r="R699" i="8" a="1"/>
  <c r="R699" i="8" s="1"/>
  <c r="F699" i="8"/>
  <c r="R698" i="8" a="1"/>
  <c r="R698" i="8" s="1"/>
  <c r="F698" i="8"/>
  <c r="R697" i="8" a="1"/>
  <c r="R697" i="8" s="1"/>
  <c r="F697" i="8"/>
  <c r="R696" i="8" a="1"/>
  <c r="R696" i="8" s="1"/>
  <c r="F696" i="8"/>
  <c r="R695" i="8" a="1"/>
  <c r="R695" i="8" s="1"/>
  <c r="F695" i="8"/>
  <c r="R694" i="8" a="1"/>
  <c r="R694" i="8" s="1"/>
  <c r="F694" i="8"/>
  <c r="R693" i="8" a="1"/>
  <c r="R693" i="8" s="1"/>
  <c r="F693" i="8"/>
  <c r="R692" i="8" a="1"/>
  <c r="R692" i="8" s="1"/>
  <c r="F692" i="8"/>
  <c r="R691" i="8" a="1"/>
  <c r="R691" i="8" s="1"/>
  <c r="F691" i="8"/>
  <c r="R690" i="8" a="1"/>
  <c r="R690" i="8" s="1"/>
  <c r="F690" i="8"/>
  <c r="R689" i="8" a="1"/>
  <c r="R689" i="8" s="1"/>
  <c r="F689" i="8"/>
  <c r="R688" i="8" a="1"/>
  <c r="R688" i="8" s="1"/>
  <c r="F688" i="8"/>
  <c r="R687" i="8" a="1"/>
  <c r="R687" i="8" s="1"/>
  <c r="F687" i="8"/>
  <c r="R686" i="8" a="1"/>
  <c r="R686" i="8" s="1"/>
  <c r="F686" i="8"/>
  <c r="R685" i="8" a="1"/>
  <c r="R685" i="8" s="1"/>
  <c r="F685" i="8"/>
  <c r="R684" i="8" a="1"/>
  <c r="R684" i="8" s="1"/>
  <c r="F684" i="8"/>
  <c r="R683" i="8" a="1"/>
  <c r="R683" i="8" s="1"/>
  <c r="F683" i="8"/>
  <c r="R682" i="8" a="1"/>
  <c r="R682" i="8" s="1"/>
  <c r="F682" i="8"/>
  <c r="R681" i="8" a="1"/>
  <c r="R681" i="8" s="1"/>
  <c r="F681" i="8"/>
  <c r="R680" i="8" a="1"/>
  <c r="R680" i="8" s="1"/>
  <c r="F680" i="8"/>
  <c r="R679" i="8" a="1"/>
  <c r="R679" i="8" s="1"/>
  <c r="F679" i="8"/>
  <c r="R678" i="8" a="1"/>
  <c r="R678" i="8" s="1"/>
  <c r="F678" i="8"/>
  <c r="R677" i="8" a="1"/>
  <c r="R677" i="8" s="1"/>
  <c r="F677" i="8"/>
  <c r="R676" i="8" a="1"/>
  <c r="R676" i="8" s="1"/>
  <c r="F676" i="8"/>
  <c r="R675" i="8" a="1"/>
  <c r="R675" i="8" s="1"/>
  <c r="F675" i="8"/>
  <c r="R674" i="8" a="1"/>
  <c r="R674" i="8" s="1"/>
  <c r="F674" i="8"/>
  <c r="R673" i="8" a="1"/>
  <c r="R673" i="8" s="1"/>
  <c r="F673" i="8"/>
  <c r="R672" i="8" a="1"/>
  <c r="R672" i="8" s="1"/>
  <c r="F672" i="8"/>
  <c r="R671" i="8" a="1"/>
  <c r="R671" i="8" s="1"/>
  <c r="F671" i="8"/>
  <c r="R670" i="8" a="1"/>
  <c r="R670" i="8" s="1"/>
  <c r="F670" i="8"/>
  <c r="R669" i="8" a="1"/>
  <c r="R669" i="8" s="1"/>
  <c r="F669" i="8"/>
  <c r="R668" i="8" a="1"/>
  <c r="R668" i="8" s="1"/>
  <c r="F668" i="8"/>
  <c r="R667" i="8" a="1"/>
  <c r="R667" i="8" s="1"/>
  <c r="F667" i="8"/>
  <c r="R666" i="8" a="1"/>
  <c r="R666" i="8" s="1"/>
  <c r="F666" i="8"/>
  <c r="R665" i="8" a="1"/>
  <c r="R665" i="8" s="1"/>
  <c r="F665" i="8"/>
  <c r="R664" i="8" a="1"/>
  <c r="R664" i="8" s="1"/>
  <c r="F664" i="8"/>
  <c r="R663" i="8" a="1"/>
  <c r="R663" i="8" s="1"/>
  <c r="F663" i="8"/>
  <c r="R662" i="8" a="1"/>
  <c r="R662" i="8" s="1"/>
  <c r="F662" i="8"/>
  <c r="R661" i="8" a="1"/>
  <c r="R661" i="8" s="1"/>
  <c r="F661" i="8"/>
  <c r="R660" i="8" a="1"/>
  <c r="R660" i="8" s="1"/>
  <c r="F660" i="8"/>
  <c r="R659" i="8" a="1"/>
  <c r="R659" i="8" s="1"/>
  <c r="F659" i="8"/>
  <c r="R658" i="8" a="1"/>
  <c r="R658" i="8" s="1"/>
  <c r="F658" i="8"/>
  <c r="R657" i="8" a="1"/>
  <c r="R657" i="8" s="1"/>
  <c r="F657" i="8"/>
  <c r="R656" i="8" a="1"/>
  <c r="R656" i="8" s="1"/>
  <c r="F656" i="8"/>
  <c r="R655" i="8" a="1"/>
  <c r="R655" i="8" s="1"/>
  <c r="F655" i="8"/>
  <c r="R654" i="8" a="1"/>
  <c r="R654" i="8" s="1"/>
  <c r="F654" i="8"/>
  <c r="R653" i="8" a="1"/>
  <c r="R653" i="8" s="1"/>
  <c r="F653" i="8"/>
  <c r="R652" i="8" a="1"/>
  <c r="R652" i="8" s="1"/>
  <c r="F652" i="8"/>
  <c r="R651" i="8" a="1"/>
  <c r="R651" i="8" s="1"/>
  <c r="F651" i="8"/>
  <c r="R650" i="8" a="1"/>
  <c r="R650" i="8" s="1"/>
  <c r="F650" i="8"/>
  <c r="R649" i="8" a="1"/>
  <c r="R649" i="8" s="1"/>
  <c r="F649" i="8"/>
  <c r="R648" i="8" a="1"/>
  <c r="R648" i="8" s="1"/>
  <c r="F648" i="8"/>
  <c r="R647" i="8" a="1"/>
  <c r="R647" i="8" s="1"/>
  <c r="F647" i="8"/>
  <c r="R646" i="8" a="1"/>
  <c r="R646" i="8" s="1"/>
  <c r="F646" i="8"/>
  <c r="R645" i="8" a="1"/>
  <c r="R645" i="8" s="1"/>
  <c r="F645" i="8"/>
  <c r="R644" i="8" a="1"/>
  <c r="R644" i="8" s="1"/>
  <c r="F644" i="8"/>
  <c r="R643" i="8" a="1"/>
  <c r="R643" i="8" s="1"/>
  <c r="F643" i="8"/>
  <c r="R642" i="8" a="1"/>
  <c r="R642" i="8" s="1"/>
  <c r="F642" i="8"/>
  <c r="R641" i="8" a="1"/>
  <c r="R641" i="8" s="1"/>
  <c r="F641" i="8"/>
  <c r="R640" i="8" a="1"/>
  <c r="R640" i="8" s="1"/>
  <c r="F640" i="8"/>
  <c r="R639" i="8" a="1"/>
  <c r="R639" i="8" s="1"/>
  <c r="F639" i="8"/>
  <c r="R638" i="8" a="1"/>
  <c r="R638" i="8" s="1"/>
  <c r="F638" i="8"/>
  <c r="R637" i="8" a="1"/>
  <c r="R637" i="8" s="1"/>
  <c r="F637" i="8"/>
  <c r="R636" i="8" a="1"/>
  <c r="R636" i="8" s="1"/>
  <c r="F636" i="8"/>
  <c r="R635" i="8" a="1"/>
  <c r="R635" i="8" s="1"/>
  <c r="F635" i="8"/>
  <c r="R634" i="8" a="1"/>
  <c r="R634" i="8" s="1"/>
  <c r="F634" i="8"/>
  <c r="R633" i="8" a="1"/>
  <c r="R633" i="8" s="1"/>
  <c r="F633" i="8"/>
  <c r="R632" i="8" a="1"/>
  <c r="R632" i="8" s="1"/>
  <c r="F632" i="8"/>
  <c r="R631" i="8" a="1"/>
  <c r="R631" i="8" s="1"/>
  <c r="F631" i="8"/>
  <c r="R630" i="8" a="1"/>
  <c r="R630" i="8" s="1"/>
  <c r="F630" i="8"/>
  <c r="R629" i="8" a="1"/>
  <c r="R629" i="8" s="1"/>
  <c r="F629" i="8"/>
  <c r="R628" i="8" a="1"/>
  <c r="R628" i="8" s="1"/>
  <c r="F628" i="8"/>
  <c r="R627" i="8" a="1"/>
  <c r="R627" i="8" s="1"/>
  <c r="F627" i="8"/>
  <c r="R626" i="8" a="1"/>
  <c r="R626" i="8" s="1"/>
  <c r="F626" i="8"/>
  <c r="R625" i="8" a="1"/>
  <c r="R625" i="8" s="1"/>
  <c r="F625" i="8"/>
  <c r="R624" i="8" a="1"/>
  <c r="R624" i="8" s="1"/>
  <c r="F624" i="8"/>
  <c r="R623" i="8" a="1"/>
  <c r="R623" i="8" s="1"/>
  <c r="F623" i="8"/>
  <c r="R622" i="8" a="1"/>
  <c r="R622" i="8" s="1"/>
  <c r="F622" i="8"/>
  <c r="R621" i="8" a="1"/>
  <c r="R621" i="8" s="1"/>
  <c r="F621" i="8"/>
  <c r="R620" i="8" a="1"/>
  <c r="R620" i="8" s="1"/>
  <c r="F620" i="8"/>
  <c r="R619" i="8" a="1"/>
  <c r="R619" i="8" s="1"/>
  <c r="F619" i="8"/>
  <c r="R618" i="8" a="1"/>
  <c r="R618" i="8" s="1"/>
  <c r="F618" i="8"/>
  <c r="R617" i="8" a="1"/>
  <c r="R617" i="8" s="1"/>
  <c r="F617" i="8"/>
  <c r="R616" i="8" a="1"/>
  <c r="R616" i="8" s="1"/>
  <c r="F616" i="8"/>
  <c r="R615" i="8" a="1"/>
  <c r="R615" i="8" s="1"/>
  <c r="F615" i="8"/>
  <c r="R614" i="8" a="1"/>
  <c r="R614" i="8" s="1"/>
  <c r="F614" i="8"/>
  <c r="R613" i="8" a="1"/>
  <c r="R613" i="8" s="1"/>
  <c r="F613" i="8"/>
  <c r="R612" i="8" a="1"/>
  <c r="R612" i="8" s="1"/>
  <c r="F612" i="8"/>
  <c r="R611" i="8" a="1"/>
  <c r="R611" i="8" s="1"/>
  <c r="F611" i="8"/>
  <c r="R610" i="8" a="1"/>
  <c r="R610" i="8" s="1"/>
  <c r="F610" i="8"/>
  <c r="R609" i="8" a="1"/>
  <c r="R609" i="8" s="1"/>
  <c r="F609" i="8"/>
  <c r="R608" i="8" a="1"/>
  <c r="R608" i="8" s="1"/>
  <c r="F608" i="8"/>
  <c r="R607" i="8" a="1"/>
  <c r="R607" i="8" s="1"/>
  <c r="F607" i="8"/>
  <c r="R606" i="8" a="1"/>
  <c r="R606" i="8" s="1"/>
  <c r="F606" i="8"/>
  <c r="R605" i="8" a="1"/>
  <c r="R605" i="8" s="1"/>
  <c r="F605" i="8"/>
  <c r="R604" i="8" a="1"/>
  <c r="R604" i="8" s="1"/>
  <c r="F604" i="8"/>
  <c r="R603" i="8" a="1"/>
  <c r="R603" i="8" s="1"/>
  <c r="F603" i="8"/>
  <c r="R602" i="8" a="1"/>
  <c r="R602" i="8" s="1"/>
  <c r="F602" i="8"/>
  <c r="R601" i="8" a="1"/>
  <c r="R601" i="8" s="1"/>
  <c r="F601" i="8"/>
  <c r="R600" i="8" a="1"/>
  <c r="R600" i="8" s="1"/>
  <c r="F600" i="8"/>
  <c r="R599" i="8" a="1"/>
  <c r="R599" i="8" s="1"/>
  <c r="F599" i="8"/>
  <c r="R598" i="8" a="1"/>
  <c r="R598" i="8" s="1"/>
  <c r="F598" i="8"/>
  <c r="R597" i="8" a="1"/>
  <c r="R597" i="8" s="1"/>
  <c r="F597" i="8"/>
  <c r="R596" i="8" a="1"/>
  <c r="R596" i="8" s="1"/>
  <c r="F596" i="8"/>
  <c r="R595" i="8" a="1"/>
  <c r="R595" i="8" s="1"/>
  <c r="F595" i="8"/>
  <c r="R594" i="8" a="1"/>
  <c r="R594" i="8" s="1"/>
  <c r="F594" i="8"/>
  <c r="R593" i="8" a="1"/>
  <c r="R593" i="8" s="1"/>
  <c r="F593" i="8"/>
  <c r="R592" i="8" a="1"/>
  <c r="R592" i="8" s="1"/>
  <c r="F592" i="8"/>
  <c r="R591" i="8" a="1"/>
  <c r="R591" i="8" s="1"/>
  <c r="F591" i="8"/>
  <c r="R590" i="8" a="1"/>
  <c r="R590" i="8" s="1"/>
  <c r="F590" i="8"/>
  <c r="R589" i="8" a="1"/>
  <c r="R589" i="8" s="1"/>
  <c r="F589" i="8"/>
  <c r="R588" i="8" a="1"/>
  <c r="R588" i="8" s="1"/>
  <c r="F588" i="8"/>
  <c r="R587" i="8" a="1"/>
  <c r="R587" i="8" s="1"/>
  <c r="F587" i="8"/>
  <c r="R586" i="8" a="1"/>
  <c r="R586" i="8" s="1"/>
  <c r="F586" i="8"/>
  <c r="R585" i="8" a="1"/>
  <c r="R585" i="8" s="1"/>
  <c r="F585" i="8"/>
  <c r="R584" i="8" a="1"/>
  <c r="R584" i="8" s="1"/>
  <c r="F584" i="8"/>
  <c r="R583" i="8" a="1"/>
  <c r="R583" i="8" s="1"/>
  <c r="F583" i="8"/>
  <c r="R582" i="8" a="1"/>
  <c r="R582" i="8" s="1"/>
  <c r="F582" i="8"/>
  <c r="R581" i="8" a="1"/>
  <c r="R581" i="8" s="1"/>
  <c r="F581" i="8"/>
  <c r="R580" i="8" a="1"/>
  <c r="R580" i="8" s="1"/>
  <c r="F580" i="8"/>
  <c r="R579" i="8" a="1"/>
  <c r="R579" i="8" s="1"/>
  <c r="F579" i="8"/>
  <c r="R578" i="8" a="1"/>
  <c r="R578" i="8" s="1"/>
  <c r="F578" i="8"/>
  <c r="R577" i="8" a="1"/>
  <c r="R577" i="8" s="1"/>
  <c r="F577" i="8"/>
  <c r="R576" i="8" a="1"/>
  <c r="R576" i="8" s="1"/>
  <c r="F576" i="8"/>
  <c r="R575" i="8" a="1"/>
  <c r="R575" i="8" s="1"/>
  <c r="F575" i="8"/>
  <c r="R574" i="8" a="1"/>
  <c r="R574" i="8" s="1"/>
  <c r="F574" i="8"/>
  <c r="R573" i="8" a="1"/>
  <c r="R573" i="8" s="1"/>
  <c r="F573" i="8"/>
  <c r="R572" i="8" a="1"/>
  <c r="R572" i="8" s="1"/>
  <c r="F572" i="8"/>
  <c r="R571" i="8" a="1"/>
  <c r="R571" i="8" s="1"/>
  <c r="F571" i="8"/>
  <c r="R570" i="8" a="1"/>
  <c r="R570" i="8" s="1"/>
  <c r="F570" i="8"/>
  <c r="R569" i="8" a="1"/>
  <c r="R569" i="8" s="1"/>
  <c r="F569" i="8"/>
  <c r="R568" i="8" a="1"/>
  <c r="R568" i="8" s="1"/>
  <c r="F568" i="8"/>
  <c r="R567" i="8" a="1"/>
  <c r="R567" i="8" s="1"/>
  <c r="F567" i="8"/>
  <c r="R566" i="8" a="1"/>
  <c r="R566" i="8" s="1"/>
  <c r="F566" i="8"/>
  <c r="R565" i="8" a="1"/>
  <c r="R565" i="8" s="1"/>
  <c r="F565" i="8"/>
  <c r="R564" i="8" a="1"/>
  <c r="R564" i="8" s="1"/>
  <c r="F564" i="8"/>
  <c r="R563" i="8" a="1"/>
  <c r="R563" i="8" s="1"/>
  <c r="F563" i="8"/>
  <c r="R562" i="8" a="1"/>
  <c r="R562" i="8" s="1"/>
  <c r="F562" i="8"/>
  <c r="R561" i="8" a="1"/>
  <c r="R561" i="8" s="1"/>
  <c r="F561" i="8"/>
  <c r="R560" i="8" a="1"/>
  <c r="R560" i="8" s="1"/>
  <c r="F560" i="8"/>
  <c r="R559" i="8" a="1"/>
  <c r="R559" i="8" s="1"/>
  <c r="F559" i="8"/>
  <c r="R558" i="8" a="1"/>
  <c r="R558" i="8" s="1"/>
  <c r="F558" i="8"/>
  <c r="R557" i="8" a="1"/>
  <c r="R557" i="8" s="1"/>
  <c r="F557" i="8"/>
  <c r="R556" i="8" a="1"/>
  <c r="R556" i="8" s="1"/>
  <c r="F556" i="8"/>
  <c r="R555" i="8" a="1"/>
  <c r="R555" i="8" s="1"/>
  <c r="F555" i="8"/>
  <c r="R554" i="8" a="1"/>
  <c r="R554" i="8" s="1"/>
  <c r="F554" i="8"/>
  <c r="R553" i="8" a="1"/>
  <c r="R553" i="8" s="1"/>
  <c r="F553" i="8"/>
  <c r="R552" i="8" a="1"/>
  <c r="R552" i="8" s="1"/>
  <c r="F552" i="8"/>
  <c r="R551" i="8" a="1"/>
  <c r="R551" i="8" s="1"/>
  <c r="F551" i="8"/>
  <c r="R550" i="8" a="1"/>
  <c r="R550" i="8" s="1"/>
  <c r="F550" i="8"/>
  <c r="R549" i="8" a="1"/>
  <c r="R549" i="8" s="1"/>
  <c r="F549" i="8"/>
  <c r="R548" i="8" a="1"/>
  <c r="R548" i="8" s="1"/>
  <c r="F548" i="8"/>
  <c r="R547" i="8" a="1"/>
  <c r="R547" i="8" s="1"/>
  <c r="F547" i="8"/>
  <c r="R546" i="8" a="1"/>
  <c r="R546" i="8" s="1"/>
  <c r="F546" i="8"/>
  <c r="R545" i="8" a="1"/>
  <c r="R545" i="8" s="1"/>
  <c r="F545" i="8"/>
  <c r="R544" i="8" a="1"/>
  <c r="R544" i="8" s="1"/>
  <c r="F544" i="8"/>
  <c r="R543" i="8" a="1"/>
  <c r="R543" i="8" s="1"/>
  <c r="F543" i="8"/>
  <c r="R542" i="8" a="1"/>
  <c r="R542" i="8" s="1"/>
  <c r="F542" i="8"/>
  <c r="R541" i="8" a="1"/>
  <c r="R541" i="8" s="1"/>
  <c r="F541" i="8"/>
  <c r="R540" i="8" a="1"/>
  <c r="R540" i="8" s="1"/>
  <c r="F540" i="8"/>
  <c r="R539" i="8" a="1"/>
  <c r="R539" i="8" s="1"/>
  <c r="F539" i="8"/>
  <c r="R538" i="8" a="1"/>
  <c r="R538" i="8" s="1"/>
  <c r="F538" i="8"/>
  <c r="R537" i="8" a="1"/>
  <c r="R537" i="8" s="1"/>
  <c r="F537" i="8"/>
  <c r="R536" i="8" a="1"/>
  <c r="R536" i="8" s="1"/>
  <c r="F536" i="8"/>
  <c r="R535" i="8" a="1"/>
  <c r="R535" i="8" s="1"/>
  <c r="F535" i="8"/>
  <c r="R534" i="8" a="1"/>
  <c r="R534" i="8" s="1"/>
  <c r="F534" i="8"/>
  <c r="R533" i="8" a="1"/>
  <c r="R533" i="8" s="1"/>
  <c r="F533" i="8"/>
  <c r="R532" i="8" a="1"/>
  <c r="R532" i="8" s="1"/>
  <c r="F532" i="8"/>
  <c r="R531" i="8" a="1"/>
  <c r="R531" i="8" s="1"/>
  <c r="F531" i="8"/>
  <c r="R530" i="8" a="1"/>
  <c r="R530" i="8" s="1"/>
  <c r="F530" i="8"/>
  <c r="R529" i="8" a="1"/>
  <c r="R529" i="8" s="1"/>
  <c r="F529" i="8"/>
  <c r="R528" i="8" a="1"/>
  <c r="R528" i="8" s="1"/>
  <c r="F528" i="8"/>
  <c r="R527" i="8" a="1"/>
  <c r="R527" i="8" s="1"/>
  <c r="F527" i="8"/>
  <c r="R526" i="8" a="1"/>
  <c r="R526" i="8" s="1"/>
  <c r="F526" i="8"/>
  <c r="R525" i="8" a="1"/>
  <c r="R525" i="8" s="1"/>
  <c r="F525" i="8"/>
  <c r="R524" i="8" a="1"/>
  <c r="R524" i="8" s="1"/>
  <c r="F524" i="8"/>
  <c r="R523" i="8" a="1"/>
  <c r="R523" i="8" s="1"/>
  <c r="F523" i="8"/>
  <c r="R522" i="8" a="1"/>
  <c r="R522" i="8" s="1"/>
  <c r="F522" i="8"/>
  <c r="R521" i="8" a="1"/>
  <c r="R521" i="8" s="1"/>
  <c r="F521" i="8"/>
  <c r="R520" i="8" a="1"/>
  <c r="R520" i="8" s="1"/>
  <c r="F520" i="8"/>
  <c r="R519" i="8" a="1"/>
  <c r="R519" i="8" s="1"/>
  <c r="F519" i="8"/>
  <c r="R518" i="8" a="1"/>
  <c r="R518" i="8" s="1"/>
  <c r="F518" i="8"/>
  <c r="R517" i="8" a="1"/>
  <c r="R517" i="8" s="1"/>
  <c r="F517" i="8"/>
  <c r="R516" i="8" a="1"/>
  <c r="R516" i="8" s="1"/>
  <c r="F516" i="8"/>
  <c r="R515" i="8" a="1"/>
  <c r="R515" i="8" s="1"/>
  <c r="F515" i="8"/>
  <c r="R514" i="8" a="1"/>
  <c r="R514" i="8" s="1"/>
  <c r="F514" i="8"/>
  <c r="R513" i="8" a="1"/>
  <c r="R513" i="8" s="1"/>
  <c r="F513" i="8"/>
  <c r="R512" i="8" a="1"/>
  <c r="R512" i="8" s="1"/>
  <c r="F512" i="8"/>
  <c r="R511" i="8" a="1"/>
  <c r="R511" i="8" s="1"/>
  <c r="F511" i="8"/>
  <c r="R510" i="8" a="1"/>
  <c r="R510" i="8" s="1"/>
  <c r="F510" i="8"/>
  <c r="R509" i="8" a="1"/>
  <c r="R509" i="8" s="1"/>
  <c r="F509" i="8"/>
  <c r="R508" i="8" a="1"/>
  <c r="R508" i="8" s="1"/>
  <c r="F508" i="8"/>
  <c r="R507" i="8" a="1"/>
  <c r="R507" i="8" s="1"/>
  <c r="F507" i="8"/>
  <c r="R506" i="8" a="1"/>
  <c r="R506" i="8" s="1"/>
  <c r="F506" i="8"/>
  <c r="R505" i="8" a="1"/>
  <c r="R505" i="8" s="1"/>
  <c r="F505" i="8"/>
  <c r="R504" i="8" a="1"/>
  <c r="R504" i="8" s="1"/>
  <c r="F504" i="8"/>
  <c r="R503" i="8" a="1"/>
  <c r="R503" i="8" s="1"/>
  <c r="F503" i="8"/>
  <c r="R502" i="8" a="1"/>
  <c r="R502" i="8" s="1"/>
  <c r="F502" i="8"/>
  <c r="R501" i="8" a="1"/>
  <c r="R501" i="8" s="1"/>
  <c r="F501" i="8"/>
  <c r="R500" i="8" a="1"/>
  <c r="R500" i="8" s="1"/>
  <c r="F500" i="8"/>
  <c r="R499" i="8" a="1"/>
  <c r="R499" i="8" s="1"/>
  <c r="F499" i="8"/>
  <c r="R498" i="8" a="1"/>
  <c r="R498" i="8" s="1"/>
  <c r="F498" i="8"/>
  <c r="R497" i="8" a="1"/>
  <c r="R497" i="8" s="1"/>
  <c r="F497" i="8"/>
  <c r="R496" i="8" a="1"/>
  <c r="R496" i="8" s="1"/>
  <c r="F496" i="8"/>
  <c r="R495" i="8" a="1"/>
  <c r="R495" i="8" s="1"/>
  <c r="F495" i="8"/>
  <c r="R494" i="8" a="1"/>
  <c r="R494" i="8" s="1"/>
  <c r="F494" i="8"/>
  <c r="R493" i="8" a="1"/>
  <c r="R493" i="8" s="1"/>
  <c r="F493" i="8"/>
  <c r="R492" i="8" a="1"/>
  <c r="R492" i="8" s="1"/>
  <c r="F492" i="8"/>
  <c r="R491" i="8" a="1"/>
  <c r="R491" i="8" s="1"/>
  <c r="F491" i="8"/>
  <c r="R490" i="8" a="1"/>
  <c r="R490" i="8" s="1"/>
  <c r="F490" i="8"/>
  <c r="R489" i="8" a="1"/>
  <c r="R489" i="8" s="1"/>
  <c r="F489" i="8"/>
  <c r="R488" i="8" a="1"/>
  <c r="R488" i="8" s="1"/>
  <c r="F488" i="8"/>
  <c r="R487" i="8" a="1"/>
  <c r="R487" i="8" s="1"/>
  <c r="F487" i="8"/>
  <c r="R486" i="8" a="1"/>
  <c r="R486" i="8" s="1"/>
  <c r="F486" i="8"/>
  <c r="R485" i="8" a="1"/>
  <c r="R485" i="8" s="1"/>
  <c r="F485" i="8"/>
  <c r="R484" i="8" a="1"/>
  <c r="R484" i="8" s="1"/>
  <c r="F484" i="8"/>
  <c r="R483" i="8" a="1"/>
  <c r="R483" i="8" s="1"/>
  <c r="F483" i="8"/>
  <c r="R482" i="8" a="1"/>
  <c r="R482" i="8" s="1"/>
  <c r="F482" i="8"/>
  <c r="R481" i="8" a="1"/>
  <c r="R481" i="8" s="1"/>
  <c r="F481" i="8"/>
  <c r="R480" i="8" a="1"/>
  <c r="R480" i="8" s="1"/>
  <c r="F480" i="8"/>
  <c r="R479" i="8" a="1"/>
  <c r="R479" i="8" s="1"/>
  <c r="F479" i="8"/>
  <c r="R478" i="8" a="1"/>
  <c r="R478" i="8" s="1"/>
  <c r="F478" i="8"/>
  <c r="R477" i="8" a="1"/>
  <c r="R477" i="8" s="1"/>
  <c r="F477" i="8"/>
  <c r="R476" i="8" a="1"/>
  <c r="R476" i="8" s="1"/>
  <c r="F476" i="8"/>
  <c r="R475" i="8" a="1"/>
  <c r="R475" i="8" s="1"/>
  <c r="F475" i="8"/>
  <c r="R474" i="8" a="1"/>
  <c r="R474" i="8" s="1"/>
  <c r="F474" i="8"/>
  <c r="R473" i="8" a="1"/>
  <c r="R473" i="8" s="1"/>
  <c r="F473" i="8"/>
  <c r="R472" i="8" a="1"/>
  <c r="R472" i="8" s="1"/>
  <c r="F472" i="8"/>
  <c r="R471" i="8" a="1"/>
  <c r="R471" i="8" s="1"/>
  <c r="F471" i="8"/>
  <c r="R470" i="8" a="1"/>
  <c r="R470" i="8" s="1"/>
  <c r="F470" i="8"/>
  <c r="R469" i="8" a="1"/>
  <c r="R469" i="8" s="1"/>
  <c r="F469" i="8"/>
  <c r="R468" i="8" a="1"/>
  <c r="R468" i="8" s="1"/>
  <c r="F468" i="8"/>
  <c r="R467" i="8" a="1"/>
  <c r="R467" i="8" s="1"/>
  <c r="F467" i="8"/>
  <c r="R466" i="8" a="1"/>
  <c r="R466" i="8" s="1"/>
  <c r="F466" i="8"/>
  <c r="R465" i="8" a="1"/>
  <c r="R465" i="8" s="1"/>
  <c r="F465" i="8"/>
  <c r="R464" i="8" a="1"/>
  <c r="R464" i="8" s="1"/>
  <c r="F464" i="8"/>
  <c r="R463" i="8" a="1"/>
  <c r="R463" i="8" s="1"/>
  <c r="F463" i="8"/>
  <c r="R462" i="8" a="1"/>
  <c r="R462" i="8" s="1"/>
  <c r="F462" i="8"/>
  <c r="R461" i="8" a="1"/>
  <c r="R461" i="8" s="1"/>
  <c r="F461" i="8"/>
  <c r="R460" i="8" a="1"/>
  <c r="R460" i="8" s="1"/>
  <c r="F460" i="8"/>
  <c r="R459" i="8" a="1"/>
  <c r="R459" i="8" s="1"/>
  <c r="F459" i="8"/>
  <c r="R458" i="8" a="1"/>
  <c r="R458" i="8" s="1"/>
  <c r="F458" i="8"/>
  <c r="R457" i="8" a="1"/>
  <c r="R457" i="8" s="1"/>
  <c r="F457" i="8"/>
  <c r="R456" i="8" a="1"/>
  <c r="R456" i="8" s="1"/>
  <c r="F456" i="8"/>
  <c r="R455" i="8" a="1"/>
  <c r="R455" i="8" s="1"/>
  <c r="F455" i="8"/>
  <c r="R454" i="8" a="1"/>
  <c r="R454" i="8" s="1"/>
  <c r="F454" i="8"/>
  <c r="R453" i="8" a="1"/>
  <c r="R453" i="8" s="1"/>
  <c r="F453" i="8"/>
  <c r="R452" i="8" a="1"/>
  <c r="R452" i="8" s="1"/>
  <c r="F452" i="8"/>
  <c r="R451" i="8" a="1"/>
  <c r="R451" i="8" s="1"/>
  <c r="F451" i="8"/>
  <c r="R450" i="8" a="1"/>
  <c r="R450" i="8" s="1"/>
  <c r="F450" i="8"/>
  <c r="R449" i="8" a="1"/>
  <c r="R449" i="8" s="1"/>
  <c r="F449" i="8"/>
  <c r="R448" i="8" a="1"/>
  <c r="R448" i="8" s="1"/>
  <c r="F448" i="8"/>
  <c r="R447" i="8" a="1"/>
  <c r="R447" i="8" s="1"/>
  <c r="F447" i="8"/>
  <c r="R446" i="8" a="1"/>
  <c r="R446" i="8" s="1"/>
  <c r="F446" i="8"/>
  <c r="R445" i="8" a="1"/>
  <c r="R445" i="8" s="1"/>
  <c r="F445" i="8"/>
  <c r="R444" i="8" a="1"/>
  <c r="R444" i="8" s="1"/>
  <c r="F444" i="8"/>
  <c r="R443" i="8" a="1"/>
  <c r="R443" i="8" s="1"/>
  <c r="F443" i="8"/>
  <c r="R442" i="8" a="1"/>
  <c r="R442" i="8" s="1"/>
  <c r="F442" i="8"/>
  <c r="R441" i="8" a="1"/>
  <c r="R441" i="8" s="1"/>
  <c r="F441" i="8"/>
  <c r="R440" i="8" a="1"/>
  <c r="R440" i="8" s="1"/>
  <c r="F440" i="8"/>
  <c r="R439" i="8" a="1"/>
  <c r="R439" i="8" s="1"/>
  <c r="F439" i="8"/>
  <c r="R438" i="8" a="1"/>
  <c r="R438" i="8" s="1"/>
  <c r="F438" i="8"/>
  <c r="R437" i="8" a="1"/>
  <c r="R437" i="8" s="1"/>
  <c r="F437" i="8"/>
  <c r="R436" i="8" a="1"/>
  <c r="R436" i="8" s="1"/>
  <c r="F436" i="8"/>
  <c r="R435" i="8" a="1"/>
  <c r="R435" i="8" s="1"/>
  <c r="F435" i="8"/>
  <c r="R434" i="8" a="1"/>
  <c r="R434" i="8" s="1"/>
  <c r="F434" i="8"/>
  <c r="R433" i="8" a="1"/>
  <c r="R433" i="8" s="1"/>
  <c r="F433" i="8"/>
  <c r="R432" i="8" a="1"/>
  <c r="R432" i="8" s="1"/>
  <c r="F432" i="8"/>
  <c r="R431" i="8" a="1"/>
  <c r="R431" i="8" s="1"/>
  <c r="F431" i="8"/>
  <c r="R430" i="8" a="1"/>
  <c r="R430" i="8" s="1"/>
  <c r="F430" i="8"/>
  <c r="R429" i="8" a="1"/>
  <c r="R429" i="8" s="1"/>
  <c r="F429" i="8"/>
  <c r="R428" i="8" a="1"/>
  <c r="R428" i="8" s="1"/>
  <c r="F428" i="8"/>
  <c r="R427" i="8" a="1"/>
  <c r="R427" i="8" s="1"/>
  <c r="F427" i="8"/>
  <c r="R426" i="8" a="1"/>
  <c r="R426" i="8" s="1"/>
  <c r="F426" i="8"/>
  <c r="R425" i="8" a="1"/>
  <c r="R425" i="8" s="1"/>
  <c r="F425" i="8"/>
  <c r="R424" i="8" a="1"/>
  <c r="R424" i="8" s="1"/>
  <c r="F424" i="8"/>
  <c r="R423" i="8" a="1"/>
  <c r="R423" i="8" s="1"/>
  <c r="F423" i="8"/>
  <c r="R422" i="8" a="1"/>
  <c r="R422" i="8" s="1"/>
  <c r="F422" i="8"/>
  <c r="R421" i="8" a="1"/>
  <c r="R421" i="8" s="1"/>
  <c r="F421" i="8"/>
  <c r="R420" i="8" a="1"/>
  <c r="R420" i="8" s="1"/>
  <c r="F420" i="8"/>
  <c r="R419" i="8" a="1"/>
  <c r="R419" i="8" s="1"/>
  <c r="F419" i="8"/>
  <c r="R418" i="8" a="1"/>
  <c r="R418" i="8" s="1"/>
  <c r="F418" i="8"/>
  <c r="R417" i="8" a="1"/>
  <c r="R417" i="8" s="1"/>
  <c r="F417" i="8"/>
  <c r="R416" i="8" a="1"/>
  <c r="R416" i="8" s="1"/>
  <c r="F416" i="8"/>
  <c r="R415" i="8" a="1"/>
  <c r="R415" i="8" s="1"/>
  <c r="F415" i="8"/>
  <c r="R414" i="8" a="1"/>
  <c r="R414" i="8" s="1"/>
  <c r="F414" i="8"/>
  <c r="R413" i="8" a="1"/>
  <c r="R413" i="8" s="1"/>
  <c r="F413" i="8"/>
  <c r="R412" i="8" a="1"/>
  <c r="R412" i="8" s="1"/>
  <c r="F412" i="8"/>
  <c r="R411" i="8" a="1"/>
  <c r="R411" i="8" s="1"/>
  <c r="F411" i="8"/>
  <c r="R410" i="8" a="1"/>
  <c r="R410" i="8" s="1"/>
  <c r="F410" i="8"/>
  <c r="R409" i="8" a="1"/>
  <c r="R409" i="8" s="1"/>
  <c r="F409" i="8"/>
  <c r="R408" i="8" a="1"/>
  <c r="R408" i="8" s="1"/>
  <c r="F408" i="8"/>
  <c r="R407" i="8" a="1"/>
  <c r="R407" i="8" s="1"/>
  <c r="F407" i="8"/>
  <c r="R406" i="8" a="1"/>
  <c r="R406" i="8" s="1"/>
  <c r="F406" i="8"/>
  <c r="R405" i="8" a="1"/>
  <c r="R405" i="8" s="1"/>
  <c r="F405" i="8"/>
  <c r="R404" i="8" a="1"/>
  <c r="R404" i="8" s="1"/>
  <c r="F404" i="8"/>
  <c r="R403" i="8" a="1"/>
  <c r="R403" i="8" s="1"/>
  <c r="F403" i="8"/>
  <c r="R402" i="8" a="1"/>
  <c r="R402" i="8" s="1"/>
  <c r="F402" i="8"/>
  <c r="R401" i="8" a="1"/>
  <c r="R401" i="8" s="1"/>
  <c r="F401" i="8"/>
  <c r="R400" i="8" a="1"/>
  <c r="R400" i="8" s="1"/>
  <c r="F400" i="8"/>
  <c r="R399" i="8" a="1"/>
  <c r="R399" i="8" s="1"/>
  <c r="F399" i="8"/>
  <c r="R398" i="8" a="1"/>
  <c r="R398" i="8" s="1"/>
  <c r="F398" i="8"/>
  <c r="R397" i="8" a="1"/>
  <c r="R397" i="8" s="1"/>
  <c r="F397" i="8"/>
  <c r="R396" i="8" a="1"/>
  <c r="R396" i="8" s="1"/>
  <c r="F396" i="8"/>
  <c r="R395" i="8" a="1"/>
  <c r="R395" i="8" s="1"/>
  <c r="F395" i="8"/>
  <c r="R394" i="8" a="1"/>
  <c r="R394" i="8" s="1"/>
  <c r="F394" i="8"/>
  <c r="R393" i="8" a="1"/>
  <c r="R393" i="8" s="1"/>
  <c r="F393" i="8"/>
  <c r="R392" i="8" a="1"/>
  <c r="R392" i="8" s="1"/>
  <c r="F392" i="8"/>
  <c r="R391" i="8" a="1"/>
  <c r="R391" i="8" s="1"/>
  <c r="F391" i="8"/>
  <c r="R390" i="8" a="1"/>
  <c r="R390" i="8" s="1"/>
  <c r="F390" i="8"/>
  <c r="R389" i="8" a="1"/>
  <c r="R389" i="8" s="1"/>
  <c r="F389" i="8"/>
  <c r="R388" i="8" a="1"/>
  <c r="R388" i="8" s="1"/>
  <c r="F388" i="8"/>
  <c r="R387" i="8" a="1"/>
  <c r="R387" i="8" s="1"/>
  <c r="F387" i="8"/>
  <c r="R386" i="8" a="1"/>
  <c r="R386" i="8" s="1"/>
  <c r="F386" i="8"/>
  <c r="R385" i="8" a="1"/>
  <c r="R385" i="8" s="1"/>
  <c r="F385" i="8"/>
  <c r="R384" i="8" a="1"/>
  <c r="R384" i="8" s="1"/>
  <c r="F384" i="8"/>
  <c r="R383" i="8" a="1"/>
  <c r="R383" i="8" s="1"/>
  <c r="F383" i="8"/>
  <c r="R382" i="8" a="1"/>
  <c r="R382" i="8" s="1"/>
  <c r="F382" i="8"/>
  <c r="R381" i="8" a="1"/>
  <c r="R381" i="8" s="1"/>
  <c r="F381" i="8"/>
  <c r="R380" i="8" a="1"/>
  <c r="R380" i="8" s="1"/>
  <c r="F380" i="8"/>
  <c r="R379" i="8" a="1"/>
  <c r="R379" i="8" s="1"/>
  <c r="F379" i="8"/>
  <c r="R378" i="8" a="1"/>
  <c r="R378" i="8" s="1"/>
  <c r="F378" i="8"/>
  <c r="R377" i="8" a="1"/>
  <c r="R377" i="8" s="1"/>
  <c r="F377" i="8"/>
  <c r="R376" i="8" a="1"/>
  <c r="R376" i="8" s="1"/>
  <c r="F376" i="8"/>
  <c r="R375" i="8" a="1"/>
  <c r="R375" i="8" s="1"/>
  <c r="F375" i="8"/>
  <c r="R374" i="8" a="1"/>
  <c r="R374" i="8" s="1"/>
  <c r="F374" i="8"/>
  <c r="R373" i="8" a="1"/>
  <c r="R373" i="8" s="1"/>
  <c r="F373" i="8"/>
  <c r="R372" i="8" a="1"/>
  <c r="R372" i="8" s="1"/>
  <c r="F372" i="8"/>
  <c r="R371" i="8" a="1"/>
  <c r="R371" i="8" s="1"/>
  <c r="F371" i="8"/>
  <c r="R370" i="8" a="1"/>
  <c r="R370" i="8" s="1"/>
  <c r="F370" i="8"/>
  <c r="R369" i="8" a="1"/>
  <c r="R369" i="8" s="1"/>
  <c r="F369" i="8"/>
  <c r="R368" i="8" a="1"/>
  <c r="R368" i="8" s="1"/>
  <c r="F368" i="8"/>
  <c r="R367" i="8" a="1"/>
  <c r="R367" i="8" s="1"/>
  <c r="F367" i="8"/>
  <c r="R366" i="8" a="1"/>
  <c r="R366" i="8" s="1"/>
  <c r="F366" i="8"/>
  <c r="R365" i="8" a="1"/>
  <c r="R365" i="8" s="1"/>
  <c r="F365" i="8"/>
  <c r="R364" i="8" a="1"/>
  <c r="R364" i="8" s="1"/>
  <c r="F364" i="8"/>
  <c r="R363" i="8" a="1"/>
  <c r="R363" i="8" s="1"/>
  <c r="F363" i="8"/>
  <c r="R362" i="8" a="1"/>
  <c r="R362" i="8" s="1"/>
  <c r="F362" i="8"/>
  <c r="R361" i="8" a="1"/>
  <c r="R361" i="8" s="1"/>
  <c r="F361" i="8"/>
  <c r="R360" i="8" a="1"/>
  <c r="R360" i="8" s="1"/>
  <c r="F360" i="8"/>
  <c r="R359" i="8" a="1"/>
  <c r="R359" i="8" s="1"/>
  <c r="F359" i="8"/>
  <c r="R358" i="8" a="1"/>
  <c r="R358" i="8" s="1"/>
  <c r="F358" i="8"/>
  <c r="R357" i="8" a="1"/>
  <c r="R357" i="8" s="1"/>
  <c r="F357" i="8"/>
  <c r="R356" i="8" a="1"/>
  <c r="R356" i="8" s="1"/>
  <c r="F356" i="8"/>
  <c r="R355" i="8" a="1"/>
  <c r="R355" i="8" s="1"/>
  <c r="F355" i="8"/>
  <c r="R354" i="8" a="1"/>
  <c r="R354" i="8" s="1"/>
  <c r="F354" i="8"/>
  <c r="R353" i="8" a="1"/>
  <c r="R353" i="8" s="1"/>
  <c r="F353" i="8"/>
  <c r="R352" i="8" a="1"/>
  <c r="R352" i="8" s="1"/>
  <c r="F352" i="8"/>
  <c r="R351" i="8" a="1"/>
  <c r="R351" i="8" s="1"/>
  <c r="F351" i="8"/>
  <c r="R350" i="8" a="1"/>
  <c r="R350" i="8" s="1"/>
  <c r="F350" i="8"/>
  <c r="R349" i="8" a="1"/>
  <c r="R349" i="8" s="1"/>
  <c r="F349" i="8"/>
  <c r="R348" i="8" a="1"/>
  <c r="R348" i="8" s="1"/>
  <c r="F348" i="8"/>
  <c r="R347" i="8" a="1"/>
  <c r="R347" i="8" s="1"/>
  <c r="F347" i="8"/>
  <c r="R346" i="8" a="1"/>
  <c r="R346" i="8" s="1"/>
  <c r="F346" i="8"/>
  <c r="R345" i="8" a="1"/>
  <c r="R345" i="8" s="1"/>
  <c r="F345" i="8"/>
  <c r="R344" i="8" a="1"/>
  <c r="R344" i="8" s="1"/>
  <c r="F344" i="8"/>
  <c r="R343" i="8" a="1"/>
  <c r="R343" i="8" s="1"/>
  <c r="F343" i="8"/>
  <c r="R342" i="8" a="1"/>
  <c r="R342" i="8" s="1"/>
  <c r="F342" i="8"/>
  <c r="R341" i="8" a="1"/>
  <c r="R341" i="8" s="1"/>
  <c r="F341" i="8"/>
  <c r="R340" i="8" a="1"/>
  <c r="R340" i="8" s="1"/>
  <c r="F340" i="8"/>
  <c r="R339" i="8" a="1"/>
  <c r="R339" i="8" s="1"/>
  <c r="F339" i="8"/>
  <c r="R338" i="8" a="1"/>
  <c r="R338" i="8" s="1"/>
  <c r="F338" i="8"/>
  <c r="R337" i="8" a="1"/>
  <c r="R337" i="8" s="1"/>
  <c r="F337" i="8"/>
  <c r="R336" i="8" a="1"/>
  <c r="R336" i="8" s="1"/>
  <c r="F336" i="8"/>
  <c r="R335" i="8" a="1"/>
  <c r="R335" i="8" s="1"/>
  <c r="F335" i="8"/>
  <c r="R334" i="8" a="1"/>
  <c r="R334" i="8" s="1"/>
  <c r="F334" i="8"/>
  <c r="R333" i="8" a="1"/>
  <c r="R333" i="8" s="1"/>
  <c r="F333" i="8"/>
  <c r="R332" i="8" a="1"/>
  <c r="R332" i="8" s="1"/>
  <c r="F332" i="8"/>
  <c r="R331" i="8" a="1"/>
  <c r="R331" i="8" s="1"/>
  <c r="F331" i="8"/>
  <c r="R330" i="8" a="1"/>
  <c r="R330" i="8" s="1"/>
  <c r="F330" i="8"/>
  <c r="R329" i="8" a="1"/>
  <c r="R329" i="8" s="1"/>
  <c r="F329" i="8"/>
  <c r="R328" i="8" a="1"/>
  <c r="R328" i="8" s="1"/>
  <c r="F328" i="8"/>
  <c r="R327" i="8" a="1"/>
  <c r="R327" i="8" s="1"/>
  <c r="F327" i="8"/>
  <c r="R326" i="8" a="1"/>
  <c r="R326" i="8" s="1"/>
  <c r="F326" i="8"/>
  <c r="R325" i="8" a="1"/>
  <c r="R325" i="8" s="1"/>
  <c r="F325" i="8"/>
  <c r="R324" i="8" a="1"/>
  <c r="R324" i="8" s="1"/>
  <c r="F324" i="8"/>
  <c r="R323" i="8" a="1"/>
  <c r="R323" i="8" s="1"/>
  <c r="F323" i="8"/>
  <c r="R322" i="8" a="1"/>
  <c r="R322" i="8" s="1"/>
  <c r="F322" i="8"/>
  <c r="R321" i="8" a="1"/>
  <c r="R321" i="8" s="1"/>
  <c r="F321" i="8"/>
  <c r="R320" i="8" a="1"/>
  <c r="R320" i="8" s="1"/>
  <c r="F320" i="8"/>
  <c r="R319" i="8" a="1"/>
  <c r="R319" i="8" s="1"/>
  <c r="F319" i="8"/>
  <c r="R318" i="8" a="1"/>
  <c r="R318" i="8" s="1"/>
  <c r="F318" i="8"/>
  <c r="R317" i="8" a="1"/>
  <c r="R317" i="8" s="1"/>
  <c r="F317" i="8"/>
  <c r="R316" i="8" a="1"/>
  <c r="R316" i="8" s="1"/>
  <c r="F316" i="8"/>
  <c r="R315" i="8" a="1"/>
  <c r="R315" i="8" s="1"/>
  <c r="F315" i="8"/>
  <c r="R314" i="8" a="1"/>
  <c r="R314" i="8" s="1"/>
  <c r="F314" i="8"/>
  <c r="R313" i="8" a="1"/>
  <c r="R313" i="8" s="1"/>
  <c r="F313" i="8"/>
  <c r="R312" i="8" a="1"/>
  <c r="R312" i="8" s="1"/>
  <c r="F312" i="8"/>
  <c r="R311" i="8" a="1"/>
  <c r="R311" i="8" s="1"/>
  <c r="F311" i="8"/>
  <c r="R310" i="8" a="1"/>
  <c r="R310" i="8" s="1"/>
  <c r="F310" i="8"/>
  <c r="R309" i="8" a="1"/>
  <c r="R309" i="8" s="1"/>
  <c r="F309" i="8"/>
  <c r="R308" i="8" a="1"/>
  <c r="R308" i="8" s="1"/>
  <c r="F308" i="8"/>
  <c r="R307" i="8" a="1"/>
  <c r="R307" i="8" s="1"/>
  <c r="F307" i="8"/>
  <c r="R306" i="8" a="1"/>
  <c r="R306" i="8" s="1"/>
  <c r="F306" i="8"/>
  <c r="R305" i="8" a="1"/>
  <c r="R305" i="8" s="1"/>
  <c r="F305" i="8"/>
  <c r="R304" i="8" a="1"/>
  <c r="R304" i="8" s="1"/>
  <c r="F304" i="8"/>
  <c r="R303" i="8" a="1"/>
  <c r="R303" i="8" s="1"/>
  <c r="F303" i="8"/>
  <c r="R302" i="8" a="1"/>
  <c r="R302" i="8" s="1"/>
  <c r="F302" i="8"/>
  <c r="R301" i="8" a="1"/>
  <c r="R301" i="8" s="1"/>
  <c r="F301" i="8"/>
  <c r="R300" i="8" a="1"/>
  <c r="R300" i="8" s="1"/>
  <c r="F300" i="8"/>
  <c r="R299" i="8" a="1"/>
  <c r="R299" i="8" s="1"/>
  <c r="F299" i="8"/>
  <c r="R298" i="8" a="1"/>
  <c r="R298" i="8" s="1"/>
  <c r="F298" i="8"/>
  <c r="R297" i="8" a="1"/>
  <c r="R297" i="8" s="1"/>
  <c r="F297" i="8"/>
  <c r="R296" i="8" a="1"/>
  <c r="R296" i="8" s="1"/>
  <c r="F296" i="8"/>
  <c r="R295" i="8" a="1"/>
  <c r="R295" i="8" s="1"/>
  <c r="F295" i="8"/>
  <c r="R294" i="8" a="1"/>
  <c r="R294" i="8" s="1"/>
  <c r="F294" i="8"/>
  <c r="R293" i="8" a="1"/>
  <c r="R293" i="8" s="1"/>
  <c r="F293" i="8"/>
  <c r="R292" i="8" a="1"/>
  <c r="R292" i="8" s="1"/>
  <c r="F292" i="8"/>
  <c r="R291" i="8" a="1"/>
  <c r="R291" i="8" s="1"/>
  <c r="F291" i="8"/>
  <c r="R290" i="8" a="1"/>
  <c r="R290" i="8" s="1"/>
  <c r="F290" i="8"/>
  <c r="R289" i="8" a="1"/>
  <c r="R289" i="8" s="1"/>
  <c r="F289" i="8"/>
  <c r="R288" i="8" a="1"/>
  <c r="R288" i="8" s="1"/>
  <c r="F288" i="8"/>
  <c r="R287" i="8" a="1"/>
  <c r="R287" i="8" s="1"/>
  <c r="F287" i="8"/>
  <c r="R286" i="8" a="1"/>
  <c r="R286" i="8" s="1"/>
  <c r="F286" i="8"/>
  <c r="R285" i="8" a="1"/>
  <c r="R285" i="8" s="1"/>
  <c r="F285" i="8"/>
  <c r="R284" i="8" a="1"/>
  <c r="R284" i="8" s="1"/>
  <c r="F284" i="8"/>
  <c r="R283" i="8" a="1"/>
  <c r="R283" i="8" s="1"/>
  <c r="F283" i="8"/>
  <c r="R282" i="8" a="1"/>
  <c r="R282" i="8" s="1"/>
  <c r="F282" i="8"/>
  <c r="R281" i="8" a="1"/>
  <c r="R281" i="8" s="1"/>
  <c r="F281" i="8"/>
  <c r="R280" i="8" a="1"/>
  <c r="R280" i="8" s="1"/>
  <c r="F280" i="8"/>
  <c r="R279" i="8" a="1"/>
  <c r="R279" i="8" s="1"/>
  <c r="F279" i="8"/>
  <c r="R278" i="8" a="1"/>
  <c r="R278" i="8" s="1"/>
  <c r="F278" i="8"/>
  <c r="R277" i="8" a="1"/>
  <c r="R277" i="8" s="1"/>
  <c r="F277" i="8"/>
  <c r="R276" i="8" a="1"/>
  <c r="R276" i="8" s="1"/>
  <c r="F276" i="8"/>
  <c r="R275" i="8" a="1"/>
  <c r="R275" i="8" s="1"/>
  <c r="F275" i="8"/>
  <c r="R274" i="8" a="1"/>
  <c r="R274" i="8" s="1"/>
  <c r="F274" i="8"/>
  <c r="R273" i="8" a="1"/>
  <c r="R273" i="8" s="1"/>
  <c r="F273" i="8"/>
  <c r="R272" i="8" a="1"/>
  <c r="R272" i="8" s="1"/>
  <c r="F272" i="8"/>
  <c r="R271" i="8" a="1"/>
  <c r="R271" i="8" s="1"/>
  <c r="F271" i="8"/>
  <c r="R270" i="8" a="1"/>
  <c r="R270" i="8" s="1"/>
  <c r="F270" i="8"/>
  <c r="R269" i="8" a="1"/>
  <c r="R269" i="8" s="1"/>
  <c r="F269" i="8"/>
  <c r="R268" i="8" a="1"/>
  <c r="R268" i="8" s="1"/>
  <c r="F268" i="8"/>
  <c r="R267" i="8" a="1"/>
  <c r="R267" i="8" s="1"/>
  <c r="F267" i="8"/>
  <c r="R266" i="8" a="1"/>
  <c r="R266" i="8" s="1"/>
  <c r="F266" i="8"/>
  <c r="R265" i="8" a="1"/>
  <c r="R265" i="8" s="1"/>
  <c r="F265" i="8"/>
  <c r="R264" i="8" a="1"/>
  <c r="R264" i="8" s="1"/>
  <c r="F264" i="8"/>
  <c r="R263" i="8" a="1"/>
  <c r="R263" i="8" s="1"/>
  <c r="F263" i="8"/>
  <c r="R262" i="8" a="1"/>
  <c r="R262" i="8" s="1"/>
  <c r="F262" i="8"/>
  <c r="R261" i="8" a="1"/>
  <c r="R261" i="8" s="1"/>
  <c r="F261" i="8"/>
  <c r="R260" i="8" a="1"/>
  <c r="R260" i="8" s="1"/>
  <c r="F260" i="8"/>
  <c r="R259" i="8" a="1"/>
  <c r="R259" i="8" s="1"/>
  <c r="F259" i="8"/>
  <c r="R258" i="8" a="1"/>
  <c r="R258" i="8" s="1"/>
  <c r="F258" i="8"/>
  <c r="R257" i="8" a="1"/>
  <c r="R257" i="8" s="1"/>
  <c r="F257" i="8"/>
  <c r="R256" i="8" a="1"/>
  <c r="R256" i="8" s="1"/>
  <c r="F256" i="8"/>
  <c r="R255" i="8" a="1"/>
  <c r="R255" i="8" s="1"/>
  <c r="F255" i="8"/>
  <c r="R254" i="8" a="1"/>
  <c r="R254" i="8" s="1"/>
  <c r="F254" i="8"/>
  <c r="R253" i="8" a="1"/>
  <c r="R253" i="8" s="1"/>
  <c r="F253" i="8"/>
  <c r="R252" i="8" a="1"/>
  <c r="R252" i="8" s="1"/>
  <c r="F252" i="8"/>
  <c r="R251" i="8" a="1"/>
  <c r="R251" i="8" s="1"/>
  <c r="F251" i="8"/>
  <c r="R250" i="8" a="1"/>
  <c r="R250" i="8" s="1"/>
  <c r="F250" i="8"/>
  <c r="R249" i="8" a="1"/>
  <c r="R249" i="8" s="1"/>
  <c r="F249" i="8"/>
  <c r="R248" i="8" a="1"/>
  <c r="R248" i="8" s="1"/>
  <c r="F248" i="8"/>
  <c r="R247" i="8" a="1"/>
  <c r="R247" i="8" s="1"/>
  <c r="F247" i="8"/>
  <c r="R246" i="8" a="1"/>
  <c r="R246" i="8" s="1"/>
  <c r="F246" i="8"/>
  <c r="R245" i="8" a="1"/>
  <c r="R245" i="8" s="1"/>
  <c r="F245" i="8"/>
  <c r="R244" i="8" a="1"/>
  <c r="R244" i="8" s="1"/>
  <c r="F244" i="8"/>
  <c r="R243" i="8" a="1"/>
  <c r="R243" i="8" s="1"/>
  <c r="F243" i="8"/>
  <c r="R242" i="8" a="1"/>
  <c r="R242" i="8" s="1"/>
  <c r="F242" i="8"/>
  <c r="R241" i="8" a="1"/>
  <c r="R241" i="8" s="1"/>
  <c r="F241" i="8"/>
  <c r="R240" i="8" a="1"/>
  <c r="R240" i="8" s="1"/>
  <c r="F240" i="8"/>
  <c r="R239" i="8" a="1"/>
  <c r="R239" i="8" s="1"/>
  <c r="F239" i="8"/>
  <c r="R238" i="8" a="1"/>
  <c r="R238" i="8" s="1"/>
  <c r="F238" i="8"/>
  <c r="R237" i="8" a="1"/>
  <c r="R237" i="8" s="1"/>
  <c r="F237" i="8"/>
  <c r="R236" i="8" a="1"/>
  <c r="R236" i="8" s="1"/>
  <c r="F236" i="8"/>
  <c r="R235" i="8" a="1"/>
  <c r="R235" i="8" s="1"/>
  <c r="F235" i="8"/>
  <c r="R234" i="8" a="1"/>
  <c r="R234" i="8" s="1"/>
  <c r="F234" i="8"/>
  <c r="R233" i="8" a="1"/>
  <c r="R233" i="8" s="1"/>
  <c r="F233" i="8"/>
  <c r="R232" i="8" a="1"/>
  <c r="R232" i="8" s="1"/>
  <c r="F232" i="8"/>
  <c r="R231" i="8" a="1"/>
  <c r="R231" i="8" s="1"/>
  <c r="F231" i="8"/>
  <c r="R230" i="8" a="1"/>
  <c r="R230" i="8" s="1"/>
  <c r="F230" i="8"/>
  <c r="R229" i="8" a="1"/>
  <c r="R229" i="8" s="1"/>
  <c r="F229" i="8"/>
  <c r="R228" i="8" a="1"/>
  <c r="R228" i="8" s="1"/>
  <c r="F228" i="8"/>
  <c r="R227" i="8" a="1"/>
  <c r="R227" i="8" s="1"/>
  <c r="F227" i="8"/>
  <c r="R226" i="8" a="1"/>
  <c r="R226" i="8" s="1"/>
  <c r="F226" i="8"/>
  <c r="R225" i="8" a="1"/>
  <c r="R225" i="8" s="1"/>
  <c r="F225" i="8"/>
  <c r="R224" i="8" a="1"/>
  <c r="R224" i="8" s="1"/>
  <c r="F224" i="8"/>
  <c r="R223" i="8" a="1"/>
  <c r="R223" i="8" s="1"/>
  <c r="F223" i="8"/>
  <c r="R222" i="8" a="1"/>
  <c r="R222" i="8" s="1"/>
  <c r="F222" i="8"/>
  <c r="R221" i="8" a="1"/>
  <c r="R221" i="8" s="1"/>
  <c r="F221" i="8"/>
  <c r="R220" i="8" a="1"/>
  <c r="R220" i="8" s="1"/>
  <c r="F220" i="8"/>
  <c r="R219" i="8" a="1"/>
  <c r="R219" i="8" s="1"/>
  <c r="F219" i="8"/>
  <c r="R218" i="8" a="1"/>
  <c r="R218" i="8" s="1"/>
  <c r="F218" i="8"/>
  <c r="R217" i="8" a="1"/>
  <c r="R217" i="8" s="1"/>
  <c r="F217" i="8"/>
  <c r="R216" i="8" a="1"/>
  <c r="R216" i="8" s="1"/>
  <c r="F216" i="8"/>
  <c r="R215" i="8" a="1"/>
  <c r="R215" i="8" s="1"/>
  <c r="F215" i="8"/>
  <c r="R214" i="8" a="1"/>
  <c r="R214" i="8" s="1"/>
  <c r="F214" i="8"/>
  <c r="R213" i="8" a="1"/>
  <c r="R213" i="8" s="1"/>
  <c r="F213" i="8"/>
  <c r="R212" i="8" a="1"/>
  <c r="R212" i="8" s="1"/>
  <c r="F212" i="8"/>
  <c r="R211" i="8" a="1"/>
  <c r="R211" i="8" s="1"/>
  <c r="F211" i="8"/>
  <c r="R210" i="8" a="1"/>
  <c r="R210" i="8" s="1"/>
  <c r="F210" i="8"/>
  <c r="R209" i="8" a="1"/>
  <c r="R209" i="8" s="1"/>
  <c r="F209" i="8"/>
  <c r="R208" i="8" a="1"/>
  <c r="R208" i="8" s="1"/>
  <c r="F208" i="8"/>
  <c r="R207" i="8" a="1"/>
  <c r="R207" i="8" s="1"/>
  <c r="F207" i="8"/>
  <c r="R206" i="8" a="1"/>
  <c r="R206" i="8" s="1"/>
  <c r="F206" i="8"/>
  <c r="R205" i="8" a="1"/>
  <c r="R205" i="8" s="1"/>
  <c r="F205" i="8"/>
  <c r="R204" i="8" a="1"/>
  <c r="R204" i="8" s="1"/>
  <c r="F204" i="8"/>
  <c r="R203" i="8" a="1"/>
  <c r="R203" i="8" s="1"/>
  <c r="F203" i="8"/>
  <c r="R202" i="8" a="1"/>
  <c r="R202" i="8" s="1"/>
  <c r="F202" i="8"/>
  <c r="R201" i="8" a="1"/>
  <c r="R201" i="8" s="1"/>
  <c r="F201" i="8"/>
  <c r="R200" i="8" a="1"/>
  <c r="R200" i="8" s="1"/>
  <c r="F200" i="8"/>
  <c r="R199" i="8" a="1"/>
  <c r="R199" i="8" s="1"/>
  <c r="F199" i="8"/>
  <c r="R198" i="8" a="1"/>
  <c r="R198" i="8" s="1"/>
  <c r="F198" i="8"/>
  <c r="R197" i="8" a="1"/>
  <c r="R197" i="8" s="1"/>
  <c r="F197" i="8"/>
  <c r="R196" i="8" a="1"/>
  <c r="R196" i="8" s="1"/>
  <c r="F196" i="8"/>
  <c r="R195" i="8" a="1"/>
  <c r="R195" i="8" s="1"/>
  <c r="F195" i="8"/>
  <c r="R194" i="8" a="1"/>
  <c r="R194" i="8" s="1"/>
  <c r="F194" i="8"/>
  <c r="R193" i="8" a="1"/>
  <c r="R193" i="8" s="1"/>
  <c r="F193" i="8"/>
  <c r="R192" i="8" a="1"/>
  <c r="R192" i="8" s="1"/>
  <c r="F192" i="8"/>
  <c r="R191" i="8" a="1"/>
  <c r="R191" i="8" s="1"/>
  <c r="F191" i="8"/>
  <c r="R190" i="8" a="1"/>
  <c r="R190" i="8" s="1"/>
  <c r="F190" i="8"/>
  <c r="R189" i="8" a="1"/>
  <c r="R189" i="8" s="1"/>
  <c r="F189" i="8"/>
  <c r="R188" i="8" a="1"/>
  <c r="R188" i="8" s="1"/>
  <c r="F188" i="8"/>
  <c r="R187" i="8" a="1"/>
  <c r="R187" i="8" s="1"/>
  <c r="F187" i="8"/>
  <c r="R186" i="8" a="1"/>
  <c r="R186" i="8" s="1"/>
  <c r="F186" i="8"/>
  <c r="R185" i="8" a="1"/>
  <c r="R185" i="8" s="1"/>
  <c r="F185" i="8"/>
  <c r="R184" i="8" a="1"/>
  <c r="R184" i="8" s="1"/>
  <c r="F184" i="8"/>
  <c r="R183" i="8" a="1"/>
  <c r="R183" i="8" s="1"/>
  <c r="F183" i="8"/>
  <c r="R182" i="8" a="1"/>
  <c r="R182" i="8" s="1"/>
  <c r="F182" i="8"/>
  <c r="R181" i="8" a="1"/>
  <c r="R181" i="8" s="1"/>
  <c r="F181" i="8"/>
  <c r="R180" i="8" a="1"/>
  <c r="R180" i="8" s="1"/>
  <c r="F180" i="8"/>
  <c r="R179" i="8" a="1"/>
  <c r="R179" i="8" s="1"/>
  <c r="F179" i="8"/>
  <c r="R178" i="8" a="1"/>
  <c r="R178" i="8" s="1"/>
  <c r="F178" i="8"/>
  <c r="R177" i="8" a="1"/>
  <c r="R177" i="8" s="1"/>
  <c r="F177" i="8"/>
  <c r="R176" i="8" a="1"/>
  <c r="R176" i="8" s="1"/>
  <c r="F176" i="8"/>
  <c r="R175" i="8" a="1"/>
  <c r="R175" i="8" s="1"/>
  <c r="F175" i="8"/>
  <c r="R174" i="8" a="1"/>
  <c r="R174" i="8" s="1"/>
  <c r="F174" i="8"/>
  <c r="R173" i="8" a="1"/>
  <c r="R173" i="8" s="1"/>
  <c r="F173" i="8"/>
  <c r="R172" i="8" a="1"/>
  <c r="R172" i="8" s="1"/>
  <c r="F172" i="8"/>
  <c r="R171" i="8" a="1"/>
  <c r="R171" i="8" s="1"/>
  <c r="F171" i="8"/>
  <c r="R170" i="8" a="1"/>
  <c r="R170" i="8" s="1"/>
  <c r="F170" i="8"/>
  <c r="R169" i="8" a="1"/>
  <c r="R169" i="8" s="1"/>
  <c r="F169" i="8"/>
  <c r="R168" i="8" a="1"/>
  <c r="R168" i="8" s="1"/>
  <c r="F168" i="8"/>
  <c r="R167" i="8" a="1"/>
  <c r="R167" i="8" s="1"/>
  <c r="F167" i="8"/>
  <c r="R166" i="8" a="1"/>
  <c r="R166" i="8" s="1"/>
  <c r="F166" i="8"/>
  <c r="R165" i="8" a="1"/>
  <c r="R165" i="8" s="1"/>
  <c r="F165" i="8"/>
  <c r="R164" i="8" a="1"/>
  <c r="R164" i="8" s="1"/>
  <c r="F164" i="8"/>
  <c r="R163" i="8" a="1"/>
  <c r="R163" i="8" s="1"/>
  <c r="F163" i="8"/>
  <c r="R162" i="8" a="1"/>
  <c r="R162" i="8" s="1"/>
  <c r="F162" i="8"/>
  <c r="R161" i="8" a="1"/>
  <c r="R161" i="8" s="1"/>
  <c r="F161" i="8"/>
  <c r="R160" i="8" a="1"/>
  <c r="R160" i="8" s="1"/>
  <c r="F160" i="8"/>
  <c r="R159" i="8" a="1"/>
  <c r="R159" i="8" s="1"/>
  <c r="F159" i="8"/>
  <c r="R158" i="8" a="1"/>
  <c r="R158" i="8" s="1"/>
  <c r="F158" i="8"/>
  <c r="R157" i="8" a="1"/>
  <c r="R157" i="8" s="1"/>
  <c r="F157" i="8"/>
  <c r="R156" i="8" a="1"/>
  <c r="R156" i="8" s="1"/>
  <c r="F156" i="8"/>
  <c r="R155" i="8" a="1"/>
  <c r="R155" i="8" s="1"/>
  <c r="F155" i="8"/>
  <c r="R154" i="8" a="1"/>
  <c r="R154" i="8" s="1"/>
  <c r="F154" i="8"/>
  <c r="R153" i="8" a="1"/>
  <c r="R153" i="8" s="1"/>
  <c r="F153" i="8"/>
  <c r="R152" i="8" a="1"/>
  <c r="R152" i="8" s="1"/>
  <c r="F152" i="8"/>
  <c r="R151" i="8" a="1"/>
  <c r="R151" i="8" s="1"/>
  <c r="F151" i="8"/>
  <c r="R150" i="8" a="1"/>
  <c r="R150" i="8" s="1"/>
  <c r="F150" i="8"/>
  <c r="R149" i="8" a="1"/>
  <c r="R149" i="8" s="1"/>
  <c r="F149" i="8"/>
  <c r="R148" i="8" a="1"/>
  <c r="R148" i="8" s="1"/>
  <c r="F148" i="8"/>
  <c r="R147" i="8" a="1"/>
  <c r="R147" i="8" s="1"/>
  <c r="F147" i="8"/>
  <c r="R146" i="8" a="1"/>
  <c r="R146" i="8" s="1"/>
  <c r="F146" i="8"/>
  <c r="R145" i="8" a="1"/>
  <c r="R145" i="8" s="1"/>
  <c r="F145" i="8"/>
  <c r="R144" i="8" a="1"/>
  <c r="R144" i="8" s="1"/>
  <c r="F144" i="8"/>
  <c r="R143" i="8" a="1"/>
  <c r="R143" i="8" s="1"/>
  <c r="F143" i="8"/>
  <c r="R142" i="8" a="1"/>
  <c r="R142" i="8" s="1"/>
  <c r="F142" i="8"/>
  <c r="R141" i="8" a="1"/>
  <c r="R141" i="8" s="1"/>
  <c r="F141" i="8"/>
  <c r="R140" i="8" a="1"/>
  <c r="R140" i="8" s="1"/>
  <c r="F140" i="8"/>
  <c r="R139" i="8" a="1"/>
  <c r="R139" i="8" s="1"/>
  <c r="F139" i="8"/>
  <c r="R138" i="8" a="1"/>
  <c r="R138" i="8" s="1"/>
  <c r="F138" i="8"/>
  <c r="R137" i="8" a="1"/>
  <c r="R137" i="8" s="1"/>
  <c r="F137" i="8"/>
  <c r="R136" i="8" a="1"/>
  <c r="R136" i="8" s="1"/>
  <c r="F136" i="8"/>
  <c r="R135" i="8" a="1"/>
  <c r="R135" i="8" s="1"/>
  <c r="F135" i="8"/>
  <c r="R134" i="8" a="1"/>
  <c r="R134" i="8" s="1"/>
  <c r="F134" i="8"/>
  <c r="R133" i="8" a="1"/>
  <c r="R133" i="8" s="1"/>
  <c r="F133" i="8"/>
  <c r="R132" i="8" a="1"/>
  <c r="R132" i="8" s="1"/>
  <c r="F132" i="8"/>
  <c r="R131" i="8" a="1"/>
  <c r="R131" i="8" s="1"/>
  <c r="F131" i="8"/>
  <c r="R130" i="8" a="1"/>
  <c r="R130" i="8" s="1"/>
  <c r="F130" i="8"/>
  <c r="R129" i="8" a="1"/>
  <c r="R129" i="8" s="1"/>
  <c r="F129" i="8"/>
  <c r="R128" i="8" a="1"/>
  <c r="R128" i="8" s="1"/>
  <c r="F128" i="8"/>
  <c r="R127" i="8" a="1"/>
  <c r="R127" i="8" s="1"/>
  <c r="F127" i="8"/>
  <c r="R126" i="8" a="1"/>
  <c r="R126" i="8" s="1"/>
  <c r="F126" i="8"/>
  <c r="R125" i="8" a="1"/>
  <c r="R125" i="8" s="1"/>
  <c r="F125" i="8"/>
  <c r="R124" i="8" a="1"/>
  <c r="R124" i="8" s="1"/>
  <c r="F124" i="8"/>
  <c r="R123" i="8" a="1"/>
  <c r="R123" i="8" s="1"/>
  <c r="F123" i="8"/>
  <c r="R122" i="8" a="1"/>
  <c r="R122" i="8" s="1"/>
  <c r="F122" i="8"/>
  <c r="R121" i="8" a="1"/>
  <c r="R121" i="8" s="1"/>
  <c r="F121" i="8"/>
  <c r="R120" i="8" a="1"/>
  <c r="R120" i="8" s="1"/>
  <c r="F120" i="8"/>
  <c r="R119" i="8" a="1"/>
  <c r="R119" i="8" s="1"/>
  <c r="F119" i="8"/>
  <c r="R118" i="8" a="1"/>
  <c r="R118" i="8" s="1"/>
  <c r="F118" i="8"/>
  <c r="R117" i="8" a="1"/>
  <c r="R117" i="8" s="1"/>
  <c r="F117" i="8"/>
  <c r="R116" i="8" a="1"/>
  <c r="R116" i="8" s="1"/>
  <c r="F116" i="8"/>
  <c r="R115" i="8" a="1"/>
  <c r="R115" i="8" s="1"/>
  <c r="F115" i="8"/>
  <c r="R114" i="8" a="1"/>
  <c r="R114" i="8" s="1"/>
  <c r="F114" i="8"/>
  <c r="R113" i="8" a="1"/>
  <c r="R113" i="8" s="1"/>
  <c r="F113" i="8"/>
  <c r="R112" i="8" a="1"/>
  <c r="R112" i="8" s="1"/>
  <c r="F112" i="8"/>
  <c r="R111" i="8" a="1"/>
  <c r="R111" i="8" s="1"/>
  <c r="F111" i="8"/>
  <c r="R110" i="8" a="1"/>
  <c r="R110" i="8" s="1"/>
  <c r="F110" i="8"/>
  <c r="R109" i="8" a="1"/>
  <c r="R109" i="8" s="1"/>
  <c r="F109" i="8"/>
  <c r="R108" i="8" a="1"/>
  <c r="R108" i="8" s="1"/>
  <c r="F108" i="8"/>
  <c r="R107" i="8" a="1"/>
  <c r="R107" i="8" s="1"/>
  <c r="F107" i="8"/>
  <c r="R106" i="8" a="1"/>
  <c r="R106" i="8" s="1"/>
  <c r="F106" i="8"/>
  <c r="R105" i="8" a="1"/>
  <c r="R105" i="8" s="1"/>
  <c r="F105" i="8"/>
  <c r="R104" i="8" a="1"/>
  <c r="R104" i="8" s="1"/>
  <c r="F104" i="8"/>
  <c r="R103" i="8" a="1"/>
  <c r="R103" i="8" s="1"/>
  <c r="F103" i="8"/>
  <c r="R102" i="8" a="1"/>
  <c r="R102" i="8" s="1"/>
  <c r="F102" i="8"/>
  <c r="R101" i="8" a="1"/>
  <c r="R101" i="8" s="1"/>
  <c r="F101" i="8"/>
  <c r="R100" i="8" a="1"/>
  <c r="R100" i="8" s="1"/>
  <c r="F100" i="8"/>
  <c r="R99" i="8" a="1"/>
  <c r="R99" i="8" s="1"/>
  <c r="F99" i="8"/>
  <c r="R98" i="8" a="1"/>
  <c r="R98" i="8" s="1"/>
  <c r="F98" i="8"/>
  <c r="R97" i="8" a="1"/>
  <c r="R97" i="8" s="1"/>
  <c r="F97" i="8"/>
  <c r="R96" i="8" a="1"/>
  <c r="R96" i="8" s="1"/>
  <c r="F96" i="8"/>
  <c r="R95" i="8" a="1"/>
  <c r="R95" i="8" s="1"/>
  <c r="F95" i="8"/>
  <c r="R94" i="8" a="1"/>
  <c r="R94" i="8" s="1"/>
  <c r="F94" i="8"/>
  <c r="R93" i="8" a="1"/>
  <c r="R93" i="8" s="1"/>
  <c r="F93" i="8"/>
  <c r="R92" i="8" a="1"/>
  <c r="R92" i="8" s="1"/>
  <c r="F92" i="8"/>
  <c r="R91" i="8" a="1"/>
  <c r="R91" i="8" s="1"/>
  <c r="F91" i="8"/>
  <c r="R90" i="8" a="1"/>
  <c r="R90" i="8" s="1"/>
  <c r="F90" i="8"/>
  <c r="R89" i="8" a="1"/>
  <c r="R89" i="8" s="1"/>
  <c r="F89" i="8"/>
  <c r="R88" i="8" a="1"/>
  <c r="R88" i="8" s="1"/>
  <c r="F88" i="8"/>
  <c r="R87" i="8" a="1"/>
  <c r="R87" i="8" s="1"/>
  <c r="F87" i="8"/>
  <c r="R86" i="8" a="1"/>
  <c r="R86" i="8" s="1"/>
  <c r="F86" i="8"/>
  <c r="R85" i="8" a="1"/>
  <c r="R85" i="8" s="1"/>
  <c r="F85" i="8"/>
  <c r="R84" i="8" a="1"/>
  <c r="R84" i="8" s="1"/>
  <c r="F84" i="8"/>
  <c r="R83" i="8" a="1"/>
  <c r="R83" i="8" s="1"/>
  <c r="F83" i="8"/>
  <c r="R82" i="8" a="1"/>
  <c r="R82" i="8" s="1"/>
  <c r="F82" i="8"/>
  <c r="R81" i="8" a="1"/>
  <c r="R81" i="8" s="1"/>
  <c r="F81" i="8"/>
  <c r="R80" i="8" a="1"/>
  <c r="R80" i="8" s="1"/>
  <c r="F80" i="8"/>
  <c r="R79" i="8" a="1"/>
  <c r="R79" i="8" s="1"/>
  <c r="F79" i="8"/>
  <c r="R78" i="8" a="1"/>
  <c r="R78" i="8" s="1"/>
  <c r="F78" i="8"/>
  <c r="R77" i="8" a="1"/>
  <c r="R77" i="8" s="1"/>
  <c r="F77" i="8"/>
  <c r="R76" i="8" a="1"/>
  <c r="R76" i="8" s="1"/>
  <c r="F76" i="8"/>
  <c r="R75" i="8" a="1"/>
  <c r="R75" i="8" s="1"/>
  <c r="F75" i="8"/>
  <c r="R74" i="8" a="1"/>
  <c r="R74" i="8" s="1"/>
  <c r="F74" i="8"/>
  <c r="R73" i="8" a="1"/>
  <c r="R73" i="8" s="1"/>
  <c r="F73" i="8"/>
  <c r="R72" i="8" a="1"/>
  <c r="R72" i="8" s="1"/>
  <c r="F72" i="8"/>
  <c r="R71" i="8" a="1"/>
  <c r="R71" i="8" s="1"/>
  <c r="F71" i="8"/>
  <c r="R70" i="8" a="1"/>
  <c r="R70" i="8" s="1"/>
  <c r="F70" i="8"/>
  <c r="R69" i="8" a="1"/>
  <c r="R69" i="8" s="1"/>
  <c r="F69" i="8"/>
  <c r="R68" i="8" a="1"/>
  <c r="R68" i="8" s="1"/>
  <c r="F68" i="8"/>
  <c r="R67" i="8" a="1"/>
  <c r="R67" i="8" s="1"/>
  <c r="F67" i="8"/>
  <c r="R66" i="8" a="1"/>
  <c r="R66" i="8" s="1"/>
  <c r="F66" i="8"/>
  <c r="R65" i="8" a="1"/>
  <c r="R65" i="8" s="1"/>
  <c r="F65" i="8"/>
  <c r="R64" i="8" a="1"/>
  <c r="R64" i="8" s="1"/>
  <c r="F64" i="8"/>
  <c r="R63" i="8" a="1"/>
  <c r="R63" i="8" s="1"/>
  <c r="F63" i="8"/>
  <c r="R62" i="8" a="1"/>
  <c r="R62" i="8" s="1"/>
  <c r="F62" i="8"/>
  <c r="R61" i="8" a="1"/>
  <c r="R61" i="8" s="1"/>
  <c r="F61" i="8"/>
  <c r="R60" i="8" a="1"/>
  <c r="R60" i="8" s="1"/>
  <c r="F60" i="8"/>
  <c r="R59" i="8" a="1"/>
  <c r="R59" i="8" s="1"/>
  <c r="F59" i="8"/>
  <c r="R58" i="8" a="1"/>
  <c r="R58" i="8" s="1"/>
  <c r="F58" i="8"/>
  <c r="R57" i="8" a="1"/>
  <c r="R57" i="8" s="1"/>
  <c r="F57" i="8"/>
  <c r="R56" i="8" a="1"/>
  <c r="R56" i="8" s="1"/>
  <c r="F56" i="8"/>
  <c r="R55" i="8" a="1"/>
  <c r="R55" i="8" s="1"/>
  <c r="F55" i="8"/>
  <c r="R54" i="8" a="1"/>
  <c r="R54" i="8" s="1"/>
  <c r="F54" i="8"/>
  <c r="R53" i="8" a="1"/>
  <c r="R53" i="8" s="1"/>
  <c r="F53" i="8"/>
  <c r="R52" i="8" a="1"/>
  <c r="R52" i="8" s="1"/>
  <c r="F52" i="8"/>
  <c r="R51" i="8" a="1"/>
  <c r="R51" i="8" s="1"/>
  <c r="F51" i="8"/>
  <c r="R50" i="8" a="1"/>
  <c r="R50" i="8" s="1"/>
  <c r="F50" i="8"/>
  <c r="R49" i="8" a="1"/>
  <c r="R49" i="8" s="1"/>
  <c r="F49" i="8"/>
  <c r="R48" i="8" a="1"/>
  <c r="R48" i="8" s="1"/>
  <c r="F48" i="8"/>
  <c r="R47" i="8" a="1"/>
  <c r="R47" i="8" s="1"/>
  <c r="F47" i="8"/>
  <c r="R46" i="8" a="1"/>
  <c r="R46" i="8" s="1"/>
  <c r="F46" i="8"/>
  <c r="R45" i="8" a="1"/>
  <c r="R45" i="8" s="1"/>
  <c r="F45" i="8"/>
  <c r="R44" i="8" a="1"/>
  <c r="R44" i="8" s="1"/>
  <c r="F44" i="8"/>
  <c r="R43" i="8" a="1"/>
  <c r="R43" i="8" s="1"/>
  <c r="F43" i="8"/>
  <c r="R42" i="8" a="1"/>
  <c r="R42" i="8" s="1"/>
  <c r="F42" i="8"/>
  <c r="R41" i="8" a="1"/>
  <c r="R41" i="8" s="1"/>
  <c r="F41" i="8"/>
  <c r="R40" i="8" a="1"/>
  <c r="R40" i="8" s="1"/>
  <c r="F40" i="8"/>
  <c r="R39" i="8" a="1"/>
  <c r="R39" i="8" s="1"/>
  <c r="F39" i="8"/>
  <c r="R38" i="8" a="1"/>
  <c r="R38" i="8" s="1"/>
  <c r="F38" i="8"/>
  <c r="R37" i="8" a="1"/>
  <c r="R37" i="8" s="1"/>
  <c r="F37" i="8"/>
  <c r="R36" i="8" a="1"/>
  <c r="R36" i="8" s="1"/>
  <c r="F36" i="8"/>
  <c r="R35" i="8" a="1"/>
  <c r="R35" i="8" s="1"/>
  <c r="F35" i="8"/>
  <c r="R34" i="8" a="1"/>
  <c r="R34" i="8" s="1"/>
  <c r="F34" i="8"/>
  <c r="R33" i="8" a="1"/>
  <c r="R33" i="8" s="1"/>
  <c r="F33" i="8"/>
  <c r="R32" i="8" a="1"/>
  <c r="R32" i="8" s="1"/>
  <c r="F32" i="8"/>
  <c r="R31" i="8" a="1"/>
  <c r="R31" i="8" s="1"/>
  <c r="F31" i="8"/>
  <c r="R30" i="8" a="1"/>
  <c r="R30" i="8" s="1"/>
  <c r="F30" i="8"/>
  <c r="R29" i="8" a="1"/>
  <c r="R29" i="8" s="1"/>
  <c r="F29" i="8"/>
  <c r="R28" i="8" a="1"/>
  <c r="R28" i="8" s="1"/>
  <c r="F28" i="8"/>
  <c r="R27" i="8" a="1"/>
  <c r="R27" i="8" s="1"/>
  <c r="F27" i="8"/>
  <c r="R26" i="8" a="1"/>
  <c r="R26" i="8" s="1"/>
  <c r="F26" i="8"/>
  <c r="R25" i="8" a="1"/>
  <c r="R25" i="8" s="1"/>
  <c r="F25" i="8"/>
  <c r="R24" i="8" a="1"/>
  <c r="R24" i="8" s="1"/>
  <c r="F24" i="8"/>
  <c r="R23" i="8" a="1"/>
  <c r="R23" i="8" s="1"/>
  <c r="F23" i="8"/>
  <c r="R22" i="8" a="1"/>
  <c r="R22" i="8" s="1"/>
  <c r="F22" i="8"/>
  <c r="R21" i="8" a="1"/>
  <c r="R21" i="8" s="1"/>
  <c r="F21" i="8"/>
  <c r="R20" i="8" a="1"/>
  <c r="R20" i="8" s="1"/>
  <c r="F20" i="8"/>
  <c r="R19" i="8" a="1"/>
  <c r="R19" i="8" s="1"/>
  <c r="F19" i="8"/>
  <c r="R18" i="8" a="1"/>
  <c r="R18" i="8" s="1"/>
  <c r="F18" i="8"/>
  <c r="R17" i="8" a="1"/>
  <c r="R17" i="8" s="1"/>
  <c r="F17" i="8"/>
  <c r="R16" i="8" a="1"/>
  <c r="R16" i="8" s="1"/>
  <c r="F16" i="8"/>
  <c r="R15" i="8" a="1"/>
  <c r="R15" i="8" s="1"/>
  <c r="F15" i="8"/>
  <c r="R14" i="8" a="1"/>
  <c r="R14" i="8" s="1"/>
  <c r="F14" i="8"/>
  <c r="R13" i="8" a="1"/>
  <c r="R13" i="8" s="1"/>
  <c r="F13" i="8"/>
  <c r="R12" i="8" a="1"/>
  <c r="R12" i="8" s="1"/>
  <c r="F12" i="8"/>
  <c r="R11" i="8" a="1"/>
  <c r="R11" i="8" s="1"/>
  <c r="F11" i="8"/>
  <c r="R10" i="8" a="1"/>
  <c r="R10" i="8" s="1"/>
  <c r="F10" i="8"/>
  <c r="R9" i="8" a="1"/>
  <c r="R9" i="8" s="1"/>
  <c r="F9" i="8"/>
  <c r="R8" i="8" a="1"/>
  <c r="R8" i="8" s="1"/>
  <c r="F8" i="8"/>
  <c r="R7" i="8" a="1"/>
  <c r="R7" i="8" s="1"/>
  <c r="F7" i="8"/>
  <c r="R6" i="8" a="1"/>
  <c r="R6" i="8" s="1"/>
  <c r="F6" i="8"/>
  <c r="R5" i="8" a="1"/>
  <c r="R5" i="8" s="1"/>
  <c r="F5" i="8"/>
  <c r="R4" i="8" a="1"/>
  <c r="R4" i="8" s="1"/>
  <c r="F4" i="8"/>
  <c r="R3" i="8" a="1"/>
  <c r="R3" i="8" s="1"/>
  <c r="F3" i="8"/>
  <c r="R2" i="8" a="1"/>
  <c r="R2" i="8" s="1"/>
  <c r="F2" i="8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S3" i="1" a="1"/>
  <c r="S3" i="1"/>
  <c r="S4" i="1" a="1"/>
  <c r="S4" i="1"/>
  <c r="S5" i="1" a="1"/>
  <c r="S5" i="1"/>
  <c r="S6" i="1" a="1"/>
  <c r="S6" i="1"/>
  <c r="S7" i="1" a="1"/>
  <c r="S7" i="1"/>
  <c r="S8" i="1" a="1"/>
  <c r="S8" i="1"/>
  <c r="S9" i="1" a="1"/>
  <c r="S9" i="1"/>
  <c r="S10" i="1" a="1"/>
  <c r="S10" i="1"/>
  <c r="S11" i="1" a="1"/>
  <c r="S11" i="1"/>
  <c r="S12" i="1" a="1"/>
  <c r="S12" i="1"/>
  <c r="S13" i="1" a="1"/>
  <c r="S13" i="1"/>
  <c r="S14" i="1" a="1"/>
  <c r="S14" i="1"/>
  <c r="S15" i="1" a="1"/>
  <c r="S15" i="1"/>
  <c r="S16" i="1" a="1"/>
  <c r="S16" i="1"/>
  <c r="S17" i="1" a="1"/>
  <c r="S17" i="1"/>
  <c r="S18" i="1" a="1"/>
  <c r="S18" i="1"/>
  <c r="S19" i="1" a="1"/>
  <c r="S19" i="1"/>
  <c r="S20" i="1" a="1"/>
  <c r="S20" i="1"/>
  <c r="S21" i="1" a="1"/>
  <c r="S21" i="1"/>
  <c r="S22" i="1" a="1"/>
  <c r="S22" i="1"/>
  <c r="S23" i="1" a="1"/>
  <c r="S23" i="1"/>
  <c r="S24" i="1" a="1"/>
  <c r="S24" i="1"/>
  <c r="S25" i="1" a="1"/>
  <c r="S25" i="1"/>
  <c r="S26" i="1" a="1"/>
  <c r="S26" i="1"/>
  <c r="S27" i="1" a="1"/>
  <c r="S27" i="1"/>
  <c r="S28" i="1" a="1"/>
  <c r="S28" i="1"/>
  <c r="S29" i="1" a="1"/>
  <c r="S29" i="1"/>
  <c r="S30" i="1" a="1"/>
  <c r="S30" i="1"/>
  <c r="S31" i="1" a="1"/>
  <c r="S31" i="1"/>
  <c r="S32" i="1" a="1"/>
  <c r="S32" i="1"/>
  <c r="S33" i="1" a="1"/>
  <c r="S33" i="1"/>
  <c r="S34" i="1" a="1"/>
  <c r="S34" i="1"/>
  <c r="S35" i="1" a="1"/>
  <c r="S35" i="1"/>
  <c r="S36" i="1" a="1"/>
  <c r="S36" i="1"/>
  <c r="S37" i="1" a="1"/>
  <c r="S37" i="1"/>
  <c r="S38" i="1" a="1"/>
  <c r="S38" i="1"/>
  <c r="S39" i="1" a="1"/>
  <c r="S39" i="1"/>
  <c r="S40" i="1" a="1"/>
  <c r="S40" i="1"/>
  <c r="S41" i="1" a="1"/>
  <c r="S41" i="1"/>
  <c r="S42" i="1" a="1"/>
  <c r="S42" i="1"/>
  <c r="S43" i="1" a="1"/>
  <c r="S43" i="1"/>
  <c r="S44" i="1" a="1"/>
  <c r="S44" i="1"/>
  <c r="S45" i="1" a="1"/>
  <c r="S45" i="1"/>
  <c r="S46" i="1" a="1"/>
  <c r="S46" i="1"/>
  <c r="S47" i="1" a="1"/>
  <c r="S47" i="1"/>
  <c r="S48" i="1" a="1"/>
  <c r="S48" i="1"/>
  <c r="S49" i="1" a="1"/>
  <c r="S49" i="1"/>
  <c r="S50" i="1" a="1"/>
  <c r="S50" i="1"/>
  <c r="S51" i="1" a="1"/>
  <c r="S51" i="1"/>
  <c r="S52" i="1" a="1"/>
  <c r="S52" i="1"/>
  <c r="S53" i="1" a="1"/>
  <c r="S53" i="1"/>
  <c r="S54" i="1" a="1"/>
  <c r="S54" i="1"/>
  <c r="S55" i="1" a="1"/>
  <c r="S55" i="1"/>
  <c r="S56" i="1" a="1"/>
  <c r="S56" i="1"/>
  <c r="S57" i="1" a="1"/>
  <c r="S57" i="1"/>
  <c r="S58" i="1" a="1"/>
  <c r="S58" i="1"/>
  <c r="S59" i="1" a="1"/>
  <c r="S59" i="1"/>
  <c r="S60" i="1" a="1"/>
  <c r="S60" i="1"/>
  <c r="S61" i="1" a="1"/>
  <c r="S61" i="1"/>
  <c r="S62" i="1" a="1"/>
  <c r="S62" i="1"/>
  <c r="S63" i="1" a="1"/>
  <c r="S63" i="1"/>
  <c r="S64" i="1" a="1"/>
  <c r="S64" i="1"/>
  <c r="S65" i="1" a="1"/>
  <c r="S65" i="1"/>
  <c r="S66" i="1" a="1"/>
  <c r="S66" i="1"/>
  <c r="S67" i="1" a="1"/>
  <c r="S67" i="1"/>
  <c r="S68" i="1" a="1"/>
  <c r="S68" i="1"/>
  <c r="S69" i="1" a="1"/>
  <c r="S69" i="1"/>
  <c r="S70" i="1" a="1"/>
  <c r="S70" i="1"/>
  <c r="S71" i="1" a="1"/>
  <c r="S71" i="1"/>
  <c r="S72" i="1" a="1"/>
  <c r="S72" i="1"/>
  <c r="S73" i="1" a="1"/>
  <c r="S73" i="1"/>
  <c r="S74" i="1" a="1"/>
  <c r="S74" i="1"/>
  <c r="S75" i="1" a="1"/>
  <c r="S75" i="1"/>
  <c r="S76" i="1" a="1"/>
  <c r="S76" i="1"/>
  <c r="S77" i="1" a="1"/>
  <c r="S77" i="1"/>
  <c r="S78" i="1" a="1"/>
  <c r="S78" i="1"/>
  <c r="S79" i="1" a="1"/>
  <c r="S79" i="1"/>
  <c r="S80" i="1" a="1"/>
  <c r="S80" i="1"/>
  <c r="S81" i="1" a="1"/>
  <c r="S81" i="1"/>
  <c r="S82" i="1" a="1"/>
  <c r="S82" i="1"/>
  <c r="S83" i="1" a="1"/>
  <c r="S83" i="1"/>
  <c r="S84" i="1" a="1"/>
  <c r="S84" i="1"/>
  <c r="S85" i="1" a="1"/>
  <c r="S85" i="1"/>
  <c r="S86" i="1" a="1"/>
  <c r="S86" i="1"/>
  <c r="S87" i="1" a="1"/>
  <c r="S87" i="1"/>
  <c r="S88" i="1" a="1"/>
  <c r="S88" i="1"/>
  <c r="S89" i="1" a="1"/>
  <c r="S89" i="1"/>
  <c r="S90" i="1" a="1"/>
  <c r="S90" i="1"/>
  <c r="S91" i="1" a="1"/>
  <c r="S91" i="1"/>
  <c r="S92" i="1" a="1"/>
  <c r="S92" i="1"/>
  <c r="S93" i="1" a="1"/>
  <c r="S93" i="1"/>
  <c r="S94" i="1" a="1"/>
  <c r="S94" i="1"/>
  <c r="S95" i="1" a="1"/>
  <c r="S95" i="1"/>
  <c r="S96" i="1" a="1"/>
  <c r="S96" i="1"/>
  <c r="S97" i="1" a="1"/>
  <c r="S97" i="1"/>
  <c r="S98" i="1" a="1"/>
  <c r="S98" i="1"/>
  <c r="S99" i="1" a="1"/>
  <c r="S99" i="1"/>
  <c r="S100" i="1" a="1"/>
  <c r="S100" i="1"/>
  <c r="S101" i="1" a="1"/>
  <c r="S101" i="1"/>
  <c r="S102" i="1" a="1"/>
  <c r="S102" i="1"/>
  <c r="S103" i="1" a="1"/>
  <c r="S103" i="1"/>
  <c r="S104" i="1" a="1"/>
  <c r="S104" i="1"/>
  <c r="S105" i="1" a="1"/>
  <c r="S105" i="1"/>
  <c r="S106" i="1" a="1"/>
  <c r="S106" i="1"/>
  <c r="S107" i="1" a="1"/>
  <c r="S107" i="1"/>
  <c r="S108" i="1" a="1"/>
  <c r="S108" i="1"/>
  <c r="S109" i="1" a="1"/>
  <c r="S109" i="1"/>
  <c r="S110" i="1" a="1"/>
  <c r="S110" i="1"/>
  <c r="S111" i="1" a="1"/>
  <c r="S111" i="1"/>
  <c r="S112" i="1" a="1"/>
  <c r="S112" i="1"/>
  <c r="S113" i="1" a="1"/>
  <c r="S113" i="1"/>
  <c r="S114" i="1" a="1"/>
  <c r="S114" i="1"/>
  <c r="S115" i="1" a="1"/>
  <c r="S115" i="1"/>
  <c r="S116" i="1" a="1"/>
  <c r="S116" i="1"/>
  <c r="S117" i="1" a="1"/>
  <c r="S117" i="1"/>
  <c r="S118" i="1" a="1"/>
  <c r="S118" i="1"/>
  <c r="S119" i="1" a="1"/>
  <c r="S119" i="1"/>
  <c r="S120" i="1" a="1"/>
  <c r="S120" i="1"/>
  <c r="S121" i="1" a="1"/>
  <c r="S121" i="1"/>
  <c r="S122" i="1" a="1"/>
  <c r="S122" i="1"/>
  <c r="S123" i="1" a="1"/>
  <c r="S123" i="1"/>
  <c r="S124" i="1" a="1"/>
  <c r="S124" i="1"/>
  <c r="S125" i="1" a="1"/>
  <c r="S125" i="1"/>
  <c r="S126" i="1" a="1"/>
  <c r="S126" i="1"/>
  <c r="S127" i="1" a="1"/>
  <c r="S127" i="1"/>
  <c r="S128" i="1" a="1"/>
  <c r="S128" i="1"/>
  <c r="S129" i="1" a="1"/>
  <c r="S129" i="1"/>
  <c r="S130" i="1" a="1"/>
  <c r="S130" i="1"/>
  <c r="S131" i="1" a="1"/>
  <c r="S131" i="1"/>
  <c r="S132" i="1" a="1"/>
  <c r="S132" i="1"/>
  <c r="S133" i="1" a="1"/>
  <c r="S133" i="1"/>
  <c r="S134" i="1" a="1"/>
  <c r="S134" i="1"/>
  <c r="S135" i="1" a="1"/>
  <c r="S135" i="1"/>
  <c r="S136" i="1" a="1"/>
  <c r="S136" i="1"/>
  <c r="S137" i="1" a="1"/>
  <c r="S137" i="1"/>
  <c r="S138" i="1" a="1"/>
  <c r="S138" i="1"/>
  <c r="S139" i="1" a="1"/>
  <c r="S139" i="1"/>
  <c r="S140" i="1" a="1"/>
  <c r="S140" i="1"/>
  <c r="S141" i="1" a="1"/>
  <c r="S141" i="1"/>
  <c r="S142" i="1" a="1"/>
  <c r="S142" i="1"/>
  <c r="S143" i="1" a="1"/>
  <c r="S143" i="1"/>
  <c r="S144" i="1" a="1"/>
  <c r="S144" i="1"/>
  <c r="S145" i="1" a="1"/>
  <c r="S145" i="1"/>
  <c r="S146" i="1" a="1"/>
  <c r="S146" i="1"/>
  <c r="S147" i="1" a="1"/>
  <c r="S147" i="1"/>
  <c r="S148" i="1" a="1"/>
  <c r="S148" i="1"/>
  <c r="S149" i="1" a="1"/>
  <c r="S149" i="1"/>
  <c r="S150" i="1" a="1"/>
  <c r="S150" i="1"/>
  <c r="S151" i="1" a="1"/>
  <c r="S151" i="1"/>
  <c r="S152" i="1" a="1"/>
  <c r="S152" i="1"/>
  <c r="S153" i="1" a="1"/>
  <c r="S153" i="1"/>
  <c r="S154" i="1" a="1"/>
  <c r="S154" i="1"/>
  <c r="S155" i="1" a="1"/>
  <c r="S155" i="1"/>
  <c r="S156" i="1" a="1"/>
  <c r="S156" i="1"/>
  <c r="S157" i="1" a="1"/>
  <c r="S157" i="1"/>
  <c r="S158" i="1" a="1"/>
  <c r="S158" i="1"/>
  <c r="S159" i="1" a="1"/>
  <c r="S159" i="1"/>
  <c r="S160" i="1" a="1"/>
  <c r="S160" i="1"/>
  <c r="S161" i="1" a="1"/>
  <c r="S161" i="1"/>
  <c r="S162" i="1" a="1"/>
  <c r="S162" i="1"/>
  <c r="S163" i="1" a="1"/>
  <c r="S163" i="1"/>
  <c r="S164" i="1" a="1"/>
  <c r="S164" i="1"/>
  <c r="S165" i="1" a="1"/>
  <c r="S165" i="1"/>
  <c r="S166" i="1" a="1"/>
  <c r="S166" i="1"/>
  <c r="S167" i="1" a="1"/>
  <c r="S167" i="1"/>
  <c r="S168" i="1" a="1"/>
  <c r="S168" i="1"/>
  <c r="S169" i="1" a="1"/>
  <c r="S169" i="1"/>
  <c r="S170" i="1" a="1"/>
  <c r="S170" i="1"/>
  <c r="S171" i="1" a="1"/>
  <c r="S171" i="1"/>
  <c r="S172" i="1" a="1"/>
  <c r="S172" i="1"/>
  <c r="S173" i="1" a="1"/>
  <c r="S173" i="1"/>
  <c r="S174" i="1" a="1"/>
  <c r="S174" i="1"/>
  <c r="S175" i="1" a="1"/>
  <c r="S175" i="1"/>
  <c r="S176" i="1" a="1"/>
  <c r="S176" i="1"/>
  <c r="S177" i="1" a="1"/>
  <c r="S177" i="1"/>
  <c r="S178" i="1" a="1"/>
  <c r="S178" i="1"/>
  <c r="S179" i="1" a="1"/>
  <c r="S179" i="1"/>
  <c r="S180" i="1" a="1"/>
  <c r="S180" i="1"/>
  <c r="S181" i="1" a="1"/>
  <c r="S181" i="1"/>
  <c r="S182" i="1" a="1"/>
  <c r="S182" i="1"/>
  <c r="S183" i="1" a="1"/>
  <c r="S183" i="1"/>
  <c r="S184" i="1" a="1"/>
  <c r="S184" i="1"/>
  <c r="S185" i="1" a="1"/>
  <c r="S185" i="1"/>
  <c r="S186" i="1" a="1"/>
  <c r="S186" i="1"/>
  <c r="S187" i="1" a="1"/>
  <c r="S187" i="1"/>
  <c r="S188" i="1" a="1"/>
  <c r="S188" i="1"/>
  <c r="S189" i="1" a="1"/>
  <c r="S189" i="1"/>
  <c r="S190" i="1" a="1"/>
  <c r="S190" i="1"/>
  <c r="S191" i="1" a="1"/>
  <c r="S191" i="1"/>
  <c r="S192" i="1" a="1"/>
  <c r="S192" i="1"/>
  <c r="S193" i="1" a="1"/>
  <c r="S193" i="1"/>
  <c r="S194" i="1" a="1"/>
  <c r="S194" i="1"/>
  <c r="S195" i="1" a="1"/>
  <c r="S195" i="1"/>
  <c r="S196" i="1" a="1"/>
  <c r="S196" i="1"/>
  <c r="S197" i="1" a="1"/>
  <c r="S197" i="1"/>
  <c r="S198" i="1" a="1"/>
  <c r="S198" i="1"/>
  <c r="S199" i="1" a="1"/>
  <c r="S199" i="1"/>
  <c r="S200" i="1" a="1"/>
  <c r="S200" i="1"/>
  <c r="S201" i="1" a="1"/>
  <c r="S201" i="1"/>
  <c r="S202" i="1" a="1"/>
  <c r="S202" i="1"/>
  <c r="S203" i="1" a="1"/>
  <c r="S203" i="1"/>
  <c r="S204" i="1" a="1"/>
  <c r="S204" i="1"/>
  <c r="S205" i="1" a="1"/>
  <c r="S205" i="1"/>
  <c r="S206" i="1" a="1"/>
  <c r="S206" i="1"/>
  <c r="S207" i="1" a="1"/>
  <c r="S207" i="1"/>
  <c r="S208" i="1" a="1"/>
  <c r="S208" i="1"/>
  <c r="S209" i="1" a="1"/>
  <c r="S209" i="1"/>
  <c r="S210" i="1" a="1"/>
  <c r="S210" i="1"/>
  <c r="S211" i="1" a="1"/>
  <c r="S211" i="1"/>
  <c r="S212" i="1" a="1"/>
  <c r="S212" i="1"/>
  <c r="S213" i="1" a="1"/>
  <c r="S213" i="1"/>
  <c r="S214" i="1" a="1"/>
  <c r="S214" i="1"/>
  <c r="S215" i="1" a="1"/>
  <c r="S215" i="1"/>
  <c r="S216" i="1" a="1"/>
  <c r="S216" i="1"/>
  <c r="S217" i="1" a="1"/>
  <c r="S217" i="1"/>
  <c r="S218" i="1" a="1"/>
  <c r="S218" i="1"/>
  <c r="S219" i="1" a="1"/>
  <c r="S219" i="1"/>
  <c r="S220" i="1" a="1"/>
  <c r="S220" i="1"/>
  <c r="S221" i="1" a="1"/>
  <c r="S221" i="1"/>
  <c r="S222" i="1" a="1"/>
  <c r="S222" i="1"/>
  <c r="S223" i="1" a="1"/>
  <c r="S223" i="1"/>
  <c r="S224" i="1" a="1"/>
  <c r="S224" i="1"/>
  <c r="S225" i="1" a="1"/>
  <c r="S225" i="1"/>
  <c r="S226" i="1" a="1"/>
  <c r="S226" i="1"/>
  <c r="S227" i="1" a="1"/>
  <c r="S227" i="1"/>
  <c r="S228" i="1" a="1"/>
  <c r="S228" i="1"/>
  <c r="S229" i="1" a="1"/>
  <c r="S229" i="1"/>
  <c r="S230" i="1" a="1"/>
  <c r="S230" i="1"/>
  <c r="S231" i="1" a="1"/>
  <c r="S231" i="1"/>
  <c r="S232" i="1" a="1"/>
  <c r="S232" i="1"/>
  <c r="S233" i="1" a="1"/>
  <c r="S233" i="1"/>
  <c r="S234" i="1" a="1"/>
  <c r="S234" i="1"/>
  <c r="S235" i="1" a="1"/>
  <c r="S235" i="1"/>
  <c r="S236" i="1" a="1"/>
  <c r="S236" i="1"/>
  <c r="S237" i="1" a="1"/>
  <c r="S237" i="1"/>
  <c r="S238" i="1" a="1"/>
  <c r="S238" i="1"/>
  <c r="S239" i="1" a="1"/>
  <c r="S239" i="1"/>
  <c r="S240" i="1" a="1"/>
  <c r="S240" i="1"/>
  <c r="S241" i="1" a="1"/>
  <c r="S241" i="1"/>
  <c r="S242" i="1" a="1"/>
  <c r="S242" i="1"/>
  <c r="S243" i="1" a="1"/>
  <c r="S243" i="1"/>
  <c r="S244" i="1" a="1"/>
  <c r="S244" i="1"/>
  <c r="S245" i="1" a="1"/>
  <c r="S245" i="1"/>
  <c r="S246" i="1" a="1"/>
  <c r="S246" i="1"/>
  <c r="S247" i="1" a="1"/>
  <c r="S247" i="1"/>
  <c r="S248" i="1" a="1"/>
  <c r="S248" i="1"/>
  <c r="S249" i="1" a="1"/>
  <c r="S249" i="1"/>
  <c r="S250" i="1" a="1"/>
  <c r="S250" i="1"/>
  <c r="S251" i="1" a="1"/>
  <c r="S251" i="1"/>
  <c r="S252" i="1" a="1"/>
  <c r="S252" i="1"/>
  <c r="S253" i="1" a="1"/>
  <c r="S253" i="1"/>
  <c r="S254" i="1" a="1"/>
  <c r="S254" i="1"/>
  <c r="S255" i="1" a="1"/>
  <c r="S255" i="1"/>
  <c r="S256" i="1" a="1"/>
  <c r="S256" i="1"/>
  <c r="S257" i="1" a="1"/>
  <c r="S257" i="1"/>
  <c r="S258" i="1" a="1"/>
  <c r="S258" i="1"/>
  <c r="S259" i="1" a="1"/>
  <c r="S259" i="1"/>
  <c r="S260" i="1" a="1"/>
  <c r="S260" i="1"/>
  <c r="S261" i="1" a="1"/>
  <c r="S261" i="1"/>
  <c r="S262" i="1" a="1"/>
  <c r="S262" i="1"/>
  <c r="S263" i="1" a="1"/>
  <c r="S263" i="1"/>
  <c r="S264" i="1" a="1"/>
  <c r="S264" i="1"/>
  <c r="S265" i="1" a="1"/>
  <c r="S265" i="1"/>
  <c r="S266" i="1" a="1"/>
  <c r="S266" i="1"/>
  <c r="S267" i="1" a="1"/>
  <c r="S267" i="1"/>
  <c r="S268" i="1" a="1"/>
  <c r="S268" i="1"/>
  <c r="S269" i="1" a="1"/>
  <c r="S269" i="1"/>
  <c r="S270" i="1" a="1"/>
  <c r="S270" i="1"/>
  <c r="S271" i="1" a="1"/>
  <c r="S271" i="1"/>
  <c r="S272" i="1" a="1"/>
  <c r="S272" i="1"/>
  <c r="S273" i="1" a="1"/>
  <c r="S273" i="1"/>
  <c r="S274" i="1" a="1"/>
  <c r="S274" i="1"/>
  <c r="S275" i="1" a="1"/>
  <c r="S275" i="1"/>
  <c r="S276" i="1" a="1"/>
  <c r="S276" i="1"/>
  <c r="S277" i="1" a="1"/>
  <c r="S277" i="1"/>
  <c r="S278" i="1" a="1"/>
  <c r="S278" i="1"/>
  <c r="S279" i="1" a="1"/>
  <c r="S279" i="1"/>
  <c r="S280" i="1" a="1"/>
  <c r="S280" i="1"/>
  <c r="S281" i="1" a="1"/>
  <c r="S281" i="1"/>
  <c r="S282" i="1" a="1"/>
  <c r="S282" i="1"/>
  <c r="S283" i="1" a="1"/>
  <c r="S283" i="1"/>
  <c r="S284" i="1" a="1"/>
  <c r="S284" i="1"/>
  <c r="S285" i="1" a="1"/>
  <c r="S285" i="1"/>
  <c r="S286" i="1" a="1"/>
  <c r="S286" i="1"/>
  <c r="S287" i="1" a="1"/>
  <c r="S287" i="1"/>
  <c r="S288" i="1" a="1"/>
  <c r="S288" i="1"/>
  <c r="S289" i="1" a="1"/>
  <c r="S289" i="1"/>
  <c r="S290" i="1" a="1"/>
  <c r="S290" i="1"/>
  <c r="S291" i="1" a="1"/>
  <c r="S291" i="1"/>
  <c r="S292" i="1" a="1"/>
  <c r="S292" i="1"/>
  <c r="S293" i="1" a="1"/>
  <c r="S293" i="1"/>
  <c r="S294" i="1" a="1"/>
  <c r="S294" i="1"/>
  <c r="S295" i="1" a="1"/>
  <c r="S295" i="1"/>
  <c r="S296" i="1" a="1"/>
  <c r="S296" i="1"/>
  <c r="S297" i="1" a="1"/>
  <c r="S297" i="1"/>
  <c r="S298" i="1" a="1"/>
  <c r="S298" i="1"/>
  <c r="S299" i="1" a="1"/>
  <c r="S299" i="1"/>
  <c r="S300" i="1" a="1"/>
  <c r="S300" i="1"/>
  <c r="S301" i="1" a="1"/>
  <c r="S301" i="1"/>
  <c r="S302" i="1" a="1"/>
  <c r="S302" i="1"/>
  <c r="S303" i="1" a="1"/>
  <c r="S303" i="1"/>
  <c r="S304" i="1" a="1"/>
  <c r="S304" i="1"/>
  <c r="S305" i="1" a="1"/>
  <c r="S305" i="1"/>
  <c r="S306" i="1" a="1"/>
  <c r="S306" i="1"/>
  <c r="S307" i="1" a="1"/>
  <c r="S307" i="1"/>
  <c r="S308" i="1" a="1"/>
  <c r="S308" i="1"/>
  <c r="S309" i="1" a="1"/>
  <c r="S309" i="1"/>
  <c r="S310" i="1" a="1"/>
  <c r="S310" i="1"/>
  <c r="S311" i="1" a="1"/>
  <c r="S311" i="1"/>
  <c r="S312" i="1" a="1"/>
  <c r="S312" i="1"/>
  <c r="S313" i="1" a="1"/>
  <c r="S313" i="1"/>
  <c r="S314" i="1" a="1"/>
  <c r="S314" i="1"/>
  <c r="S315" i="1" a="1"/>
  <c r="S315" i="1"/>
  <c r="S316" i="1" a="1"/>
  <c r="S316" i="1"/>
  <c r="S317" i="1" a="1"/>
  <c r="S317" i="1"/>
  <c r="S318" i="1" a="1"/>
  <c r="S318" i="1"/>
  <c r="S319" i="1" a="1"/>
  <c r="S319" i="1"/>
  <c r="S320" i="1" a="1"/>
  <c r="S320" i="1"/>
  <c r="S321" i="1" a="1"/>
  <c r="S321" i="1"/>
  <c r="S322" i="1" a="1"/>
  <c r="S322" i="1"/>
  <c r="S323" i="1" a="1"/>
  <c r="S323" i="1"/>
  <c r="S324" i="1" a="1"/>
  <c r="S324" i="1"/>
  <c r="S325" i="1" a="1"/>
  <c r="S325" i="1"/>
  <c r="S326" i="1" a="1"/>
  <c r="S326" i="1"/>
  <c r="S327" i="1" a="1"/>
  <c r="S327" i="1"/>
  <c r="S328" i="1" a="1"/>
  <c r="S328" i="1"/>
  <c r="S329" i="1" a="1"/>
  <c r="S329" i="1"/>
  <c r="S330" i="1" a="1"/>
  <c r="S330" i="1"/>
  <c r="S331" i="1" a="1"/>
  <c r="S331" i="1"/>
  <c r="S332" i="1" a="1"/>
  <c r="S332" i="1"/>
  <c r="S333" i="1" a="1"/>
  <c r="S333" i="1"/>
  <c r="S334" i="1" a="1"/>
  <c r="S334" i="1"/>
  <c r="S335" i="1" a="1"/>
  <c r="S335" i="1"/>
  <c r="S336" i="1" a="1"/>
  <c r="S336" i="1"/>
  <c r="S337" i="1" a="1"/>
  <c r="S337" i="1"/>
  <c r="S338" i="1" a="1"/>
  <c r="S338" i="1"/>
  <c r="S339" i="1" a="1"/>
  <c r="S339" i="1"/>
  <c r="S340" i="1" a="1"/>
  <c r="S340" i="1"/>
  <c r="S341" i="1" a="1"/>
  <c r="S341" i="1"/>
  <c r="S342" i="1" a="1"/>
  <c r="S342" i="1"/>
  <c r="S343" i="1" a="1"/>
  <c r="S343" i="1"/>
  <c r="S344" i="1" a="1"/>
  <c r="S344" i="1"/>
  <c r="S345" i="1" a="1"/>
  <c r="S345" i="1"/>
  <c r="S346" i="1" a="1"/>
  <c r="S346" i="1"/>
  <c r="S347" i="1" a="1"/>
  <c r="S347" i="1"/>
  <c r="S348" i="1" a="1"/>
  <c r="S348" i="1"/>
  <c r="S349" i="1" a="1"/>
  <c r="S349" i="1"/>
  <c r="S350" i="1" a="1"/>
  <c r="S350" i="1"/>
  <c r="S351" i="1" a="1"/>
  <c r="S351" i="1"/>
  <c r="S352" i="1" a="1"/>
  <c r="S352" i="1"/>
  <c r="S353" i="1" a="1"/>
  <c r="S353" i="1"/>
  <c r="S354" i="1" a="1"/>
  <c r="S354" i="1"/>
  <c r="S355" i="1" a="1"/>
  <c r="S355" i="1"/>
  <c r="S356" i="1" a="1"/>
  <c r="S356" i="1"/>
  <c r="S357" i="1" a="1"/>
  <c r="S357" i="1"/>
  <c r="S358" i="1" a="1"/>
  <c r="S358" i="1"/>
  <c r="S359" i="1" a="1"/>
  <c r="S359" i="1"/>
  <c r="S360" i="1" a="1"/>
  <c r="S360" i="1"/>
  <c r="S361" i="1" a="1"/>
  <c r="S361" i="1"/>
  <c r="S362" i="1" a="1"/>
  <c r="S362" i="1"/>
  <c r="S363" i="1" a="1"/>
  <c r="S363" i="1"/>
  <c r="S364" i="1" a="1"/>
  <c r="S364" i="1"/>
  <c r="S365" i="1" a="1"/>
  <c r="S365" i="1"/>
  <c r="S366" i="1" a="1"/>
  <c r="S366" i="1"/>
  <c r="S367" i="1" a="1"/>
  <c r="S367" i="1"/>
  <c r="S368" i="1" a="1"/>
  <c r="S368" i="1"/>
  <c r="S369" i="1" a="1"/>
  <c r="S369" i="1"/>
  <c r="S370" i="1" a="1"/>
  <c r="S370" i="1"/>
  <c r="S371" i="1" a="1"/>
  <c r="S371" i="1"/>
  <c r="S372" i="1" a="1"/>
  <c r="S372" i="1"/>
  <c r="S373" i="1" a="1"/>
  <c r="S373" i="1"/>
  <c r="S374" i="1" a="1"/>
  <c r="S374" i="1"/>
  <c r="S375" i="1" a="1"/>
  <c r="S375" i="1"/>
  <c r="S376" i="1" a="1"/>
  <c r="S376" i="1"/>
  <c r="S377" i="1" a="1"/>
  <c r="S377" i="1"/>
  <c r="S378" i="1" a="1"/>
  <c r="S378" i="1"/>
  <c r="S379" i="1" a="1"/>
  <c r="S379" i="1"/>
  <c r="S380" i="1" a="1"/>
  <c r="S380" i="1"/>
  <c r="S381" i="1" a="1"/>
  <c r="S381" i="1"/>
  <c r="S382" i="1" a="1"/>
  <c r="S382" i="1"/>
  <c r="S383" i="1" a="1"/>
  <c r="S383" i="1"/>
  <c r="S384" i="1" a="1"/>
  <c r="S384" i="1"/>
  <c r="S385" i="1" a="1"/>
  <c r="S385" i="1"/>
  <c r="S386" i="1" a="1"/>
  <c r="S386" i="1"/>
  <c r="S387" i="1" a="1"/>
  <c r="S387" i="1"/>
  <c r="S388" i="1" a="1"/>
  <c r="S388" i="1"/>
  <c r="S389" i="1" a="1"/>
  <c r="S389" i="1"/>
  <c r="S390" i="1" a="1"/>
  <c r="S390" i="1"/>
  <c r="S391" i="1" a="1"/>
  <c r="S391" i="1"/>
  <c r="S392" i="1" a="1"/>
  <c r="S392" i="1"/>
  <c r="S393" i="1" a="1"/>
  <c r="S393" i="1"/>
  <c r="S394" i="1" a="1"/>
  <c r="S394" i="1"/>
  <c r="S395" i="1" a="1"/>
  <c r="S395" i="1"/>
  <c r="S396" i="1" a="1"/>
  <c r="S396" i="1"/>
  <c r="S397" i="1" a="1"/>
  <c r="S397" i="1"/>
  <c r="S398" i="1" a="1"/>
  <c r="S398" i="1"/>
  <c r="S399" i="1" a="1"/>
  <c r="S399" i="1"/>
  <c r="S400" i="1" a="1"/>
  <c r="S400" i="1"/>
  <c r="S401" i="1" a="1"/>
  <c r="S401" i="1"/>
  <c r="S402" i="1" a="1"/>
  <c r="S402" i="1"/>
  <c r="S403" i="1" a="1"/>
  <c r="S403" i="1"/>
  <c r="S404" i="1" a="1"/>
  <c r="S404" i="1"/>
  <c r="S405" i="1" a="1"/>
  <c r="S405" i="1"/>
  <c r="S406" i="1" a="1"/>
  <c r="S406" i="1"/>
  <c r="S407" i="1" a="1"/>
  <c r="S407" i="1"/>
  <c r="S408" i="1" a="1"/>
  <c r="S408" i="1"/>
  <c r="S409" i="1" a="1"/>
  <c r="S409" i="1"/>
  <c r="S410" i="1" a="1"/>
  <c r="S410" i="1"/>
  <c r="S411" i="1" a="1"/>
  <c r="S411" i="1"/>
  <c r="S412" i="1" a="1"/>
  <c r="S412" i="1"/>
  <c r="S413" i="1" a="1"/>
  <c r="S413" i="1"/>
  <c r="S414" i="1" a="1"/>
  <c r="S414" i="1"/>
  <c r="S415" i="1" a="1"/>
  <c r="S415" i="1"/>
  <c r="S416" i="1" a="1"/>
  <c r="S416" i="1"/>
  <c r="S417" i="1" a="1"/>
  <c r="S417" i="1"/>
  <c r="S418" i="1" a="1"/>
  <c r="S418" i="1"/>
  <c r="S419" i="1" a="1"/>
  <c r="S419" i="1"/>
  <c r="S420" i="1" a="1"/>
  <c r="S420" i="1"/>
  <c r="S421" i="1" a="1"/>
  <c r="S421" i="1"/>
  <c r="S422" i="1" a="1"/>
  <c r="S422" i="1"/>
  <c r="S423" i="1" a="1"/>
  <c r="S423" i="1"/>
  <c r="S424" i="1" a="1"/>
  <c r="S424" i="1"/>
  <c r="S425" i="1" a="1"/>
  <c r="S425" i="1"/>
  <c r="S426" i="1" a="1"/>
  <c r="S426" i="1"/>
  <c r="S427" i="1" a="1"/>
  <c r="S427" i="1"/>
  <c r="S428" i="1" a="1"/>
  <c r="S428" i="1"/>
  <c r="S429" i="1" a="1"/>
  <c r="S429" i="1"/>
  <c r="S430" i="1" a="1"/>
  <c r="S430" i="1"/>
  <c r="S431" i="1" a="1"/>
  <c r="S431" i="1"/>
  <c r="S432" i="1" a="1"/>
  <c r="S432" i="1"/>
  <c r="S433" i="1" a="1"/>
  <c r="S433" i="1"/>
  <c r="S434" i="1" a="1"/>
  <c r="S434" i="1"/>
  <c r="S435" i="1" a="1"/>
  <c r="S435" i="1"/>
  <c r="S436" i="1" a="1"/>
  <c r="S436" i="1"/>
  <c r="S437" i="1" a="1"/>
  <c r="S437" i="1"/>
  <c r="S438" i="1" a="1"/>
  <c r="S438" i="1"/>
  <c r="S439" i="1" a="1"/>
  <c r="S439" i="1"/>
  <c r="S440" i="1" a="1"/>
  <c r="S440" i="1"/>
  <c r="S441" i="1" a="1"/>
  <c r="S441" i="1"/>
  <c r="S442" i="1" a="1"/>
  <c r="S442" i="1"/>
  <c r="S443" i="1" a="1"/>
  <c r="S443" i="1"/>
  <c r="S444" i="1" a="1"/>
  <c r="S444" i="1"/>
  <c r="S445" i="1" a="1"/>
  <c r="S445" i="1"/>
  <c r="S446" i="1" a="1"/>
  <c r="S446" i="1"/>
  <c r="S447" i="1" a="1"/>
  <c r="S447" i="1"/>
  <c r="S448" i="1" a="1"/>
  <c r="S448" i="1"/>
  <c r="S449" i="1" a="1"/>
  <c r="S449" i="1"/>
  <c r="S450" i="1" a="1"/>
  <c r="S450" i="1"/>
  <c r="S451" i="1" a="1"/>
  <c r="S451" i="1"/>
  <c r="S452" i="1" a="1"/>
  <c r="S452" i="1"/>
  <c r="S453" i="1" a="1"/>
  <c r="S453" i="1"/>
  <c r="S454" i="1" a="1"/>
  <c r="S454" i="1"/>
  <c r="S455" i="1" a="1"/>
  <c r="S455" i="1"/>
  <c r="S456" i="1" a="1"/>
  <c r="S456" i="1"/>
  <c r="S457" i="1" a="1"/>
  <c r="S457" i="1"/>
  <c r="S458" i="1" a="1"/>
  <c r="S458" i="1"/>
  <c r="S459" i="1" a="1"/>
  <c r="S459" i="1"/>
  <c r="S460" i="1" a="1"/>
  <c r="S460" i="1"/>
  <c r="S461" i="1" a="1"/>
  <c r="S461" i="1"/>
  <c r="S462" i="1" a="1"/>
  <c r="S462" i="1"/>
  <c r="S463" i="1" a="1"/>
  <c r="S463" i="1"/>
  <c r="S464" i="1" a="1"/>
  <c r="S464" i="1"/>
  <c r="S465" i="1" a="1"/>
  <c r="S465" i="1"/>
  <c r="S466" i="1" a="1"/>
  <c r="S466" i="1"/>
  <c r="S467" i="1" a="1"/>
  <c r="S467" i="1"/>
  <c r="S468" i="1" a="1"/>
  <c r="S468" i="1"/>
  <c r="S469" i="1" a="1"/>
  <c r="S469" i="1"/>
  <c r="S470" i="1" a="1"/>
  <c r="S470" i="1"/>
  <c r="S471" i="1" a="1"/>
  <c r="S471" i="1"/>
  <c r="S472" i="1" a="1"/>
  <c r="S472" i="1"/>
  <c r="S473" i="1" a="1"/>
  <c r="S473" i="1"/>
  <c r="S474" i="1" a="1"/>
  <c r="S474" i="1"/>
  <c r="S475" i="1" a="1"/>
  <c r="S475" i="1"/>
  <c r="S476" i="1" a="1"/>
  <c r="S476" i="1"/>
  <c r="S477" i="1" a="1"/>
  <c r="S477" i="1"/>
  <c r="S478" i="1" a="1"/>
  <c r="S478" i="1"/>
  <c r="S479" i="1" a="1"/>
  <c r="S479" i="1"/>
  <c r="S480" i="1" a="1"/>
  <c r="S480" i="1"/>
  <c r="S481" i="1" a="1"/>
  <c r="S481" i="1"/>
  <c r="S482" i="1" a="1"/>
  <c r="S482" i="1"/>
  <c r="S483" i="1" a="1"/>
  <c r="S483" i="1"/>
  <c r="S484" i="1" a="1"/>
  <c r="S484" i="1"/>
  <c r="S485" i="1" a="1"/>
  <c r="S485" i="1"/>
  <c r="S486" i="1" a="1"/>
  <c r="S486" i="1"/>
  <c r="S487" i="1" a="1"/>
  <c r="S487" i="1"/>
  <c r="S488" i="1" a="1"/>
  <c r="S488" i="1"/>
  <c r="S489" i="1" a="1"/>
  <c r="S489" i="1"/>
  <c r="S490" i="1" a="1"/>
  <c r="S490" i="1"/>
  <c r="S491" i="1" a="1"/>
  <c r="S491" i="1"/>
  <c r="S492" i="1" a="1"/>
  <c r="S492" i="1"/>
  <c r="S493" i="1" a="1"/>
  <c r="S493" i="1"/>
  <c r="S494" i="1" a="1"/>
  <c r="S494" i="1"/>
  <c r="S495" i="1" a="1"/>
  <c r="S495" i="1"/>
  <c r="S496" i="1" a="1"/>
  <c r="S496" i="1"/>
  <c r="S497" i="1" a="1"/>
  <c r="S497" i="1"/>
  <c r="S498" i="1" a="1"/>
  <c r="S498" i="1"/>
  <c r="S499" i="1" a="1"/>
  <c r="S499" i="1"/>
  <c r="S500" i="1" a="1"/>
  <c r="S500" i="1"/>
  <c r="S501" i="1" a="1"/>
  <c r="S501" i="1"/>
  <c r="S502" i="1" a="1"/>
  <c r="S502" i="1"/>
  <c r="S503" i="1" a="1"/>
  <c r="S503" i="1"/>
  <c r="S504" i="1" a="1"/>
  <c r="S504" i="1"/>
  <c r="S505" i="1" a="1"/>
  <c r="S505" i="1"/>
  <c r="S506" i="1" a="1"/>
  <c r="S506" i="1"/>
  <c r="S507" i="1" a="1"/>
  <c r="S507" i="1"/>
  <c r="S508" i="1" a="1"/>
  <c r="S508" i="1"/>
  <c r="S509" i="1" a="1"/>
  <c r="S509" i="1"/>
  <c r="S510" i="1" a="1"/>
  <c r="S510" i="1"/>
  <c r="S511" i="1" a="1"/>
  <c r="S511" i="1"/>
  <c r="S512" i="1" a="1"/>
  <c r="S512" i="1"/>
  <c r="S513" i="1" a="1"/>
  <c r="S513" i="1"/>
  <c r="S514" i="1" a="1"/>
  <c r="S514" i="1"/>
  <c r="S515" i="1" a="1"/>
  <c r="S515" i="1"/>
  <c r="S516" i="1" a="1"/>
  <c r="S516" i="1"/>
  <c r="S517" i="1" a="1"/>
  <c r="S517" i="1"/>
  <c r="S518" i="1" a="1"/>
  <c r="S518" i="1"/>
  <c r="S519" i="1" a="1"/>
  <c r="S519" i="1"/>
  <c r="S520" i="1" a="1"/>
  <c r="S520" i="1"/>
  <c r="S521" i="1" a="1"/>
  <c r="S521" i="1"/>
  <c r="S522" i="1" a="1"/>
  <c r="S522" i="1"/>
  <c r="S523" i="1" a="1"/>
  <c r="S523" i="1"/>
  <c r="S524" i="1" a="1"/>
  <c r="S524" i="1"/>
  <c r="S525" i="1" a="1"/>
  <c r="S525" i="1"/>
  <c r="S526" i="1" a="1"/>
  <c r="S526" i="1"/>
  <c r="S527" i="1" a="1"/>
  <c r="S527" i="1"/>
  <c r="S528" i="1" a="1"/>
  <c r="S528" i="1"/>
  <c r="S529" i="1" a="1"/>
  <c r="S529" i="1"/>
  <c r="S530" i="1" a="1"/>
  <c r="S530" i="1"/>
  <c r="S531" i="1" a="1"/>
  <c r="S531" i="1"/>
  <c r="S532" i="1" a="1"/>
  <c r="S532" i="1"/>
  <c r="S533" i="1" a="1"/>
  <c r="S533" i="1"/>
  <c r="S534" i="1" a="1"/>
  <c r="S534" i="1"/>
  <c r="S535" i="1" a="1"/>
  <c r="S535" i="1"/>
  <c r="S536" i="1" a="1"/>
  <c r="S536" i="1"/>
  <c r="S537" i="1" a="1"/>
  <c r="S537" i="1"/>
  <c r="S538" i="1" a="1"/>
  <c r="S538" i="1"/>
  <c r="S539" i="1" a="1"/>
  <c r="S539" i="1"/>
  <c r="S540" i="1" a="1"/>
  <c r="S540" i="1"/>
  <c r="S541" i="1" a="1"/>
  <c r="S541" i="1"/>
  <c r="S542" i="1" a="1"/>
  <c r="S542" i="1"/>
  <c r="S543" i="1" a="1"/>
  <c r="S543" i="1"/>
  <c r="S544" i="1" a="1"/>
  <c r="S544" i="1"/>
  <c r="S545" i="1" a="1"/>
  <c r="S545" i="1"/>
  <c r="S546" i="1" a="1"/>
  <c r="S546" i="1"/>
  <c r="S547" i="1" a="1"/>
  <c r="S547" i="1"/>
  <c r="S548" i="1" a="1"/>
  <c r="S548" i="1"/>
  <c r="S549" i="1" a="1"/>
  <c r="S549" i="1"/>
  <c r="S550" i="1" a="1"/>
  <c r="S550" i="1"/>
  <c r="S551" i="1" a="1"/>
  <c r="S551" i="1"/>
  <c r="S552" i="1" a="1"/>
  <c r="S552" i="1"/>
  <c r="S553" i="1" a="1"/>
  <c r="S553" i="1"/>
  <c r="S554" i="1" a="1"/>
  <c r="S554" i="1"/>
  <c r="S555" i="1" a="1"/>
  <c r="S555" i="1"/>
  <c r="S556" i="1" a="1"/>
  <c r="S556" i="1"/>
  <c r="S557" i="1" a="1"/>
  <c r="S557" i="1"/>
  <c r="S558" i="1" a="1"/>
  <c r="S558" i="1"/>
  <c r="S559" i="1" a="1"/>
  <c r="S559" i="1"/>
  <c r="S560" i="1" a="1"/>
  <c r="S560" i="1"/>
  <c r="S561" i="1" a="1"/>
  <c r="S561" i="1"/>
  <c r="S562" i="1" a="1"/>
  <c r="S562" i="1"/>
  <c r="S563" i="1" a="1"/>
  <c r="S563" i="1"/>
  <c r="S564" i="1" a="1"/>
  <c r="S564" i="1"/>
  <c r="S565" i="1" a="1"/>
  <c r="S565" i="1"/>
  <c r="S566" i="1" a="1"/>
  <c r="S566" i="1"/>
  <c r="S567" i="1" a="1"/>
  <c r="S567" i="1"/>
  <c r="S568" i="1" a="1"/>
  <c r="S568" i="1"/>
  <c r="S569" i="1" a="1"/>
  <c r="S569" i="1"/>
  <c r="S570" i="1" a="1"/>
  <c r="S570" i="1"/>
  <c r="S571" i="1" a="1"/>
  <c r="S571" i="1"/>
  <c r="S572" i="1" a="1"/>
  <c r="S572" i="1"/>
  <c r="S573" i="1" a="1"/>
  <c r="S573" i="1"/>
  <c r="S574" i="1" a="1"/>
  <c r="S574" i="1"/>
  <c r="S575" i="1" a="1"/>
  <c r="S575" i="1"/>
  <c r="S576" i="1" a="1"/>
  <c r="S576" i="1"/>
  <c r="S577" i="1" a="1"/>
  <c r="S577" i="1"/>
  <c r="S578" i="1" a="1"/>
  <c r="S578" i="1"/>
  <c r="S579" i="1" a="1"/>
  <c r="S579" i="1"/>
  <c r="S580" i="1" a="1"/>
  <c r="S580" i="1"/>
  <c r="S581" i="1" a="1"/>
  <c r="S581" i="1"/>
  <c r="S582" i="1" a="1"/>
  <c r="S582" i="1"/>
  <c r="S583" i="1" a="1"/>
  <c r="S583" i="1"/>
  <c r="S584" i="1" a="1"/>
  <c r="S584" i="1"/>
  <c r="S585" i="1" a="1"/>
  <c r="S585" i="1"/>
  <c r="S586" i="1" a="1"/>
  <c r="S586" i="1"/>
  <c r="S587" i="1" a="1"/>
  <c r="S587" i="1"/>
  <c r="S588" i="1" a="1"/>
  <c r="S588" i="1"/>
  <c r="S589" i="1" a="1"/>
  <c r="S589" i="1"/>
  <c r="S590" i="1" a="1"/>
  <c r="S590" i="1"/>
  <c r="S591" i="1" a="1"/>
  <c r="S591" i="1"/>
  <c r="S592" i="1" a="1"/>
  <c r="S592" i="1"/>
  <c r="S593" i="1" a="1"/>
  <c r="S593" i="1"/>
  <c r="S594" i="1" a="1"/>
  <c r="S594" i="1"/>
  <c r="S595" i="1" a="1"/>
  <c r="S595" i="1"/>
  <c r="S596" i="1" a="1"/>
  <c r="S596" i="1"/>
  <c r="S597" i="1" a="1"/>
  <c r="S597" i="1"/>
  <c r="S598" i="1" a="1"/>
  <c r="S598" i="1"/>
  <c r="S599" i="1" a="1"/>
  <c r="S599" i="1"/>
  <c r="S600" i="1" a="1"/>
  <c r="S600" i="1"/>
  <c r="S601" i="1" a="1"/>
  <c r="S601" i="1"/>
  <c r="S602" i="1" a="1"/>
  <c r="S602" i="1"/>
  <c r="S603" i="1" a="1"/>
  <c r="S603" i="1"/>
  <c r="S604" i="1" a="1"/>
  <c r="S604" i="1"/>
  <c r="S605" i="1" a="1"/>
  <c r="S605" i="1"/>
  <c r="S606" i="1" a="1"/>
  <c r="S606" i="1"/>
  <c r="S607" i="1" a="1"/>
  <c r="S607" i="1"/>
  <c r="S608" i="1" a="1"/>
  <c r="S608" i="1"/>
  <c r="S609" i="1" a="1"/>
  <c r="S609" i="1"/>
  <c r="S610" i="1" a="1"/>
  <c r="S610" i="1"/>
  <c r="S611" i="1" a="1"/>
  <c r="S611" i="1"/>
  <c r="S612" i="1" a="1"/>
  <c r="S612" i="1"/>
  <c r="S613" i="1" a="1"/>
  <c r="S613" i="1"/>
  <c r="S614" i="1" a="1"/>
  <c r="S614" i="1"/>
  <c r="S615" i="1" a="1"/>
  <c r="S615" i="1"/>
  <c r="S616" i="1" a="1"/>
  <c r="S616" i="1"/>
  <c r="S617" i="1" a="1"/>
  <c r="S617" i="1"/>
  <c r="S618" i="1" a="1"/>
  <c r="S618" i="1"/>
  <c r="S619" i="1" a="1"/>
  <c r="S619" i="1"/>
  <c r="S620" i="1" a="1"/>
  <c r="S620" i="1"/>
  <c r="S621" i="1" a="1"/>
  <c r="S621" i="1"/>
  <c r="S622" i="1" a="1"/>
  <c r="S622" i="1"/>
  <c r="S623" i="1" a="1"/>
  <c r="S623" i="1"/>
  <c r="S624" i="1" a="1"/>
  <c r="S624" i="1"/>
  <c r="S625" i="1" a="1"/>
  <c r="S625" i="1"/>
  <c r="S626" i="1" a="1"/>
  <c r="S626" i="1"/>
  <c r="S627" i="1" a="1"/>
  <c r="S627" i="1"/>
  <c r="S628" i="1" a="1"/>
  <c r="S628" i="1"/>
  <c r="S629" i="1" a="1"/>
  <c r="S629" i="1"/>
  <c r="S630" i="1" a="1"/>
  <c r="S630" i="1"/>
  <c r="S631" i="1" a="1"/>
  <c r="S631" i="1"/>
  <c r="S632" i="1" a="1"/>
  <c r="S632" i="1"/>
  <c r="S633" i="1" a="1"/>
  <c r="S633" i="1"/>
  <c r="S634" i="1" a="1"/>
  <c r="S634" i="1"/>
  <c r="S635" i="1" a="1"/>
  <c r="S635" i="1"/>
  <c r="S636" i="1" a="1"/>
  <c r="S636" i="1"/>
  <c r="S637" i="1" a="1"/>
  <c r="S637" i="1"/>
  <c r="S638" i="1" a="1"/>
  <c r="S638" i="1"/>
  <c r="S639" i="1" a="1"/>
  <c r="S639" i="1"/>
  <c r="S640" i="1" a="1"/>
  <c r="S640" i="1"/>
  <c r="S641" i="1" a="1"/>
  <c r="S641" i="1"/>
  <c r="S642" i="1" a="1"/>
  <c r="S642" i="1"/>
  <c r="S643" i="1" a="1"/>
  <c r="S643" i="1"/>
  <c r="S644" i="1" a="1"/>
  <c r="S644" i="1"/>
  <c r="S645" i="1" a="1"/>
  <c r="S645" i="1"/>
  <c r="S646" i="1" a="1"/>
  <c r="S646" i="1"/>
  <c r="S647" i="1" a="1"/>
  <c r="S647" i="1"/>
  <c r="S648" i="1" a="1"/>
  <c r="S648" i="1"/>
  <c r="S649" i="1" a="1"/>
  <c r="S649" i="1"/>
  <c r="S650" i="1" a="1"/>
  <c r="S650" i="1"/>
  <c r="S651" i="1" a="1"/>
  <c r="S651" i="1"/>
  <c r="S652" i="1" a="1"/>
  <c r="S652" i="1"/>
  <c r="S653" i="1" a="1"/>
  <c r="S653" i="1"/>
  <c r="S654" i="1" a="1"/>
  <c r="S654" i="1"/>
  <c r="S655" i="1" a="1"/>
  <c r="S655" i="1"/>
  <c r="S656" i="1" a="1"/>
  <c r="S656" i="1"/>
  <c r="S657" i="1" a="1"/>
  <c r="S657" i="1"/>
  <c r="S658" i="1" a="1"/>
  <c r="S658" i="1"/>
  <c r="S659" i="1" a="1"/>
  <c r="S659" i="1"/>
  <c r="S660" i="1" a="1"/>
  <c r="S660" i="1"/>
  <c r="S661" i="1" a="1"/>
  <c r="S661" i="1"/>
  <c r="S662" i="1" a="1"/>
  <c r="S662" i="1"/>
  <c r="S663" i="1" a="1"/>
  <c r="S663" i="1"/>
  <c r="S664" i="1" a="1"/>
  <c r="S664" i="1"/>
  <c r="S665" i="1" a="1"/>
  <c r="S665" i="1"/>
  <c r="S666" i="1" a="1"/>
  <c r="S666" i="1"/>
  <c r="S667" i="1" a="1"/>
  <c r="S667" i="1"/>
  <c r="S668" i="1" a="1"/>
  <c r="S668" i="1"/>
  <c r="S669" i="1" a="1"/>
  <c r="S669" i="1"/>
  <c r="S670" i="1" a="1"/>
  <c r="S670" i="1"/>
  <c r="S671" i="1" a="1"/>
  <c r="S671" i="1"/>
  <c r="S672" i="1" a="1"/>
  <c r="S672" i="1"/>
  <c r="S673" i="1" a="1"/>
  <c r="S673" i="1"/>
  <c r="S674" i="1" a="1"/>
  <c r="S674" i="1"/>
  <c r="S675" i="1" a="1"/>
  <c r="S675" i="1"/>
  <c r="S676" i="1" a="1"/>
  <c r="S676" i="1"/>
  <c r="S677" i="1" a="1"/>
  <c r="S677" i="1"/>
  <c r="S678" i="1" a="1"/>
  <c r="S678" i="1"/>
  <c r="S679" i="1" a="1"/>
  <c r="S679" i="1"/>
  <c r="S680" i="1" a="1"/>
  <c r="S680" i="1"/>
  <c r="S681" i="1" a="1"/>
  <c r="S681" i="1"/>
  <c r="S682" i="1" a="1"/>
  <c r="S682" i="1"/>
  <c r="S683" i="1" a="1"/>
  <c r="S683" i="1"/>
  <c r="S684" i="1" a="1"/>
  <c r="S684" i="1"/>
  <c r="S685" i="1" a="1"/>
  <c r="S685" i="1"/>
  <c r="S686" i="1" a="1"/>
  <c r="S686" i="1"/>
  <c r="S687" i="1" a="1"/>
  <c r="S687" i="1"/>
  <c r="S688" i="1" a="1"/>
  <c r="S688" i="1"/>
  <c r="S689" i="1" a="1"/>
  <c r="S689" i="1"/>
  <c r="S690" i="1" a="1"/>
  <c r="S690" i="1"/>
  <c r="S691" i="1" a="1"/>
  <c r="S691" i="1"/>
  <c r="S692" i="1" a="1"/>
  <c r="S692" i="1"/>
  <c r="S693" i="1" a="1"/>
  <c r="S693" i="1"/>
  <c r="S694" i="1" a="1"/>
  <c r="S694" i="1"/>
  <c r="S695" i="1" a="1"/>
  <c r="S695" i="1"/>
  <c r="S696" i="1" a="1"/>
  <c r="S696" i="1"/>
  <c r="S697" i="1" a="1"/>
  <c r="S697" i="1"/>
  <c r="S698" i="1" a="1"/>
  <c r="S698" i="1"/>
  <c r="S699" i="1" a="1"/>
  <c r="S699" i="1"/>
  <c r="S700" i="1" a="1"/>
  <c r="S700" i="1"/>
  <c r="S701" i="1" a="1"/>
  <c r="S701" i="1"/>
  <c r="S702" i="1" a="1"/>
  <c r="S702" i="1"/>
  <c r="S703" i="1" a="1"/>
  <c r="S703" i="1"/>
  <c r="S704" i="1" a="1"/>
  <c r="S704" i="1"/>
  <c r="S705" i="1" a="1"/>
  <c r="S705" i="1"/>
  <c r="S706" i="1" a="1"/>
  <c r="S706" i="1"/>
  <c r="S707" i="1" a="1"/>
  <c r="S707" i="1"/>
  <c r="S708" i="1" a="1"/>
  <c r="S708" i="1"/>
  <c r="S709" i="1" a="1"/>
  <c r="S709" i="1"/>
  <c r="S710" i="1" a="1"/>
  <c r="S710" i="1"/>
  <c r="S711" i="1" a="1"/>
  <c r="S711" i="1"/>
  <c r="S712" i="1" a="1"/>
  <c r="S712" i="1"/>
  <c r="S713" i="1" a="1"/>
  <c r="S713" i="1"/>
  <c r="S714" i="1" a="1"/>
  <c r="S714" i="1"/>
  <c r="S715" i="1" a="1"/>
  <c r="S715" i="1"/>
  <c r="S716" i="1" a="1"/>
  <c r="S716" i="1"/>
  <c r="S717" i="1" a="1"/>
  <c r="S717" i="1"/>
  <c r="S718" i="1" a="1"/>
  <c r="S718" i="1"/>
  <c r="S719" i="1" a="1"/>
  <c r="S719" i="1"/>
  <c r="S720" i="1" a="1"/>
  <c r="S720" i="1"/>
  <c r="S721" i="1" a="1"/>
  <c r="S721" i="1"/>
  <c r="S722" i="1" a="1"/>
  <c r="S722" i="1"/>
  <c r="S723" i="1" a="1"/>
  <c r="S723" i="1"/>
  <c r="S724" i="1" a="1"/>
  <c r="S724" i="1"/>
  <c r="S725" i="1" a="1"/>
  <c r="S725" i="1"/>
  <c r="S726" i="1" a="1"/>
  <c r="S726" i="1"/>
  <c r="S727" i="1" a="1"/>
  <c r="S727" i="1"/>
  <c r="S728" i="1" a="1"/>
  <c r="S728" i="1"/>
  <c r="S729" i="1" a="1"/>
  <c r="S729" i="1"/>
  <c r="S730" i="1" a="1"/>
  <c r="S730" i="1"/>
  <c r="S731" i="1" a="1"/>
  <c r="S731" i="1"/>
  <c r="S732" i="1" a="1"/>
  <c r="S732" i="1"/>
  <c r="S733" i="1" a="1"/>
  <c r="S733" i="1"/>
  <c r="S734" i="1" a="1"/>
  <c r="S734" i="1"/>
  <c r="S735" i="1" a="1"/>
  <c r="S735" i="1"/>
  <c r="S736" i="1" a="1"/>
  <c r="S736" i="1"/>
  <c r="S737" i="1" a="1"/>
  <c r="S737" i="1"/>
  <c r="S738" i="1" a="1"/>
  <c r="S738" i="1"/>
  <c r="S739" i="1" a="1"/>
  <c r="S739" i="1"/>
  <c r="S740" i="1" a="1"/>
  <c r="S740" i="1"/>
  <c r="S741" i="1" a="1"/>
  <c r="S741" i="1"/>
  <c r="S742" i="1" a="1"/>
  <c r="S742" i="1"/>
  <c r="S743" i="1" a="1"/>
  <c r="S743" i="1"/>
  <c r="S744" i="1" a="1"/>
  <c r="S744" i="1"/>
  <c r="S745" i="1" a="1"/>
  <c r="S745" i="1"/>
  <c r="S746" i="1" a="1"/>
  <c r="S746" i="1"/>
  <c r="S747" i="1" a="1"/>
  <c r="S747" i="1"/>
  <c r="S748" i="1" a="1"/>
  <c r="S748" i="1"/>
  <c r="S749" i="1" a="1"/>
  <c r="S749" i="1"/>
  <c r="S750" i="1" a="1"/>
  <c r="S750" i="1"/>
  <c r="S751" i="1" a="1"/>
  <c r="S751" i="1"/>
  <c r="S752" i="1" a="1"/>
  <c r="S752" i="1"/>
  <c r="S753" i="1" a="1"/>
  <c r="S753" i="1"/>
  <c r="S754" i="1" a="1"/>
  <c r="S754" i="1"/>
  <c r="S755" i="1" a="1"/>
  <c r="S755" i="1"/>
  <c r="S756" i="1" a="1"/>
  <c r="S756" i="1"/>
  <c r="S757" i="1" a="1"/>
  <c r="S757" i="1"/>
  <c r="S758" i="1" a="1"/>
  <c r="S758" i="1"/>
  <c r="S759" i="1" a="1"/>
  <c r="S759" i="1"/>
  <c r="S760" i="1" a="1"/>
  <c r="S760" i="1"/>
  <c r="S761" i="1" a="1"/>
  <c r="S761" i="1"/>
  <c r="S762" i="1" a="1"/>
  <c r="S762" i="1"/>
  <c r="S763" i="1" a="1"/>
  <c r="S763" i="1"/>
  <c r="S764" i="1" a="1"/>
  <c r="S764" i="1"/>
  <c r="S765" i="1" a="1"/>
  <c r="S765" i="1"/>
  <c r="S766" i="1" a="1"/>
  <c r="S766" i="1"/>
  <c r="S767" i="1" a="1"/>
  <c r="S767" i="1"/>
  <c r="S768" i="1" a="1"/>
  <c r="S768" i="1"/>
  <c r="S769" i="1" a="1"/>
  <c r="S769" i="1"/>
  <c r="S770" i="1" a="1"/>
  <c r="S770" i="1"/>
  <c r="S771" i="1" a="1"/>
  <c r="S771" i="1"/>
  <c r="S772" i="1" a="1"/>
  <c r="S772" i="1"/>
  <c r="S773" i="1" a="1"/>
  <c r="S773" i="1"/>
  <c r="S774" i="1" a="1"/>
  <c r="S774" i="1"/>
  <c r="S775" i="1" a="1"/>
  <c r="S775" i="1"/>
  <c r="S776" i="1" a="1"/>
  <c r="S776" i="1"/>
  <c r="S777" i="1" a="1"/>
  <c r="S777" i="1"/>
  <c r="S778" i="1" a="1"/>
  <c r="S778" i="1"/>
  <c r="S779" i="1" a="1"/>
  <c r="S779" i="1"/>
  <c r="S780" i="1" a="1"/>
  <c r="S780" i="1"/>
  <c r="S781" i="1" a="1"/>
  <c r="S781" i="1"/>
  <c r="S782" i="1" a="1"/>
  <c r="S782" i="1"/>
  <c r="S783" i="1" a="1"/>
  <c r="S783" i="1"/>
  <c r="S784" i="1" a="1"/>
  <c r="S784" i="1"/>
  <c r="S785" i="1" a="1"/>
  <c r="S785" i="1"/>
  <c r="S786" i="1" a="1"/>
  <c r="S786" i="1"/>
  <c r="S787" i="1" a="1"/>
  <c r="S787" i="1"/>
  <c r="S788" i="1" a="1"/>
  <c r="S788" i="1"/>
  <c r="S789" i="1" a="1"/>
  <c r="S789" i="1"/>
  <c r="S790" i="1" a="1"/>
  <c r="S790" i="1"/>
  <c r="S791" i="1" a="1"/>
  <c r="S791" i="1"/>
  <c r="S792" i="1" a="1"/>
  <c r="S792" i="1"/>
  <c r="S793" i="1" a="1"/>
  <c r="S793" i="1"/>
  <c r="S794" i="1" a="1"/>
  <c r="S794" i="1"/>
  <c r="S795" i="1" a="1"/>
  <c r="S795" i="1"/>
  <c r="S796" i="1" a="1"/>
  <c r="S796" i="1"/>
  <c r="S797" i="1" a="1"/>
  <c r="S797" i="1"/>
  <c r="S798" i="1" a="1"/>
  <c r="S798" i="1"/>
  <c r="S799" i="1" a="1"/>
  <c r="S799" i="1"/>
  <c r="S800" i="1" a="1"/>
  <c r="S800" i="1"/>
  <c r="S801" i="1" a="1"/>
  <c r="S801" i="1"/>
  <c r="S802" i="1" a="1"/>
  <c r="S802" i="1"/>
  <c r="S803" i="1" a="1"/>
  <c r="S803" i="1"/>
  <c r="S804" i="1" a="1"/>
  <c r="S804" i="1"/>
  <c r="S805" i="1" a="1"/>
  <c r="S805" i="1"/>
  <c r="S806" i="1" a="1"/>
  <c r="S806" i="1"/>
  <c r="S807" i="1" a="1"/>
  <c r="S807" i="1"/>
  <c r="S808" i="1" a="1"/>
  <c r="S808" i="1"/>
  <c r="S809" i="1" a="1"/>
  <c r="S809" i="1"/>
  <c r="S810" i="1" a="1"/>
  <c r="S810" i="1"/>
  <c r="S811" i="1" a="1"/>
  <c r="S811" i="1"/>
  <c r="S812" i="1" a="1"/>
  <c r="S812" i="1"/>
  <c r="S813" i="1" a="1"/>
  <c r="S813" i="1"/>
  <c r="S814" i="1" a="1"/>
  <c r="S814" i="1"/>
  <c r="S815" i="1" a="1"/>
  <c r="S815" i="1"/>
  <c r="S816" i="1" a="1"/>
  <c r="S816" i="1"/>
  <c r="S817" i="1" a="1"/>
  <c r="S817" i="1"/>
  <c r="S818" i="1" a="1"/>
  <c r="S818" i="1"/>
  <c r="S819" i="1" a="1"/>
  <c r="S819" i="1"/>
  <c r="S820" i="1" a="1"/>
  <c r="S820" i="1"/>
  <c r="S821" i="1" a="1"/>
  <c r="S821" i="1"/>
  <c r="S822" i="1" a="1"/>
  <c r="S822" i="1"/>
  <c r="S823" i="1" a="1"/>
  <c r="S823" i="1"/>
  <c r="S824" i="1" a="1"/>
  <c r="S824" i="1"/>
  <c r="S825" i="1" a="1"/>
  <c r="S825" i="1"/>
  <c r="S826" i="1" a="1"/>
  <c r="S826" i="1"/>
  <c r="S827" i="1" a="1"/>
  <c r="S827" i="1"/>
  <c r="S828" i="1" a="1"/>
  <c r="S828" i="1"/>
  <c r="S829" i="1" a="1"/>
  <c r="S829" i="1"/>
  <c r="S830" i="1" a="1"/>
  <c r="S830" i="1"/>
  <c r="S831" i="1" a="1"/>
  <c r="S831" i="1"/>
  <c r="S832" i="1" a="1"/>
  <c r="S832" i="1"/>
  <c r="S833" i="1" a="1"/>
  <c r="S833" i="1"/>
  <c r="S834" i="1" a="1"/>
  <c r="S834" i="1"/>
  <c r="S835" i="1" a="1"/>
  <c r="S835" i="1"/>
  <c r="S836" i="1" a="1"/>
  <c r="S836" i="1"/>
  <c r="S837" i="1" a="1"/>
  <c r="S837" i="1"/>
  <c r="S838" i="1" a="1"/>
  <c r="S838" i="1"/>
  <c r="S839" i="1" a="1"/>
  <c r="S839" i="1"/>
  <c r="S840" i="1" a="1"/>
  <c r="S840" i="1"/>
  <c r="S841" i="1" a="1"/>
  <c r="S841" i="1"/>
  <c r="S842" i="1" a="1"/>
  <c r="S842" i="1"/>
  <c r="S843" i="1" a="1"/>
  <c r="S843" i="1"/>
  <c r="S844" i="1" a="1"/>
  <c r="S844" i="1"/>
  <c r="S845" i="1" a="1"/>
  <c r="S845" i="1"/>
  <c r="S846" i="1" a="1"/>
  <c r="S846" i="1"/>
  <c r="S847" i="1" a="1"/>
  <c r="S847" i="1"/>
  <c r="S848" i="1" a="1"/>
  <c r="S848" i="1"/>
  <c r="S849" i="1" a="1"/>
  <c r="S849" i="1"/>
  <c r="S850" i="1" a="1"/>
  <c r="S850" i="1"/>
  <c r="S851" i="1" a="1"/>
  <c r="S851" i="1"/>
  <c r="S852" i="1" a="1"/>
  <c r="S852" i="1"/>
  <c r="S853" i="1" a="1"/>
  <c r="S853" i="1"/>
  <c r="S854" i="1" a="1"/>
  <c r="S854" i="1"/>
  <c r="S855" i="1" a="1"/>
  <c r="S855" i="1"/>
  <c r="S856" i="1" a="1"/>
  <c r="S856" i="1"/>
  <c r="S857" i="1" a="1"/>
  <c r="S857" i="1"/>
  <c r="S858" i="1" a="1"/>
  <c r="S858" i="1"/>
  <c r="S859" i="1" a="1"/>
  <c r="S859" i="1"/>
  <c r="S860" i="1" a="1"/>
  <c r="S860" i="1"/>
  <c r="S861" i="1" a="1"/>
  <c r="S861" i="1"/>
  <c r="S862" i="1" a="1"/>
  <c r="S862" i="1"/>
  <c r="S863" i="1" a="1"/>
  <c r="S863" i="1"/>
  <c r="S864" i="1" a="1"/>
  <c r="S864" i="1"/>
  <c r="S865" i="1" a="1"/>
  <c r="S865" i="1"/>
  <c r="S866" i="1" a="1"/>
  <c r="S866" i="1"/>
  <c r="S867" i="1" a="1"/>
  <c r="S867" i="1"/>
  <c r="S868" i="1" a="1"/>
  <c r="S868" i="1"/>
  <c r="S869" i="1" a="1"/>
  <c r="S869" i="1"/>
  <c r="S870" i="1" a="1"/>
  <c r="S870" i="1"/>
  <c r="S871" i="1" a="1"/>
  <c r="S871" i="1"/>
  <c r="S872" i="1" a="1"/>
  <c r="S872" i="1"/>
  <c r="S873" i="1" a="1"/>
  <c r="S873" i="1"/>
  <c r="S874" i="1" a="1"/>
  <c r="S874" i="1"/>
  <c r="S875" i="1" a="1"/>
  <c r="S875" i="1"/>
  <c r="S876" i="1" a="1"/>
  <c r="S876" i="1"/>
  <c r="S877" i="1" a="1"/>
  <c r="S877" i="1"/>
  <c r="S878" i="1" a="1"/>
  <c r="S878" i="1"/>
  <c r="S879" i="1" a="1"/>
  <c r="S879" i="1"/>
  <c r="S880" i="1" a="1"/>
  <c r="S880" i="1"/>
  <c r="S881" i="1" a="1"/>
  <c r="S881" i="1"/>
  <c r="S882" i="1" a="1"/>
  <c r="S882" i="1"/>
  <c r="S883" i="1" a="1"/>
  <c r="S883" i="1"/>
  <c r="S884" i="1" a="1"/>
  <c r="S884" i="1"/>
  <c r="S885" i="1" a="1"/>
  <c r="S885" i="1"/>
  <c r="S886" i="1" a="1"/>
  <c r="S886" i="1"/>
  <c r="S887" i="1" a="1"/>
  <c r="S887" i="1"/>
  <c r="S888" i="1" a="1"/>
  <c r="S888" i="1"/>
  <c r="S889" i="1" a="1"/>
  <c r="S889" i="1"/>
  <c r="S890" i="1" a="1"/>
  <c r="S890" i="1"/>
  <c r="S891" i="1" a="1"/>
  <c r="S891" i="1"/>
  <c r="S892" i="1" a="1"/>
  <c r="S892" i="1"/>
  <c r="S893" i="1" a="1"/>
  <c r="S893" i="1"/>
  <c r="S894" i="1" a="1"/>
  <c r="S894" i="1"/>
  <c r="S895" i="1" a="1"/>
  <c r="S895" i="1"/>
  <c r="S896" i="1" a="1"/>
  <c r="S896" i="1"/>
  <c r="S897" i="1" a="1"/>
  <c r="S897" i="1"/>
  <c r="S898" i="1" a="1"/>
  <c r="S898" i="1"/>
  <c r="S899" i="1" a="1"/>
  <c r="S899" i="1"/>
  <c r="S900" i="1" a="1"/>
  <c r="S900" i="1"/>
  <c r="S901" i="1" a="1"/>
  <c r="S901" i="1"/>
  <c r="S902" i="1" a="1"/>
  <c r="S902" i="1"/>
  <c r="S903" i="1" a="1"/>
  <c r="S903" i="1"/>
  <c r="S904" i="1" a="1"/>
  <c r="S904" i="1"/>
  <c r="S905" i="1" a="1"/>
  <c r="S905" i="1"/>
  <c r="S906" i="1" a="1"/>
  <c r="S906" i="1"/>
  <c r="S907" i="1" a="1"/>
  <c r="S907" i="1"/>
  <c r="S908" i="1" a="1"/>
  <c r="S908" i="1"/>
  <c r="S909" i="1" a="1"/>
  <c r="S909" i="1"/>
  <c r="S910" i="1" a="1"/>
  <c r="S910" i="1"/>
  <c r="S911" i="1" a="1"/>
  <c r="S911" i="1"/>
  <c r="S912" i="1" a="1"/>
  <c r="S912" i="1"/>
  <c r="S913" i="1" a="1"/>
  <c r="S913" i="1"/>
  <c r="S914" i="1" a="1"/>
  <c r="S914" i="1"/>
  <c r="S915" i="1" a="1"/>
  <c r="S915" i="1"/>
  <c r="S916" i="1" a="1"/>
  <c r="S916" i="1"/>
  <c r="S917" i="1" a="1"/>
  <c r="S917" i="1"/>
  <c r="S918" i="1" a="1"/>
  <c r="S918" i="1"/>
  <c r="S919" i="1" a="1"/>
  <c r="S919" i="1"/>
  <c r="S920" i="1" a="1"/>
  <c r="S920" i="1"/>
  <c r="S921" i="1" a="1"/>
  <c r="S921" i="1"/>
  <c r="S922" i="1" a="1"/>
  <c r="S922" i="1"/>
  <c r="S923" i="1" a="1"/>
  <c r="S923" i="1"/>
  <c r="S924" i="1" a="1"/>
  <c r="S924" i="1"/>
  <c r="S925" i="1" a="1"/>
  <c r="S925" i="1"/>
  <c r="S926" i="1" a="1"/>
  <c r="S926" i="1"/>
  <c r="S927" i="1" a="1"/>
  <c r="S927" i="1"/>
  <c r="S928" i="1" a="1"/>
  <c r="S928" i="1"/>
  <c r="S929" i="1" a="1"/>
  <c r="S929" i="1"/>
  <c r="S930" i="1" a="1"/>
  <c r="S930" i="1"/>
  <c r="S931" i="1" a="1"/>
  <c r="S931" i="1"/>
  <c r="S932" i="1" a="1"/>
  <c r="S932" i="1"/>
  <c r="S933" i="1" a="1"/>
  <c r="S933" i="1"/>
  <c r="S934" i="1" a="1"/>
  <c r="S934" i="1"/>
  <c r="S935" i="1" a="1"/>
  <c r="S935" i="1"/>
  <c r="S936" i="1" a="1"/>
  <c r="S936" i="1"/>
  <c r="S937" i="1" a="1"/>
  <c r="S937" i="1"/>
  <c r="S938" i="1" a="1"/>
  <c r="S938" i="1"/>
  <c r="S939" i="1" a="1"/>
  <c r="S939" i="1"/>
  <c r="S940" i="1" a="1"/>
  <c r="S940" i="1"/>
  <c r="S941" i="1" a="1"/>
  <c r="S941" i="1"/>
  <c r="S942" i="1" a="1"/>
  <c r="S942" i="1"/>
  <c r="S943" i="1" a="1"/>
  <c r="S943" i="1"/>
  <c r="S944" i="1" a="1"/>
  <c r="S944" i="1"/>
  <c r="S945" i="1" a="1"/>
  <c r="S945" i="1"/>
  <c r="S946" i="1" a="1"/>
  <c r="S946" i="1"/>
  <c r="S947" i="1" a="1"/>
  <c r="S947" i="1"/>
  <c r="S948" i="1" a="1"/>
  <c r="S948" i="1"/>
  <c r="S949" i="1" a="1"/>
  <c r="S949" i="1"/>
  <c r="S950" i="1" a="1"/>
  <c r="S950" i="1"/>
  <c r="S951" i="1" a="1"/>
  <c r="S951" i="1"/>
  <c r="S952" i="1" a="1"/>
  <c r="S952" i="1"/>
  <c r="S953" i="1" a="1"/>
  <c r="S953" i="1"/>
  <c r="S954" i="1" a="1"/>
  <c r="S954" i="1"/>
  <c r="S955" i="1" a="1"/>
  <c r="S955" i="1"/>
  <c r="S956" i="1" a="1"/>
  <c r="S956" i="1"/>
  <c r="S957" i="1" a="1"/>
  <c r="S957" i="1"/>
  <c r="S958" i="1" a="1"/>
  <c r="S958" i="1"/>
  <c r="S959" i="1" a="1"/>
  <c r="S959" i="1"/>
  <c r="S960" i="1" a="1"/>
  <c r="S960" i="1"/>
  <c r="S961" i="1" a="1"/>
  <c r="S961" i="1"/>
  <c r="S962" i="1" a="1"/>
  <c r="S962" i="1"/>
  <c r="S963" i="1" a="1"/>
  <c r="S963" i="1"/>
  <c r="S964" i="1" a="1"/>
  <c r="S964" i="1"/>
  <c r="S965" i="1" a="1"/>
  <c r="S965" i="1"/>
  <c r="S966" i="1" a="1"/>
  <c r="S966" i="1"/>
  <c r="S967" i="1" a="1"/>
  <c r="S967" i="1"/>
  <c r="S968" i="1" a="1"/>
  <c r="S968" i="1"/>
  <c r="S969" i="1" a="1"/>
  <c r="S969" i="1"/>
  <c r="S970" i="1" a="1"/>
  <c r="S970" i="1"/>
  <c r="S971" i="1" a="1"/>
  <c r="S971" i="1"/>
  <c r="S972" i="1" a="1"/>
  <c r="S972" i="1"/>
  <c r="S973" i="1" a="1"/>
  <c r="S973" i="1"/>
  <c r="S974" i="1" a="1"/>
  <c r="S974" i="1"/>
  <c r="S975" i="1" a="1"/>
  <c r="S975" i="1"/>
  <c r="S976" i="1" a="1"/>
  <c r="S976" i="1"/>
  <c r="S977" i="1" a="1"/>
  <c r="S977" i="1"/>
  <c r="S978" i="1" a="1"/>
  <c r="S978" i="1"/>
  <c r="S979" i="1" a="1"/>
  <c r="S979" i="1"/>
  <c r="S980" i="1" a="1"/>
  <c r="S980" i="1"/>
  <c r="S981" i="1" a="1"/>
  <c r="S981" i="1"/>
  <c r="S982" i="1" a="1"/>
  <c r="S982" i="1"/>
  <c r="S983" i="1" a="1"/>
  <c r="S983" i="1"/>
  <c r="S984" i="1" a="1"/>
  <c r="S984" i="1"/>
  <c r="S985" i="1" a="1"/>
  <c r="S985" i="1"/>
  <c r="S986" i="1" a="1"/>
  <c r="S986" i="1"/>
  <c r="S987" i="1" a="1"/>
  <c r="S987" i="1"/>
  <c r="S988" i="1" a="1"/>
  <c r="S988" i="1"/>
  <c r="S989" i="1" a="1"/>
  <c r="S989" i="1"/>
  <c r="S990" i="1" a="1"/>
  <c r="S990" i="1"/>
  <c r="S991" i="1" a="1"/>
  <c r="S991" i="1"/>
  <c r="S992" i="1" a="1"/>
  <c r="S992" i="1"/>
  <c r="S993" i="1" a="1"/>
  <c r="S993" i="1"/>
  <c r="S994" i="1" a="1"/>
  <c r="S994" i="1"/>
  <c r="S995" i="1" a="1"/>
  <c r="S995" i="1"/>
  <c r="S996" i="1" a="1"/>
  <c r="S996" i="1"/>
  <c r="S997" i="1" a="1"/>
  <c r="S997" i="1"/>
  <c r="S998" i="1" a="1"/>
  <c r="S998" i="1"/>
  <c r="S999" i="1" a="1"/>
  <c r="S999" i="1"/>
  <c r="S1000" i="1" a="1"/>
  <c r="S1000" i="1"/>
  <c r="S1001" i="1" a="1"/>
  <c r="S1001" i="1"/>
  <c r="S2" i="1" a="1"/>
  <c r="S2" i="1" s="1"/>
  <c r="U24" i="3" l="1"/>
  <c r="U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<sst xmlns="http://schemas.openxmlformats.org/spreadsheetml/2006/main" count="18073" uniqueCount="2124">
  <si>
    <t>country</t>
  </si>
  <si>
    <t>(All)</t>
  </si>
  <si>
    <t>Count of id</t>
  </si>
  <si>
    <t>outcome</t>
  </si>
  <si>
    <t>parent category</t>
  </si>
  <si>
    <t>canceled</t>
  </si>
  <si>
    <t>failed</t>
  </si>
  <si>
    <t>live</t>
  </si>
  <si>
    <t>successful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</si>
  <si>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</si>
  <si>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</si>
  <si>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</si>
  <si>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</si>
  <si>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</si>
  <si>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</si>
  <si>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</si>
  <si>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</si>
  <si>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</si>
  <si>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</si>
  <si>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subcategory</t>
  </si>
  <si>
    <t>percent successful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</si>
  <si>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</si>
  <si>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</si>
  <si>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</si>
  <si>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</si>
  <si>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</si>
  <si>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</si>
  <si>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</si>
  <si>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</si>
  <si>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</si>
  <si>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</si>
  <si>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</si>
  <si>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</si>
  <si>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</si>
  <si>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</si>
  <si>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</si>
  <si>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</si>
  <si>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</si>
  <si>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</si>
  <si>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</si>
  <si>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</si>
  <si>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</si>
  <si>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</si>
  <si>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</si>
  <si>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</si>
  <si>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launched_at_year</t>
  </si>
  <si>
    <t>launched_at_month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</si>
  <si>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</si>
  <si>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</si>
  <si>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</si>
  <si>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</si>
  <si>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</si>
  <si>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</si>
  <si>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</si>
  <si>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</si>
  <si>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</si>
  <si>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</si>
  <si>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</si>
  <si>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</si>
  <si>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backers_count</t>
  </si>
  <si>
    <t>Mean</t>
  </si>
  <si>
    <t>Successful</t>
  </si>
  <si>
    <t>Failed</t>
  </si>
  <si>
    <t>Median</t>
  </si>
  <si>
    <t>Mode</t>
  </si>
  <si>
    <t>Minimum</t>
  </si>
  <si>
    <t>Maximum</t>
  </si>
  <si>
    <t>Variance</t>
  </si>
  <si>
    <t>St Deviation</t>
  </si>
  <si>
    <t>Goal</t>
  </si>
  <si>
    <t xml:space="preserve">Number Successful
</t>
  </si>
  <si>
    <t xml:space="preserve">Number Failed
</t>
  </si>
  <si>
    <t xml:space="preserve">Number Canceled
</t>
  </si>
  <si>
    <t xml:space="preserve">Total Projects
</t>
  </si>
  <si>
    <t xml:space="preserve">Percentage Successful
</t>
  </si>
  <si>
    <t xml:space="preserve">Percentage Failed
</t>
  </si>
  <si>
    <t xml:space="preserve">Percentage Canceled
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</si>
  <si>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</si>
  <si>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</si>
  <si>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</si>
  <si>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</si>
  <si>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</si>
  <si>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</si>
  <si>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</si>
  <si>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</si>
  <si>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</si>
  <si>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</si>
  <si>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</si>
  <si>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</si>
  <si>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id</t>
  </si>
  <si>
    <t>name</t>
  </si>
  <si>
    <t>blurb</t>
  </si>
  <si>
    <t>goal</t>
  </si>
  <si>
    <t>pledged</t>
  </si>
  <si>
    <t>percent funded</t>
  </si>
  <si>
    <t>currency</t>
  </si>
  <si>
    <t>launched_at</t>
  </si>
  <si>
    <t>deadline</t>
  </si>
  <si>
    <t>staff_pick</t>
  </si>
  <si>
    <t>spotlight</t>
  </si>
  <si>
    <t>category &amp; sub-category</t>
  </si>
  <si>
    <t>Baldwin, Riley and Jackson</t>
  </si>
  <si>
    <t>Pre-emptive tertiary standardization</t>
  </si>
  <si>
    <t>CA</t>
  </si>
  <si>
    <t>CAD</t>
  </si>
  <si>
    <t>2015</t>
  </si>
  <si>
    <t>food/food trucks</t>
  </si>
  <si>
    <t>Odom Inc</t>
  </si>
  <si>
    <t>Managed bottom-line architecture</t>
  </si>
  <si>
    <t>US</t>
  </si>
  <si>
    <t>USD</t>
  </si>
  <si>
    <t>2014</t>
  </si>
  <si>
    <t>music/rock</t>
  </si>
  <si>
    <t>Melton, Robinson and Fritz</t>
  </si>
  <si>
    <t>Function-based leadingedge pricing structure</t>
  </si>
  <si>
    <t>AU</t>
  </si>
  <si>
    <t>AUD</t>
  </si>
  <si>
    <t>2013</t>
  </si>
  <si>
    <t>technology/web</t>
  </si>
  <si>
    <t>Mcdonald, Gonzalez and Ross</t>
  </si>
  <si>
    <t>Vision-oriented fresh-thinking conglomeration</t>
  </si>
  <si>
    <t>2019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</si>
  <si>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</si>
  <si>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</si>
  <si>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</si>
  <si>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</si>
  <si>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</si>
  <si>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</si>
  <si>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</si>
  <si>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2012</t>
  </si>
  <si>
    <t>Ortiz, Coleman and Mitchell</t>
  </si>
  <si>
    <t>Operative upward-trending algorithm</t>
  </si>
  <si>
    <t>GB</t>
  </si>
  <si>
    <t>GBP</t>
  </si>
  <si>
    <t>2017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</si>
  <si>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</si>
  <si>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</si>
  <si>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</si>
  <si>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</si>
  <si>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</si>
  <si>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2010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</si>
  <si>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</si>
  <si>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</si>
  <si>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</si>
  <si>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</si>
  <si>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</si>
  <si>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</si>
  <si>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</si>
  <si>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</si>
  <si>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</si>
  <si>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</si>
  <si>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</si>
  <si>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</si>
  <si>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2016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</si>
  <si>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</si>
  <si>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</si>
  <si>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</si>
  <si>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</si>
  <si>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</si>
  <si>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</si>
  <si>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</si>
  <si>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</si>
  <si>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</si>
  <si>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</si>
  <si>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</si>
  <si>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2011</t>
  </si>
  <si>
    <t>film &amp; video/animation</t>
  </si>
  <si>
    <t>Johnson-Gould</t>
  </si>
  <si>
    <t>Exclusive needs-based adapter</t>
  </si>
  <si>
    <t>2018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</si>
  <si>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</si>
  <si>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</si>
  <si>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</si>
  <si>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</si>
  <si>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</si>
  <si>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</si>
  <si>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</si>
  <si>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</si>
  <si>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</si>
  <si>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</si>
  <si>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</si>
  <si>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</si>
  <si>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</si>
  <si>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</si>
  <si>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</si>
  <si>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</si>
  <si>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</si>
  <si>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</si>
  <si>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</si>
  <si>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</si>
  <si>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</si>
  <si>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</si>
  <si>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</si>
  <si>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</si>
  <si>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</si>
  <si>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</si>
  <si>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</si>
  <si>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</si>
  <si>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</si>
  <si>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</si>
  <si>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</si>
  <si>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</si>
  <si>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</si>
  <si>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</si>
  <si>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</si>
  <si>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</si>
  <si>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</si>
  <si>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</si>
  <si>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</si>
  <si>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</si>
  <si>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</si>
  <si>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</si>
  <si>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</si>
  <si>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</si>
  <si>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</si>
  <si>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</si>
  <si>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</si>
  <si>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</si>
  <si>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</si>
  <si>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</si>
  <si>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</si>
  <si>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</si>
  <si>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</si>
  <si>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</si>
  <si>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</si>
  <si>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</si>
  <si>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</si>
  <si>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</si>
  <si>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</si>
  <si>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</si>
  <si>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</si>
  <si>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</si>
  <si>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</si>
  <si>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</si>
  <si>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</si>
  <si>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</si>
  <si>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</si>
  <si>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</si>
  <si>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</si>
  <si>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</si>
  <si>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</si>
  <si>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</si>
  <si>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</si>
  <si>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</si>
  <si>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</si>
  <si>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</si>
  <si>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</si>
  <si>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</si>
  <si>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</si>
  <si>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</si>
  <si>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</si>
  <si>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</si>
  <si>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</si>
  <si>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</si>
  <si>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</si>
  <si>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</si>
  <si>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</si>
  <si>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</si>
  <si>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</si>
  <si>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</si>
  <si>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</si>
  <si>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</si>
  <si>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</si>
  <si>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</si>
  <si>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</si>
  <si>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</si>
  <si>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</si>
  <si>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</si>
  <si>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</si>
  <si>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</si>
  <si>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</si>
  <si>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</si>
  <si>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</si>
  <si>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</si>
  <si>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</si>
  <si>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</si>
  <si>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</si>
  <si>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</si>
  <si>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</si>
  <si>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</si>
  <si>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</si>
  <si>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</si>
  <si>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</si>
  <si>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</si>
  <si>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</si>
  <si>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</si>
  <si>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</si>
  <si>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</si>
  <si>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</si>
  <si>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</si>
  <si>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</si>
  <si>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</si>
  <si>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</si>
  <si>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</si>
  <si>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</si>
  <si>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</si>
  <si>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</si>
  <si>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</si>
  <si>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</si>
  <si>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</si>
  <si>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</si>
  <si>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</si>
  <si>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</si>
  <si>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</si>
  <si>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</si>
  <si>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</si>
  <si>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</si>
  <si>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</si>
  <si>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</si>
  <si>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</si>
  <si>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</si>
  <si>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</si>
  <si>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</si>
  <si>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</si>
  <si>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</si>
  <si>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</si>
  <si>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</si>
  <si>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</si>
  <si>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</si>
  <si>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</si>
  <si>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</si>
  <si>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</si>
  <si>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</si>
  <si>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</si>
  <si>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</si>
  <si>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</si>
  <si>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</si>
  <si>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</si>
  <si>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</si>
  <si>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</si>
  <si>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</si>
  <si>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</si>
  <si>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</si>
  <si>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</si>
  <si>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</si>
  <si>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</si>
  <si>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</si>
  <si>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</si>
  <si>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</si>
  <si>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</si>
  <si>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</si>
  <si>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</si>
  <si>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</si>
  <si>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</si>
  <si>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</si>
  <si>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</si>
  <si>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</si>
  <si>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</si>
  <si>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</si>
  <si>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</si>
  <si>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</si>
  <si>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</si>
  <si>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</si>
  <si>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</si>
  <si>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</si>
  <si>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</si>
  <si>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</si>
  <si>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</si>
  <si>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</si>
  <si>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</si>
  <si>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</si>
  <si>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</si>
  <si>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</si>
  <si>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</si>
  <si>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</si>
  <si>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</si>
  <si>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</si>
  <si>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</si>
  <si>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</si>
  <si>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</si>
  <si>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</si>
  <si>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</si>
  <si>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</si>
  <si>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</si>
  <si>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</si>
  <si>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</si>
  <si>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</si>
  <si>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</si>
  <si>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</si>
  <si>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</si>
  <si>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</si>
  <si>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</si>
  <si>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</si>
  <si>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</si>
  <si>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</si>
  <si>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</si>
  <si>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</si>
  <si>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</si>
  <si>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</si>
  <si>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</si>
  <si>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</si>
  <si>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</si>
  <si>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</si>
  <si>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</si>
  <si>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</si>
  <si>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</si>
  <si>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</si>
  <si>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</si>
  <si>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</si>
  <si>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</si>
  <si>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</si>
  <si>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</si>
  <si>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</si>
  <si>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</si>
  <si>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</si>
  <si>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</si>
  <si>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</si>
  <si>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</si>
  <si>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</si>
  <si>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</si>
  <si>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</si>
  <si>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</si>
  <si>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</si>
  <si>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</si>
  <si>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</si>
  <si>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</si>
  <si>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</si>
  <si>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</si>
  <si>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</si>
  <si>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</si>
  <si>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</si>
  <si>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</si>
  <si>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</si>
  <si>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</si>
  <si>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</si>
  <si>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</si>
  <si>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</si>
  <si>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</si>
  <si>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</si>
  <si>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</si>
  <si>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</si>
  <si>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</si>
  <si>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</si>
  <si>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</si>
  <si>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</si>
  <si>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</si>
  <si>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</si>
  <si>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</si>
  <si>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</si>
  <si>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</si>
  <si>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</si>
  <si>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</si>
  <si>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</si>
  <si>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</si>
  <si>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</si>
  <si>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</si>
  <si>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</si>
  <si>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</si>
  <si>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</si>
  <si>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</si>
  <si>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</si>
  <si>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</si>
  <si>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</si>
  <si>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</si>
  <si>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</si>
  <si>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</si>
  <si>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</si>
  <si>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</si>
  <si>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</si>
  <si>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</si>
  <si>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</si>
  <si>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</si>
  <si>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</si>
  <si>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</si>
  <si>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</si>
  <si>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</si>
  <si>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</si>
  <si>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</si>
  <si>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</si>
  <si>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</si>
  <si>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</si>
  <si>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</si>
  <si>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</si>
  <si>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</si>
  <si>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</si>
  <si>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</si>
  <si>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</si>
  <si>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</si>
  <si>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</si>
  <si>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</si>
  <si>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</si>
  <si>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</si>
  <si>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</si>
  <si>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</si>
  <si>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</si>
  <si>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</si>
  <si>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</si>
  <si>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</si>
  <si>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</si>
  <si>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</si>
  <si>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</si>
  <si>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</si>
  <si>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</si>
  <si>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</si>
  <si>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</si>
  <si>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</si>
  <si>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</si>
  <si>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</si>
  <si>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</si>
  <si>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</si>
  <si>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</si>
  <si>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</si>
  <si>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</si>
  <si>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</si>
  <si>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</si>
  <si>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</si>
  <si>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</si>
  <si>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</si>
  <si>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</si>
  <si>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</si>
  <si>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</si>
  <si>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</si>
  <si>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</si>
  <si>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</si>
  <si>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</si>
  <si>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</si>
  <si>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</si>
  <si>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</si>
  <si>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</si>
  <si>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</si>
  <si>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</si>
  <si>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</si>
  <si>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</si>
  <si>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</si>
  <si>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</si>
  <si>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</si>
  <si>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</si>
  <si>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</si>
  <si>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</si>
  <si>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</si>
  <si>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</si>
  <si>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</si>
  <si>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</si>
  <si>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</si>
  <si>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</si>
  <si>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</si>
  <si>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</si>
  <si>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</si>
  <si>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</si>
  <si>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</si>
  <si>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</si>
  <si>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</si>
  <si>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</si>
  <si>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</si>
  <si>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</si>
  <si>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</si>
  <si>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</si>
  <si>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</si>
  <si>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</si>
  <si>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</si>
  <si>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</si>
  <si>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</si>
  <si>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</si>
  <si>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</si>
  <si>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</si>
  <si>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</si>
  <si>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</si>
  <si>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</si>
  <si>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</si>
  <si>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</si>
  <si>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</si>
  <si>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</si>
  <si>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</si>
  <si>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</si>
  <si>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</si>
  <si>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</si>
  <si>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</si>
  <si>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</si>
  <si>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</si>
  <si>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</si>
  <si>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</si>
  <si>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</si>
  <si>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</si>
  <si>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</si>
  <si>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</si>
  <si>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</si>
  <si>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</si>
  <si>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</si>
  <si>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</si>
  <si>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</si>
  <si>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</si>
  <si>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</si>
  <si>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</si>
  <si>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</si>
  <si>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</si>
  <si>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</si>
  <si>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</si>
  <si>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</si>
  <si>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</si>
  <si>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</si>
  <si>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</si>
  <si>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</si>
  <si>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</si>
  <si>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</si>
  <si>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</si>
  <si>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</si>
  <si>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</si>
  <si>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</si>
  <si>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</si>
  <si>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</si>
  <si>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</si>
  <si>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</si>
  <si>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</si>
  <si>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</si>
  <si>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</si>
  <si>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</si>
  <si>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</si>
  <si>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</si>
  <si>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</si>
  <si>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</si>
  <si>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</si>
  <si>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</si>
  <si>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</si>
  <si>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</si>
  <si>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</si>
  <si>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</si>
  <si>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</si>
  <si>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</si>
  <si>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</si>
  <si>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</si>
  <si>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</si>
  <si>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</si>
  <si>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</si>
  <si>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</si>
  <si>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</si>
  <si>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</si>
  <si>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</si>
  <si>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</si>
  <si>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</si>
  <si>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</si>
  <si>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</si>
  <si>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</si>
  <si>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</si>
  <si>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</si>
  <si>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</si>
  <si>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</si>
  <si>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</si>
  <si>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</si>
  <si>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</si>
  <si>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</si>
  <si>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</si>
  <si>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</si>
  <si>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</si>
  <si>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</si>
  <si>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</si>
  <si>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</si>
  <si>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</si>
  <si>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</si>
  <si>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</si>
  <si>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</si>
  <si>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</si>
  <si>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</si>
  <si>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</si>
  <si>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</si>
  <si>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</si>
  <si>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</si>
  <si>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</si>
  <si>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</si>
  <si>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</si>
  <si>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</si>
  <si>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</si>
  <si>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</si>
  <si>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</si>
  <si>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</si>
  <si>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</si>
  <si>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</si>
  <si>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</si>
  <si>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</si>
  <si>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</si>
  <si>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</si>
  <si>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</si>
  <si>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</si>
  <si>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</si>
  <si>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</si>
  <si>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</si>
  <si>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</si>
  <si>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</si>
  <si>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</si>
  <si>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</si>
  <si>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</si>
  <si>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</si>
  <si>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</si>
  <si>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</si>
  <si>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</si>
  <si>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</si>
  <si>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</si>
  <si>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</si>
  <si>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</si>
  <si>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</si>
  <si>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</si>
  <si>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</si>
  <si>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</si>
  <si>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</si>
  <si>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</si>
  <si>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</si>
  <si>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</si>
  <si>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</si>
  <si>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</si>
  <si>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</si>
  <si>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</si>
  <si>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</si>
  <si>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</si>
  <si>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</si>
  <si>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</si>
  <si>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</si>
  <si>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</si>
  <si>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</si>
  <si>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</si>
  <si>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</si>
  <si>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</si>
  <si>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</si>
  <si>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</si>
  <si>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</si>
  <si>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</si>
  <si>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</si>
  <si>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</si>
  <si>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</si>
  <si>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</si>
  <si>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</si>
  <si>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</si>
  <si>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</si>
  <si>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</si>
  <si>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</si>
  <si>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</si>
  <si>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</si>
  <si>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</si>
  <si>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</si>
  <si>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</si>
  <si>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</si>
  <si>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</si>
  <si>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</si>
  <si>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</si>
  <si>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</si>
  <si>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</si>
  <si>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</si>
  <si>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</si>
  <si>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</si>
  <si>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</si>
  <si>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</si>
  <si>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</si>
  <si>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</si>
  <si>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</si>
  <si>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</si>
  <si>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</si>
  <si>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</si>
  <si>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</si>
  <si>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</si>
  <si>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</si>
  <si>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</si>
  <si>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</si>
  <si>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</si>
  <si>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</si>
  <si>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</si>
  <si>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</si>
  <si>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</si>
  <si>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</si>
  <si>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</si>
  <si>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</si>
  <si>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</si>
  <si>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</si>
  <si>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</si>
  <si>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</si>
  <si>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</si>
  <si>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</si>
  <si>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</si>
  <si>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</si>
  <si>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</si>
  <si>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</si>
  <si>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</si>
  <si>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</si>
  <si>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</si>
  <si>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</si>
  <si>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</si>
  <si>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</si>
  <si>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</si>
  <si>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</si>
  <si>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</si>
  <si>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</si>
  <si>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</si>
  <si>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</si>
  <si>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</si>
  <si>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</si>
  <si>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</si>
  <si>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</si>
  <si>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</si>
  <si>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</si>
  <si>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</si>
  <si>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</si>
  <si>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</si>
  <si>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</si>
  <si>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</si>
  <si>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</si>
  <si>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</si>
  <si>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</si>
  <si>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</si>
  <si>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</si>
  <si>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</si>
  <si>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</si>
  <si>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</si>
  <si>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</si>
  <si>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</si>
  <si>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</si>
  <si>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</si>
  <si>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</si>
  <si>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</si>
  <si>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</si>
  <si>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</si>
  <si>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</si>
  <si>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</si>
  <si>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</si>
  <si>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</si>
  <si>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</si>
  <si>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</si>
  <si>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</si>
  <si>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</si>
  <si>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</si>
  <si>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</si>
  <si>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</si>
  <si>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</si>
  <si>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</si>
  <si>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</si>
  <si>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</si>
  <si>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</si>
  <si>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</si>
  <si>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</si>
  <si>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</si>
  <si>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</si>
  <si>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</si>
  <si>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</si>
  <si>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</si>
  <si>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</si>
  <si>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</si>
  <si>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</si>
  <si>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</si>
  <si>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</si>
  <si>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</si>
  <si>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</si>
  <si>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</si>
  <si>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</si>
  <si>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</si>
  <si>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</si>
  <si>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</si>
  <si>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</si>
  <si>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</si>
  <si>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</si>
  <si>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</si>
  <si>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</si>
  <si>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</si>
  <si>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</si>
  <si>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</si>
  <si>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</si>
  <si>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</si>
  <si>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</si>
  <si>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</si>
  <si>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</si>
  <si>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</si>
  <si>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</si>
  <si>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</si>
  <si>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</si>
  <si>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</si>
  <si>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</si>
  <si>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</si>
  <si>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</si>
  <si>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</si>
  <si>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</si>
  <si>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</si>
  <si>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</si>
  <si>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</si>
  <si>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</si>
  <si>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</si>
  <si>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</si>
  <si>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</si>
  <si>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</si>
  <si>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</si>
  <si>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</si>
  <si>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</si>
  <si>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</si>
  <si>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</si>
  <si>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</si>
  <si>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</si>
  <si>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</si>
  <si>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</si>
  <si>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</si>
  <si>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</si>
  <si>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</si>
  <si>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</si>
  <si>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</si>
  <si>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</si>
  <si>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</si>
  <si>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</si>
  <si>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</si>
  <si>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</si>
  <si>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</si>
  <si>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</si>
  <si>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</si>
  <si>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</si>
  <si>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</si>
  <si>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</si>
  <si>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</si>
  <si>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</si>
  <si>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</si>
  <si>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</si>
  <si>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</si>
  <si>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</si>
  <si>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</si>
  <si>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</si>
  <si>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</si>
  <si>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</si>
  <si>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</si>
  <si>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</si>
  <si>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</si>
  <si>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</si>
  <si>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</si>
  <si>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</si>
  <si>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</si>
  <si>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</si>
  <si>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</si>
  <si>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</si>
  <si>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</si>
  <si>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</si>
  <si>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</si>
  <si>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</si>
  <si>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</si>
  <si>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</si>
  <si>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</si>
  <si>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</si>
  <si>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</si>
  <si>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</si>
  <si>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</si>
  <si>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</si>
  <si>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</si>
  <si>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</si>
  <si>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</si>
  <si>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</si>
  <si>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</si>
  <si>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</si>
  <si>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</si>
  <si>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</si>
  <si>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</si>
  <si>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</si>
  <si>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</si>
  <si>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</si>
  <si>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</si>
  <si>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</si>
  <si>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</si>
  <si>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</si>
  <si>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</si>
  <si>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</si>
  <si>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</si>
  <si>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</si>
  <si>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</si>
  <si>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</si>
  <si>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</si>
  <si>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</si>
  <si>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</si>
  <si>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</si>
  <si>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</si>
  <si>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</si>
  <si>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</si>
  <si>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</si>
  <si>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</si>
  <si>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</si>
  <si>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</si>
  <si>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</si>
  <si>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</si>
  <si>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</si>
  <si>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</si>
  <si>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</si>
  <si>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</si>
  <si>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</si>
  <si>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</si>
  <si>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</si>
  <si>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</si>
  <si>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</si>
  <si>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</si>
  <si>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</si>
  <si>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</si>
  <si>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</si>
  <si>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</si>
  <si>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</si>
  <si>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</si>
  <si>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</si>
  <si>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</si>
  <si>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</si>
  <si>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</si>
  <si>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</si>
  <si>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</si>
  <si>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</si>
  <si>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</si>
  <si>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</si>
  <si>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</si>
  <si>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</si>
  <si>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</si>
  <si>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</si>
  <si>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</si>
  <si>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</si>
  <si>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</si>
  <si>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</si>
  <si>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</si>
  <si>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</si>
  <si>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</si>
  <si>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</si>
  <si>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</si>
  <si>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</si>
  <si>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</si>
  <si>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</si>
  <si>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</si>
  <si>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</si>
  <si>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</si>
  <si>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</si>
  <si>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</si>
  <si>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</si>
  <si>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</si>
  <si>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</si>
  <si>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</si>
  <si>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</si>
  <si>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</si>
  <si>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</si>
  <si>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</si>
  <si>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</si>
  <si>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</si>
  <si>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</si>
  <si>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</si>
  <si>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</si>
  <si>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</si>
  <si>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</si>
  <si>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</si>
  <si>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</si>
  <si>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</si>
  <si>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</si>
  <si>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</si>
  <si>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</si>
  <si>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</si>
  <si>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</si>
  <si>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</si>
  <si>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</si>
  <si>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</si>
  <si>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</si>
  <si>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</si>
  <si>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</si>
  <si>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</si>
  <si>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</si>
  <si>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</si>
  <si>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</si>
  <si>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</si>
  <si>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</si>
  <si>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</si>
  <si>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</si>
  <si>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</si>
  <si>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</si>
  <si>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</si>
  <si>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</si>
  <si>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</si>
  <si>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</si>
  <si>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</si>
  <si>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</si>
  <si>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</si>
  <si>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</si>
  <si>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</si>
  <si>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</si>
  <si>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</si>
  <si>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</si>
  <si>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</si>
  <si>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</si>
  <si>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</si>
  <si>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</si>
  <si>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</si>
  <si>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</si>
  <si>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</si>
  <si>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</si>
  <si>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</si>
  <si>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</si>
  <si>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</si>
  <si>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</si>
  <si>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</si>
  <si>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</si>
  <si>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</si>
  <si>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</si>
  <si>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</si>
  <si>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</si>
  <si>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</si>
  <si>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</si>
  <si>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</si>
  <si>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</si>
  <si>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</si>
  <si>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</si>
  <si>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</si>
  <si>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</si>
  <si>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</si>
  <si>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</si>
  <si>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</si>
  <si>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</si>
  <si>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</si>
  <si>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</si>
  <si>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</si>
  <si>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</si>
  <si>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</si>
  <si>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</si>
  <si>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</si>
  <si>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</si>
  <si>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</si>
  <si>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</si>
  <si>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</si>
  <si>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</si>
  <si>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</si>
  <si>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</si>
  <si>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</si>
  <si>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</si>
  <si>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</si>
  <si>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</si>
  <si>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</si>
  <si>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</si>
  <si>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</si>
  <si>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</si>
  <si>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</si>
  <si>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</si>
  <si>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</si>
  <si>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</si>
  <si>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</si>
  <si>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</si>
  <si>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</si>
  <si>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</si>
  <si>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</si>
  <si>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</si>
  <si>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</si>
  <si>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</si>
  <si>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</si>
  <si>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</si>
  <si>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</si>
  <si>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</si>
  <si>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</si>
  <si>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</si>
  <si>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</si>
  <si>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</si>
  <si>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</si>
  <si>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</si>
  <si>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</si>
  <si>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</si>
  <si>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</si>
  <si>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</si>
  <si>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</si>
  <si>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</si>
  <si>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</si>
  <si>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</si>
  <si>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</si>
  <si>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</si>
  <si>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</si>
  <si>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</si>
  <si>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</si>
  <si>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</si>
  <si>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</si>
  <si>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</si>
  <si>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</si>
  <si>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</si>
  <si>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</si>
  <si>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</si>
  <si>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</si>
  <si>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</si>
  <si>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</si>
  <si>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</si>
  <si>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</si>
  <si>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</si>
  <si>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</si>
  <si>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</si>
  <si>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</si>
  <si>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</si>
  <si>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</si>
  <si>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</si>
  <si>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</si>
  <si>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</si>
  <si>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</si>
  <si>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</si>
  <si>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</si>
  <si>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</si>
  <si>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</si>
  <si>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</si>
  <si>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</si>
  <si>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</si>
  <si>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</si>
  <si>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</si>
  <si>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</si>
  <si>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</si>
  <si>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</si>
  <si>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</si>
  <si>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</si>
  <si>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</si>
  <si>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</si>
  <si>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</si>
  <si>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</si>
  <si>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</si>
  <si>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</si>
  <si>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</si>
  <si>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</si>
  <si>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</si>
  <si>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</si>
  <si>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</si>
  <si>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</si>
  <si>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</si>
  <si>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</si>
  <si>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</si>
  <si>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</si>
  <si>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</si>
  <si>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</si>
  <si>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</si>
  <si>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</si>
  <si>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</si>
  <si>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</si>
  <si>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</si>
  <si>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</si>
  <si>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</si>
  <si>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</si>
  <si>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</si>
  <si>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</si>
  <si>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</si>
  <si>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</si>
  <si>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</si>
  <si>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</si>
  <si>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</si>
  <si>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</si>
  <si>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</si>
  <si>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</si>
  <si>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</si>
  <si>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</si>
  <si>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</si>
  <si>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</si>
  <si>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</si>
  <si>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</si>
  <si>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</si>
  <si>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</si>
  <si>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</si>
  <si>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</si>
  <si>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</si>
  <si>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</si>
  <si>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</si>
  <si>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</si>
  <si>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</si>
  <si>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</si>
  <si>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</si>
  <si>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</si>
  <si>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</si>
  <si>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</si>
  <si>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</si>
  <si>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</si>
  <si>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</si>
  <si>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</si>
  <si>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</si>
  <si>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</si>
  <si>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</si>
  <si>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</si>
  <si>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</si>
  <si>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</si>
  <si>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</si>
  <si>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</si>
  <si>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</si>
  <si>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</si>
  <si>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</si>
  <si>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</si>
  <si>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</si>
  <si>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</si>
  <si>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</si>
  <si>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</si>
  <si>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</si>
  <si>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</si>
  <si>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</si>
  <si>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</si>
  <si>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</si>
  <si>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</si>
  <si>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</si>
  <si>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</si>
  <si>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</si>
  <si>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</si>
  <si>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</si>
  <si>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</si>
  <si>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</si>
  <si>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</si>
  <si>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</si>
  <si>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</si>
  <si>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</si>
  <si>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</si>
  <si>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</si>
  <si>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</si>
  <si>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</si>
  <si>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</si>
  <si>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</si>
  <si>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</si>
  <si>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</si>
  <si>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</si>
  <si>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</si>
  <si>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</si>
  <si>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</si>
  <si>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</si>
  <si>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</si>
  <si>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</si>
  <si>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</si>
  <si>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</si>
  <si>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</si>
  <si>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</si>
  <si>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</si>
  <si>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</si>
  <si>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</si>
  <si>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</si>
  <si>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</si>
  <si>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</si>
  <si>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</si>
  <si>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</si>
  <si>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</si>
  <si>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</si>
  <si>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</si>
  <si>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</si>
  <si>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</si>
  <si>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</si>
  <si>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</si>
  <si>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</si>
  <si>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</si>
  <si>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</si>
  <si>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</si>
  <si>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</si>
  <si>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</si>
  <si>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</si>
  <si>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</si>
  <si>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</si>
  <si>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</si>
  <si>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</si>
  <si>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</si>
  <si>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</si>
  <si>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</si>
  <si>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</si>
  <si>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</si>
  <si>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</si>
  <si>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</si>
  <si>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</si>
  <si>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</si>
  <si>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</si>
  <si>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</si>
  <si>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</si>
  <si>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</si>
  <si>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</si>
  <si>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</si>
  <si>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</si>
  <si>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</si>
  <si>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</si>
  <si>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</si>
  <si>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</si>
  <si>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</si>
  <si>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</si>
  <si>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</si>
  <si>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</si>
  <si>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</si>
  <si>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</si>
  <si>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</si>
  <si>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</si>
  <si>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</si>
  <si>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</si>
  <si>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</si>
  <si>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</si>
  <si>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</si>
  <si>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</si>
  <si>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</si>
  <si>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</si>
  <si>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</si>
  <si>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</si>
  <si>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</si>
  <si>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</si>
  <si>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</si>
  <si>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</si>
  <si>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</si>
  <si>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</si>
  <si>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</si>
  <si>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</si>
  <si>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</si>
  <si>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</si>
  <si>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</si>
  <si>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</si>
  <si>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</si>
  <si>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</si>
  <si>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</si>
  <si>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</si>
  <si>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</si>
  <si>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</si>
  <si>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</si>
  <si>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</si>
  <si>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</si>
  <si>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</si>
  <si>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</si>
  <si>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</si>
  <si>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</si>
  <si>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</si>
  <si>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</si>
  <si>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</si>
  <si>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2020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</si>
  <si>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</si>
  <si>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</si>
  <si>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</si>
  <si>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</si>
  <si>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</si>
  <si>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</si>
  <si>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</si>
  <si>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</si>
  <si>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</si>
  <si>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</si>
  <si>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</si>
  <si>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</si>
  <si>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</si>
  <si>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</si>
  <si>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</si>
  <si>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</si>
  <si>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</si>
  <si>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</si>
  <si>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</si>
  <si>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</si>
  <si>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</si>
  <si>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</si>
  <si>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</si>
  <si>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</si>
  <si>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</si>
  <si>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</si>
  <si>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</si>
  <si>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</si>
  <si>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</si>
  <si>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</si>
  <si>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</si>
  <si>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</si>
  <si>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</si>
  <si>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</si>
  <si>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</si>
  <si>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</si>
  <si>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</si>
  <si>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</si>
  <si>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</si>
  <si>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</si>
  <si>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</si>
  <si>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</si>
  <si>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</si>
  <si>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</si>
  <si>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</si>
  <si>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</si>
  <si>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</si>
  <si>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</si>
  <si>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</si>
  <si>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</si>
  <si>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</si>
  <si>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</si>
  <si>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</si>
  <si>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</si>
  <si>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</si>
  <si>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</si>
  <si>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</si>
  <si>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</si>
  <si>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</si>
  <si>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</si>
  <si>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</si>
  <si>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</si>
  <si>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</si>
  <si>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</si>
  <si>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</si>
  <si>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</si>
  <si>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</si>
  <si>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</si>
  <si>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</si>
  <si>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</si>
  <si>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</si>
  <si>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</si>
  <si>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</si>
  <si>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</si>
  <si>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</si>
  <si>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</si>
  <si>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</si>
  <si>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</si>
  <si>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</si>
  <si>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</si>
  <si>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</si>
  <si>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</si>
  <si>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</si>
  <si>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</si>
  <si>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</si>
  <si>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</si>
  <si>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</si>
  <si>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</si>
  <si>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</si>
  <si>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</si>
  <si>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</si>
  <si>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</si>
  <si>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</si>
  <si>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</si>
  <si>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</si>
  <si>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</si>
  <si>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</si>
  <si>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</si>
  <si>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</si>
  <si>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</si>
  <si>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</si>
  <si>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</si>
  <si>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</si>
  <si>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</si>
  <si>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</si>
  <si>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</si>
  <si>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</si>
  <si>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</si>
  <si>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</si>
  <si>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</si>
  <si>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</si>
  <si>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</si>
  <si>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</si>
  <si>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</si>
  <si>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</si>
  <si>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</si>
  <si>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</si>
  <si>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</si>
  <si>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</si>
  <si>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</si>
  <si>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</si>
  <si>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</si>
  <si>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</si>
  <si>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</si>
  <si>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</si>
  <si>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</si>
  <si>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</si>
  <si>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</si>
  <si>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</si>
  <si>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</si>
  <si>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</si>
  <si>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</si>
  <si>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</si>
  <si>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</si>
  <si>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</si>
  <si>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</si>
  <si>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</si>
  <si>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</si>
  <si>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</si>
  <si>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</si>
  <si>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</si>
  <si>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</si>
  <si>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</si>
  <si>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</si>
  <si>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</si>
  <si>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</si>
  <si>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</si>
  <si>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</si>
  <si>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</si>
  <si>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</si>
  <si>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</si>
  <si>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</si>
  <si>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</si>
  <si>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</si>
  <si>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</si>
  <si>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</si>
  <si>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</si>
  <si>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</si>
  <si>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</si>
  <si>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</si>
  <si>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</si>
  <si>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</si>
  <si>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</si>
  <si>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</si>
  <si>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</si>
  <si>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</si>
  <si>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</si>
  <si>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</si>
  <si>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</si>
  <si>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</si>
  <si>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</si>
  <si>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</si>
  <si>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</si>
  <si>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</si>
  <si>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</si>
  <si>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</si>
  <si>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</si>
  <si>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</si>
  <si>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</si>
  <si>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</si>
  <si>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</si>
  <si>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</si>
  <si>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</si>
  <si>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</si>
  <si>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</si>
  <si>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</si>
  <si>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</si>
  <si>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</si>
  <si>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</si>
  <si>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</si>
  <si>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</si>
  <si>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</si>
  <si>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</si>
  <si>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</si>
  <si>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</si>
  <si>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</si>
  <si>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</si>
  <si>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</si>
  <si>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</si>
  <si>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</si>
  <si>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</si>
  <si>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</si>
  <si>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</si>
  <si>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</si>
  <si>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</si>
  <si>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</si>
  <si>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</si>
  <si>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</si>
  <si>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</si>
  <si>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</si>
  <si>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</si>
  <si>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</si>
  <si>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</si>
  <si>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</si>
  <si>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</si>
  <si>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</si>
  <si>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</si>
  <si>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</si>
  <si>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</si>
  <si>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</si>
  <si>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</si>
  <si>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</si>
  <si>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</si>
  <si>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</si>
  <si>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</si>
  <si>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</si>
  <si>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</si>
  <si>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</si>
  <si>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</si>
  <si>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</si>
  <si>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</si>
  <si>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</si>
  <si>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</si>
  <si>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</si>
  <si>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</si>
  <si>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</si>
  <si>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</si>
  <si>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</si>
  <si>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</si>
  <si>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</si>
  <si>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</si>
  <si>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</si>
  <si>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</si>
  <si>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</si>
  <si>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</si>
  <si>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</si>
  <si>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</si>
  <si>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</si>
  <si>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</si>
  <si>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</si>
  <si>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</si>
  <si>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</si>
  <si>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</si>
  <si>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</si>
  <si>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</si>
  <si>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</si>
  <si>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</si>
  <si>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</si>
  <si>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</si>
  <si>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</si>
  <si>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</si>
  <si>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</si>
  <si>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</si>
  <si>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</si>
  <si>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</si>
  <si>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</si>
  <si>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</si>
  <si>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</si>
  <si>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</si>
  <si>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</si>
  <si>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</si>
  <si>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</si>
  <si>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</si>
  <si>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</si>
  <si>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</si>
  <si>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</si>
  <si>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</si>
  <si>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</si>
  <si>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</si>
  <si>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</si>
  <si>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</si>
  <si>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</si>
  <si>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</si>
  <si>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</si>
  <si>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</si>
  <si>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</si>
  <si>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</si>
  <si>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</si>
  <si>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</si>
  <si>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</si>
  <si>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</si>
  <si>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</si>
  <si>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</si>
  <si>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</si>
  <si>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</si>
  <si>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</si>
  <si>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</si>
  <si>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</si>
  <si>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</si>
  <si>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</si>
  <si>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</si>
  <si>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</si>
  <si>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</si>
  <si>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</si>
  <si>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</si>
  <si>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</si>
  <si>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</si>
  <si>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</si>
  <si>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</si>
  <si>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</si>
  <si>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</si>
  <si>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</si>
  <si>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</si>
  <si>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</si>
  <si>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</si>
  <si>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</si>
  <si>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</si>
  <si>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</si>
  <si>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</si>
  <si>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</si>
  <si>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</si>
  <si>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</si>
  <si>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</si>
  <si>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</si>
  <si>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</si>
  <si>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</si>
  <si>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</si>
  <si>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</si>
  <si>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</si>
  <si>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</si>
  <si>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</si>
  <si>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</si>
  <si>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</si>
  <si>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</si>
  <si>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</si>
  <si>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</si>
  <si>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</si>
  <si>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</si>
  <si>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</si>
  <si>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</si>
  <si>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</si>
  <si>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</si>
  <si>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</si>
  <si>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</si>
  <si>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</si>
  <si>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</si>
  <si>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</si>
  <si>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</si>
  <si>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</si>
  <si>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</si>
  <si>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</si>
  <si>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</si>
  <si>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</si>
  <si>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</si>
  <si>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</si>
  <si>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</si>
  <si>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</si>
  <si>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</si>
  <si>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</si>
  <si>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</si>
  <si>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</si>
  <si>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</si>
  <si>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</si>
  <si>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</si>
  <si>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</si>
  <si>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</si>
  <si>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</si>
  <si>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</si>
  <si>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</si>
  <si>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</si>
  <si>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</si>
  <si>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</si>
  <si>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</si>
  <si>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</si>
  <si>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</si>
  <si>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</si>
  <si>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</si>
  <si>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</si>
  <si>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</si>
  <si>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</si>
  <si>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</si>
  <si>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</si>
  <si>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</si>
  <si>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</si>
  <si>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</si>
  <si>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</si>
  <si>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</si>
  <si>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</si>
  <si>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</si>
  <si>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</si>
  <si>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</si>
  <si>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</si>
  <si>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</si>
  <si>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</si>
  <si>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</si>
  <si>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</si>
  <si>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</si>
  <si>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</si>
  <si>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</si>
  <si>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</si>
  <si>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</si>
  <si>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</si>
  <si>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</si>
  <si>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</si>
  <si>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</si>
  <si>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</si>
  <si>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</si>
  <si>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</si>
  <si>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</si>
  <si>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</si>
  <si>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</si>
  <si>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</si>
  <si>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</si>
  <si>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</si>
  <si>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</si>
  <si>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</si>
  <si>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</si>
  <si>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</si>
  <si>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</si>
  <si>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</si>
  <si>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</si>
  <si>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</si>
  <si>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</si>
  <si>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</si>
  <si>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</si>
  <si>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</si>
  <si>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</si>
  <si>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</si>
  <si>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</si>
  <si>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</si>
  <si>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</si>
  <si>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</si>
  <si>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</si>
  <si>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</si>
  <si>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</si>
  <si>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</si>
  <si>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</si>
  <si>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</si>
  <si>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</si>
  <si>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</si>
  <si>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</si>
  <si>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</si>
  <si>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</si>
  <si>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</si>
  <si>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</si>
  <si>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</si>
  <si>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</si>
  <si>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</si>
  <si>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</si>
  <si>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</si>
  <si>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</si>
  <si>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</si>
  <si>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</si>
  <si>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</si>
  <si>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</si>
  <si>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</si>
  <si>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</si>
  <si>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</si>
  <si>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</si>
  <si>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</si>
  <si>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</si>
  <si>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</si>
  <si>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</si>
  <si>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</si>
  <si>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</si>
  <si>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</si>
  <si>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</si>
  <si>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</si>
  <si>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</si>
  <si>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</si>
  <si>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</si>
  <si>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</si>
  <si>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</si>
  <si>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</si>
  <si>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</si>
  <si>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</si>
  <si>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</si>
  <si>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</si>
  <si>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</si>
  <si>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</si>
  <si>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</si>
  <si>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</si>
  <si>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</si>
  <si>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</si>
  <si>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</si>
  <si>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</si>
  <si>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</si>
  <si>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</si>
  <si>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</si>
  <si>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</si>
  <si>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</si>
  <si>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</si>
  <si>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</si>
  <si>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</si>
  <si>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</si>
  <si>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</si>
  <si>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</si>
  <si>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</si>
  <si>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</si>
  <si>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</si>
  <si>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</si>
  <si>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</si>
  <si>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</si>
  <si>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</si>
  <si>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</si>
  <si>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</si>
  <si>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</si>
  <si>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</si>
  <si>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</si>
  <si>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</si>
  <si>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</si>
  <si>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</si>
  <si>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</si>
  <si>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</si>
  <si>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</si>
  <si>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</si>
  <si>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</si>
  <si>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</si>
  <si>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</si>
  <si>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</si>
  <si>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</si>
  <si>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</si>
  <si>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</si>
  <si>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</si>
  <si>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</si>
  <si>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</si>
  <si>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</si>
  <si>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</si>
  <si>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</si>
  <si>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</si>
  <si>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</si>
  <si>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</si>
  <si>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</si>
  <si>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</si>
  <si>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</si>
  <si>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</si>
  <si>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</si>
  <si>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</si>
  <si>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</si>
  <si>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</si>
  <si>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</si>
  <si>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</si>
  <si>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</si>
  <si>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</si>
  <si>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</si>
  <si>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</si>
  <si>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</si>
  <si>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</si>
  <si>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</si>
  <si>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</si>
  <si>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</si>
  <si>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</si>
  <si>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</si>
  <si>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</si>
  <si>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</si>
  <si>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</si>
  <si>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</si>
  <si>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</si>
  <si>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</si>
  <si>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</si>
  <si>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</si>
  <si>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</si>
  <si>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</si>
  <si>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</si>
  <si>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</si>
  <si>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</si>
  <si>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</si>
  <si>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</si>
  <si>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</si>
  <si>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</si>
  <si>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</si>
  <si>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</si>
  <si>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</si>
  <si>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</si>
  <si>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</si>
  <si>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</si>
  <si>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</si>
  <si>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</si>
  <si>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</si>
  <si>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</si>
  <si>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</si>
  <si>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</si>
  <si>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</si>
  <si>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</si>
  <si>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</si>
  <si>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</si>
  <si>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</si>
  <si>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</si>
  <si>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</si>
  <si>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</si>
  <si>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</si>
  <si>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</si>
  <si>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</si>
  <si>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</si>
  <si>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</si>
  <si>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</si>
  <si>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</si>
  <si>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</si>
  <si>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</si>
  <si>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</si>
  <si>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</si>
  <si>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</si>
  <si>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</si>
  <si>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</si>
  <si>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</si>
  <si>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</si>
  <si>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</si>
  <si>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</si>
  <si>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</si>
  <si>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</si>
  <si>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</si>
  <si>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</si>
  <si>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</si>
  <si>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</si>
  <si>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</si>
  <si>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</si>
  <si>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</si>
  <si>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</si>
  <si>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</si>
  <si>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</si>
  <si>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</si>
  <si>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</si>
  <si>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</si>
  <si>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</si>
  <si>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</si>
  <si>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</si>
  <si>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</si>
  <si>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</si>
  <si>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</si>
  <si>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</si>
  <si>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</si>
  <si>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</si>
  <si>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</si>
  <si>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</si>
  <si>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</si>
  <si>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</si>
  <si>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</si>
  <si>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</si>
  <si>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</si>
  <si>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</si>
  <si>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</si>
  <si>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</si>
  <si>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</si>
  <si>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</si>
  <si>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</si>
  <si>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</si>
  <si>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</si>
  <si>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</si>
  <si>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</si>
  <si>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</si>
  <si>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</si>
  <si>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</si>
  <si>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</si>
  <si>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</si>
  <si>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</si>
  <si>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</si>
  <si>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</si>
  <si>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</si>
  <si>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</si>
  <si>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</si>
  <si>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</si>
  <si>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</si>
  <si>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</si>
  <si>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</si>
  <si>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</si>
  <si>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</si>
  <si>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</si>
  <si>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</si>
  <si>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</si>
  <si>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</si>
  <si>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</si>
  <si>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</si>
  <si>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</si>
  <si>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</si>
  <si>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</si>
  <si>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</si>
  <si>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</si>
  <si>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</si>
  <si>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</si>
  <si>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</si>
  <si>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</si>
  <si>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</si>
  <si>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</si>
  <si>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</si>
  <si>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</si>
  <si>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</si>
  <si>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</si>
  <si>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</si>
  <si>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</si>
  <si>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</si>
  <si>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</si>
  <si>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</si>
  <si>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</si>
  <si>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</si>
  <si>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</si>
  <si>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</si>
  <si>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</si>
  <si>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</si>
  <si>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</si>
  <si>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</si>
  <si>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</si>
  <si>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</si>
  <si>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</si>
  <si>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</si>
  <si>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</si>
  <si>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</si>
  <si>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</si>
  <si>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</si>
  <si>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</si>
  <si>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</si>
  <si>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</si>
  <si>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</si>
  <si>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</si>
  <si>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</si>
  <si>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</si>
  <si>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</si>
  <si>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</si>
  <si>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</si>
  <si>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</si>
  <si>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</si>
  <si>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</si>
  <si>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</si>
  <si>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</si>
  <si>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</si>
  <si>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</si>
  <si>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</si>
  <si>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</si>
  <si>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</si>
  <si>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</si>
  <si>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</si>
  <si>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</si>
  <si>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</si>
  <si>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</si>
  <si>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average_donated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</si>
</sst>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13.5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4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wrapText="1"/>
    </xf>
    <xf numFmtId="0" fontId="18" fillId="0" borderId="0" xfId="0" applyFont="1"/>
    <xf numFmtId="4" fontId="19" fillId="0" borderId="0" xfId="0" applyNumberFormat="1" applyFont="1"/>
    <xf numFmtId="4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theme="1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472C4"/>
      </font>
      <fill>
        <patternFill patternType="solid">
          <bgColor theme="8" tint="0.79998168889431442"/>
        </patternFill>
      </fill>
    </dxf>
    <dxf>
      <font>
        <color rgb="FF44546A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472C4"/>
      </font>
      <fill>
        <patternFill patternType="solid">
          <bgColor theme="8" tint="0.79998168889431442"/>
        </patternFill>
      </fill>
    </dxf>
    <dxf>
      <font>
        <color rgb="FF44546A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472C4"/>
      </font>
      <fill>
        <patternFill patternType="solid">
          <bgColor theme="8" tint="0.79998168889431442"/>
        </patternFill>
      </fill>
    </dxf>
    <dxf>
      <font>
        <color rgb="FF44546A"/>
      </font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1.xltx]Outcome by Parent Category!PivotTable1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by Parent Category</a:t>
            </a:r>
          </a:p>
        </c:rich>
      </c:tx>
      <c:layout>
        <c:manualLayout>
          <c:xMode val="edge"/>
          <c:yMode val="edge"/>
          <c:x val="0.41498374347042233"/>
          <c:y val="2.63929618768328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 by Parent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'Outcome 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by Parent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CC-45F9-9F24-5003624BF964}"/>
            </c:ext>
          </c:extLst>
        </c:ser>
        <c:ser>
          <c:idx val="1"/>
          <c:order val="1"/>
          <c:tx>
            <c:strRef>
              <c:f>'Outcome by Parent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'Outcome 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by Parent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CC-45F9-9F24-5003624BF964}"/>
            </c:ext>
          </c:extLst>
        </c:ser>
        <c:ser>
          <c:idx val="2"/>
          <c:order val="2"/>
          <c:tx>
            <c:strRef>
              <c:f>'Outcome by Parent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'Outcome 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by Parent 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CC-45F9-9F24-5003624BF964}"/>
            </c:ext>
          </c:extLst>
        </c:ser>
        <c:ser>
          <c:idx val="3"/>
          <c:order val="3"/>
          <c:tx>
            <c:strRef>
              <c:f>'Outcome by Parent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'Outcome 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'Outcome by Parent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CC-45F9-9F24-5003624BF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4081288"/>
        <c:axId val="794084872"/>
      </c:barChart>
      <c:catAx>
        <c:axId val="79408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084872"/>
        <c:crosses val="autoZero"/>
        <c:auto val="1"/>
        <c:lblAlgn val="ctr"/>
        <c:lblOffset val="100"/>
        <c:noMultiLvlLbl val="0"/>
      </c:catAx>
      <c:valAx>
        <c:axId val="79408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08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1.xltx]Outcome by Sub Category!PivotTable2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 by Sub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'Outcome by Sub 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by Sub Category'!$B$5:$B$29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A8-49D0-A708-C808FDF9FB88}"/>
            </c:ext>
          </c:extLst>
        </c:ser>
        <c:ser>
          <c:idx val="1"/>
          <c:order val="1"/>
          <c:tx>
            <c:strRef>
              <c:f>'Outcome by Sub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'Outcome by Sub 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by Sub Category'!$C$5:$C$29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A8-49D0-A708-C808FDF9FB88}"/>
            </c:ext>
          </c:extLst>
        </c:ser>
        <c:ser>
          <c:idx val="2"/>
          <c:order val="2"/>
          <c:tx>
            <c:strRef>
              <c:f>'Outcome by Sub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'Outcome by Sub 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by Sub Category'!$D$5:$D$29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A8-49D0-A708-C808FDF9FB88}"/>
            </c:ext>
          </c:extLst>
        </c:ser>
        <c:ser>
          <c:idx val="3"/>
          <c:order val="3"/>
          <c:tx>
            <c:strRef>
              <c:f>'Outcome by Sub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'Outcome by Sub 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by Sub Category'!$E$5:$E$29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A8-49D0-A708-C808FDF9F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0534152"/>
        <c:axId val="1128768008"/>
      </c:barChart>
      <c:catAx>
        <c:axId val="990534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768008"/>
        <c:crosses val="autoZero"/>
        <c:auto val="1"/>
        <c:lblAlgn val="ctr"/>
        <c:lblOffset val="100"/>
        <c:noMultiLvlLbl val="0"/>
      </c:catAx>
      <c:valAx>
        <c:axId val="112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3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1.xltx]Outcome by month!PivotTable9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by month'!$B$5:$B$6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by month'!$A$7:$A$19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'Outcome by month'!$B$7:$B$19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BC-46A7-9FC8-223C1233F19F}"/>
            </c:ext>
          </c:extLst>
        </c:ser>
        <c:ser>
          <c:idx val="1"/>
          <c:order val="1"/>
          <c:tx>
            <c:strRef>
              <c:f>'Outcome by month'!$C$5:$C$6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 by month'!$A$7:$A$19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'Outcome by month'!$C$7:$C$19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6BC-46A7-9FC8-223C1233F19F}"/>
            </c:ext>
          </c:extLst>
        </c:ser>
        <c:ser>
          <c:idx val="2"/>
          <c:order val="2"/>
          <c:tx>
            <c:strRef>
              <c:f>'Outcome by month'!$D$5:$D$6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 by month'!$A$7:$A$19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'Outcome by month'!$D$7:$D$19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6BC-46A7-9FC8-223C1233F19F}"/>
            </c:ext>
          </c:extLst>
        </c:ser>
        <c:ser>
          <c:idx val="3"/>
          <c:order val="3"/>
          <c:tx>
            <c:strRef>
              <c:f>'Outcome by month'!$E$5:$E$6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'Outcome by month'!$A$7:$A$19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'Outcome by month'!$E$7:$E$19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B9-4324-9CE5-B58BC106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093000"/>
        <c:axId val="2075099144"/>
      </c:lineChart>
      <c:catAx>
        <c:axId val="2075093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099144"/>
        <c:crosses val="autoZero"/>
        <c:auto val="1"/>
        <c:lblAlgn val="ctr"/>
        <c:lblOffset val="100"/>
        <c:noMultiLvlLbl val="0"/>
      </c:catAx>
      <c:valAx>
        <c:axId val="207509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09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'Outcomes Based on Goal'!$F$1</c:f>
              <c:strCache>
                <c:ptCount val="1"/>
                <c:pt idx="0">
                  <c:v>Percentage Successful
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Based on Goal'!$F$2:$F$13</c:f>
              <c:numCache>
                <c:formatCode>0.00%</c:formatCode>
                <c:ptCount val="12"/>
                <c:pt idx="0">
                  <c:v>0.58823529411764708</c:v>
                </c:pt>
                <c:pt idx="1">
                  <c:v>0.81623931623931623</c:v>
                </c:pt>
                <c:pt idx="2">
                  <c:v>0.51735015772870663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0.73333333333333328</c:v>
                </c:pt>
                <c:pt idx="10">
                  <c:v>0.72727272727272729</c:v>
                </c:pt>
                <c:pt idx="11">
                  <c:v>0.36421725239616615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D8F-435E-8A86-D5DEF082D1C3}"/>
            </c:ext>
          </c:extLst>
        </c:ser>
        <c:ser>
          <c:idx val="5"/>
          <c:order val="1"/>
          <c:tx>
            <c:strRef>
              <c:f>'Outcomes Based on Goal'!$G$1</c:f>
              <c:strCache>
                <c:ptCount val="1"/>
                <c:pt idx="0">
                  <c:v>Percentage Failed
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Based on Goal'!$G$2:$G$13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0.1623931623931624</c:v>
                </c:pt>
                <c:pt idx="2">
                  <c:v>0.39747634069400634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</c:v>
                </c:pt>
                <c:pt idx="10">
                  <c:v>0.27272727272727271</c:v>
                </c:pt>
                <c:pt idx="11">
                  <c:v>0.52076677316293929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D8F-435E-8A86-D5DEF082D1C3}"/>
            </c:ext>
          </c:extLst>
        </c:ser>
        <c:ser>
          <c:idx val="6"/>
          <c:order val="2"/>
          <c:tx>
            <c:strRef>
              <c:f>'Outcomes Based on Goal'!$H$1</c:f>
              <c:strCache>
                <c:ptCount val="1"/>
                <c:pt idx="0">
                  <c:v>Percentage Canceled
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Based on Goal'!$H$2:$H$13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8.5470085470085479E-3</c:v>
                </c:pt>
                <c:pt idx="2">
                  <c:v>7.8864353312302835E-2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8.9456869009584661E-2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D8F-435E-8A86-D5DEF082D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425991"/>
        <c:axId val="696440327"/>
      </c:lineChart>
      <c:catAx>
        <c:axId val="696425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440327"/>
        <c:crosses val="autoZero"/>
        <c:auto val="1"/>
        <c:lblAlgn val="ctr"/>
        <c:lblOffset val="100"/>
        <c:noMultiLvlLbl val="0"/>
      </c:catAx>
      <c:valAx>
        <c:axId val="696440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425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2</xdr:row>
      <xdr:rowOff>152400</xdr:rowOff>
    </xdr:from>
    <xdr:to>
      <xdr:col>15</xdr:col>
      <xdr:colOff>561975</xdr:colOff>
      <xdr:row>25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9D0287-608D-ACA6-4454-0BEF91D4F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</xdr:row>
      <xdr:rowOff>171450</xdr:rowOff>
    </xdr:from>
    <xdr:to>
      <xdr:col>16</xdr:col>
      <xdr:colOff>304800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3B4383-3E0B-0F15-D6EB-FAAC26B78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5</xdr:row>
      <xdr:rowOff>76200</xdr:rowOff>
    </xdr:from>
    <xdr:to>
      <xdr:col>15</xdr:col>
      <xdr:colOff>257175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CDB31B-3871-4B51-078C-E2A8AFB43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209550</xdr:rowOff>
    </xdr:from>
    <xdr:to>
      <xdr:col>16</xdr:col>
      <xdr:colOff>504825</xdr:colOff>
      <xdr:row>13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501058-7B52-D27A-83B7-B4692F40A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591.651236921294" createdVersion="8" refreshedVersion="8" minRefreshableVersion="3" recordCount="1000" xr:uid="{CC16DFCB-C81F-4C3A-8325-014CE0F0008D}">
  <cacheSource type="worksheet">
    <worksheetSource ref="A1:T1001" sheet="Crowdfunding"/>
  </cacheSource>
  <cacheFields count="17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</cacheField>
    <cacheField name="deadline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 pivotCacheId="371210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591.691648032407" createdVersion="8" refreshedVersion="8" minRefreshableVersion="3" recordCount="1000" xr:uid="{812326D8-A795-47A5-91E8-ADA60DDF79DB}">
  <cacheSource type="worksheet">
    <worksheetSource ref="A1:S1001" sheet="Crowdfunding (2)"/>
  </cacheSource>
  <cacheFields count="19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14">
      <sharedItems containsSemiMixedTypes="0" containsNonDate="0" containsDate="1" containsString="0" minDate="2010-01-09T06:00:00" maxDate="2020-01-27T06:00:00"/>
    </cacheField>
    <cacheField name="launched_at_month" numFmtId="14">
      <sharedItems containsNonDate="0" count="12">
        <s v="November"/>
        <s v="August"/>
        <s v="January"/>
        <s v="September"/>
        <s v="October"/>
        <s v="June"/>
        <s v="March"/>
        <s v="December"/>
        <s v="July"/>
        <s v="April"/>
        <s v="February"/>
        <s v="May"/>
      </sharedItems>
    </cacheField>
    <cacheField name="launched_at_year" numFmtId="14">
      <sharedItems containsNonDate="0" count="11">
        <s v="2015"/>
        <s v="2014"/>
        <s v="2013"/>
        <s v="2019"/>
        <s v="2012"/>
        <s v="2017"/>
        <s v="2010"/>
        <s v="2016"/>
        <s v="2011"/>
        <s v="2018"/>
        <s v="2020"/>
      </sharedItems>
    </cacheField>
    <cacheField name="deadline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x v="0"/>
    <s v="CAD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x v="1"/>
    <s v="USD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x v="2"/>
    <s v="AUD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x v="1"/>
    <s v="USD"/>
    <x v="3"/>
    <d v="2019-09-20T05:00: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x v="1"/>
    <s v="USD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x v="3"/>
    <s v="DKK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x v="4"/>
    <s v="GBP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x v="3"/>
    <s v="DKK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x v="3"/>
    <s v="DKK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x v="1"/>
    <s v="USD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x v="1"/>
    <s v="USD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x v="1"/>
    <s v="USD"/>
    <x v="11"/>
    <d v="2010-09-27T05:00: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x v="1"/>
    <s v="USD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x v="1"/>
    <s v="USD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x v="1"/>
    <s v="USD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x v="1"/>
    <s v="USD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x v="1"/>
    <s v="USD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x v="1"/>
    <s v="USD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x v="1"/>
    <s v="USD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x v="1"/>
    <s v="USD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x v="1"/>
    <s v="USD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x v="1"/>
    <s v="USD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x v="1"/>
    <s v="USD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x v="4"/>
    <s v="GBP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x v="1"/>
    <s v="USD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x v="1"/>
    <s v="USD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x v="1"/>
    <s v="USD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x v="1"/>
    <s v="USD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x v="1"/>
    <s v="USD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x v="5"/>
    <s v="CHF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x v="1"/>
    <s v="USD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x v="4"/>
    <s v="GBP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x v="6"/>
    <s v="EUR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x v="1"/>
    <s v="USD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x v="1"/>
    <s v="USD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x v="3"/>
    <s v="DKK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x v="1"/>
    <s v="USD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x v="1"/>
    <s v="USD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x v="1"/>
    <s v="USD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x v="3"/>
    <s v="DKK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x v="1"/>
    <s v="USD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x v="6"/>
    <s v="EUR"/>
    <x v="41"/>
    <d v="2012-09-30T05:00: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x v="1"/>
    <s v="USD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x v="1"/>
    <s v="USD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x v="3"/>
    <s v="DKK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x v="1"/>
    <s v="USD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x v="1"/>
    <s v="USD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x v="1"/>
    <s v="USD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x v="1"/>
    <s v="USD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x v="1"/>
    <s v="USD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x v="6"/>
    <s v="EUR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x v="4"/>
    <s v="GBP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x v="1"/>
    <s v="USD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x v="1"/>
    <s v="USD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x v="1"/>
    <s v="USD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x v="1"/>
    <s v="USD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x v="1"/>
    <s v="USD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x v="1"/>
    <s v="USD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x v="1"/>
    <s v="USD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x v="1"/>
    <s v="USD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x v="0"/>
    <s v="CAD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x v="0"/>
    <s v="CAD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x v="1"/>
    <s v="USD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x v="1"/>
    <s v="USD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x v="1"/>
    <s v="USD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x v="1"/>
    <s v="USD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x v="1"/>
    <s v="USD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x v="4"/>
    <s v="GBP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x v="6"/>
    <s v="EUR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x v="1"/>
    <s v="USD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x v="6"/>
    <s v="EUR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x v="1"/>
    <s v="USD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x v="1"/>
    <s v="USD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x v="1"/>
    <s v="USD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x v="4"/>
    <s v="GBP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x v="1"/>
    <s v="USD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x v="1"/>
    <s v="USD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x v="1"/>
    <s v="USD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x v="1"/>
    <s v="USD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x v="1"/>
    <s v="USD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x v="1"/>
    <s v="USD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x v="1"/>
    <s v="USD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x v="4"/>
    <s v="GBP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x v="1"/>
    <s v="USD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x v="1"/>
    <s v="USD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x v="2"/>
    <s v="AUD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x v="1"/>
    <s v="USD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x v="2"/>
    <s v="AUD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x v="1"/>
    <s v="USD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x v="1"/>
    <s v="USD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x v="1"/>
    <s v="USD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x v="6"/>
    <s v="EUR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x v="5"/>
    <s v="CHF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x v="1"/>
    <s v="USD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x v="4"/>
    <s v="GBP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x v="1"/>
    <s v="USD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x v="1"/>
    <s v="USD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x v="1"/>
    <s v="USD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x v="2"/>
    <s v="AUD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x v="1"/>
    <s v="USD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x v="1"/>
    <s v="USD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x v="1"/>
    <s v="USD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x v="1"/>
    <s v="USD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x v="6"/>
    <s v="EUR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x v="1"/>
    <s v="USD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x v="1"/>
    <s v="USD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x v="1"/>
    <s v="USD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x v="1"/>
    <s v="USD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x v="1"/>
    <s v="USD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x v="1"/>
    <s v="USD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x v="1"/>
    <s v="USD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x v="1"/>
    <s v="USD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x v="2"/>
    <s v="AUD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x v="1"/>
    <s v="USD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x v="1"/>
    <s v="USD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x v="6"/>
    <s v="EUR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x v="1"/>
    <s v="USD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x v="1"/>
    <s v="USD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x v="1"/>
    <s v="USD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x v="1"/>
    <s v="USD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x v="1"/>
    <s v="USD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x v="1"/>
    <s v="USD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x v="1"/>
    <s v="USD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x v="0"/>
    <s v="CAD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x v="6"/>
    <s v="EUR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x v="1"/>
    <s v="USD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x v="1"/>
    <s v="USD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x v="0"/>
    <s v="CAD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x v="1"/>
    <s v="USD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x v="2"/>
    <s v="AUD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x v="3"/>
    <s v="DKK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x v="4"/>
    <s v="GBP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x v="1"/>
    <s v="USD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x v="1"/>
    <s v="USD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x v="5"/>
    <s v="CHF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x v="1"/>
    <s v="USD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x v="1"/>
    <s v="USD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x v="1"/>
    <s v="USD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x v="1"/>
    <s v="USD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x v="1"/>
    <s v="USD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x v="1"/>
    <s v="USD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x v="1"/>
    <s v="USD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x v="1"/>
    <s v="USD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x v="1"/>
    <s v="USD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x v="1"/>
    <s v="USD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x v="5"/>
    <s v="CHF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x v="1"/>
    <s v="USD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x v="1"/>
    <s v="USD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x v="1"/>
    <s v="USD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x v="1"/>
    <s v="USD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x v="1"/>
    <s v="USD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x v="1"/>
    <s v="USD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x v="1"/>
    <s v="USD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x v="1"/>
    <s v="USD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x v="1"/>
    <s v="USD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x v="1"/>
    <s v="USD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x v="2"/>
    <s v="AUD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x v="2"/>
    <s v="AUD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x v="1"/>
    <s v="USD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x v="1"/>
    <s v="USD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x v="1"/>
    <s v="USD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x v="1"/>
    <s v="USD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x v="5"/>
    <s v="CHF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x v="1"/>
    <s v="USD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x v="1"/>
    <s v="USD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x v="1"/>
    <s v="USD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x v="1"/>
    <s v="USD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x v="2"/>
    <s v="AUD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x v="3"/>
    <s v="DKK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x v="1"/>
    <s v="USD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x v="1"/>
    <s v="USD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x v="1"/>
    <s v="USD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x v="1"/>
    <s v="USD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x v="1"/>
    <s v="USD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x v="1"/>
    <s v="USD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x v="1"/>
    <s v="USD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x v="1"/>
    <s v="USD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x v="1"/>
    <s v="USD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x v="1"/>
    <s v="USD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x v="0"/>
    <s v="CAD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x v="2"/>
    <s v="AUD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x v="1"/>
    <s v="USD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x v="3"/>
    <s v="DKK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x v="0"/>
    <s v="CAD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x v="1"/>
    <s v="USD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x v="1"/>
    <s v="USD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x v="1"/>
    <s v="USD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x v="0"/>
    <s v="CAD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x v="6"/>
    <s v="EUR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x v="1"/>
    <s v="USD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x v="1"/>
    <s v="USD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x v="6"/>
    <s v="EUR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x v="1"/>
    <s v="USD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x v="1"/>
    <s v="USD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x v="1"/>
    <s v="USD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x v="1"/>
    <s v="USD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x v="3"/>
    <s v="DKK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x v="1"/>
    <s v="USD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x v="1"/>
    <s v="USD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x v="1"/>
    <s v="USD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x v="0"/>
    <s v="CAD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x v="1"/>
    <s v="USD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x v="1"/>
    <s v="USD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x v="2"/>
    <s v="AUD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x v="1"/>
    <s v="USD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x v="1"/>
    <s v="USD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x v="1"/>
    <s v="USD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x v="1"/>
    <s v="USD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x v="1"/>
    <s v="USD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x v="2"/>
    <s v="AUD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x v="3"/>
    <s v="DKK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x v="1"/>
    <s v="USD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x v="1"/>
    <s v="USD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x v="1"/>
    <s v="USD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x v="1"/>
    <s v="USD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x v="1"/>
    <s v="USD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x v="1"/>
    <s v="USD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x v="1"/>
    <s v="USD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x v="4"/>
    <s v="GBP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x v="1"/>
    <s v="USD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x v="1"/>
    <s v="USD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x v="1"/>
    <s v="USD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x v="1"/>
    <s v="USD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x v="1"/>
    <s v="USD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x v="1"/>
    <s v="USD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x v="1"/>
    <s v="USD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x v="1"/>
    <s v="USD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x v="1"/>
    <s v="USD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x v="1"/>
    <s v="USD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x v="1"/>
    <s v="USD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x v="1"/>
    <s v="USD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x v="1"/>
    <s v="USD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x v="1"/>
    <s v="USD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x v="1"/>
    <s v="USD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x v="6"/>
    <s v="EUR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x v="1"/>
    <s v="USD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x v="2"/>
    <s v="AUD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x v="1"/>
    <s v="USD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x v="3"/>
    <s v="DKK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x v="1"/>
    <s v="USD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x v="1"/>
    <s v="USD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x v="2"/>
    <s v="AUD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x v="1"/>
    <s v="USD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x v="1"/>
    <s v="USD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x v="1"/>
    <s v="USD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x v="1"/>
    <s v="USD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x v="1"/>
    <s v="USD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x v="1"/>
    <s v="USD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x v="2"/>
    <s v="AUD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x v="1"/>
    <s v="USD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x v="1"/>
    <s v="USD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x v="1"/>
    <s v="USD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x v="1"/>
    <s v="USD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x v="0"/>
    <s v="CAD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x v="1"/>
    <s v="USD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x v="1"/>
    <s v="USD"/>
    <x v="247"/>
    <d v="2011-02-21T06:00: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x v="4"/>
    <s v="GBP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x v="1"/>
    <s v="USD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x v="1"/>
    <s v="USD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x v="1"/>
    <s v="USD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x v="1"/>
    <s v="USD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x v="1"/>
    <s v="USD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x v="1"/>
    <s v="USD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x v="1"/>
    <s v="USD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x v="1"/>
    <s v="USD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x v="1"/>
    <s v="USD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x v="6"/>
    <s v="EUR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x v="2"/>
    <s v="AUD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x v="1"/>
    <s v="USD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x v="1"/>
    <s v="USD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x v="1"/>
    <s v="USD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x v="1"/>
    <s v="USD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x v="1"/>
    <s v="USD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x v="0"/>
    <s v="CAD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x v="1"/>
    <s v="USD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x v="1"/>
    <s v="USD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x v="1"/>
    <s v="USD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x v="1"/>
    <s v="USD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x v="1"/>
    <s v="USD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x v="1"/>
    <s v="USD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x v="1"/>
    <s v="USD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x v="1"/>
    <s v="USD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x v="1"/>
    <s v="USD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x v="3"/>
    <s v="DKK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x v="1"/>
    <s v="USD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x v="1"/>
    <s v="USD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x v="1"/>
    <s v="USD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x v="1"/>
    <s v="USD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x v="3"/>
    <s v="DKK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x v="0"/>
    <s v="CAD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x v="1"/>
    <s v="USD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x v="1"/>
    <s v="USD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x v="1"/>
    <s v="USD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x v="6"/>
    <s v="EUR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x v="1"/>
    <s v="USD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x v="5"/>
    <s v="CHF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x v="2"/>
    <s v="AUD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x v="2"/>
    <s v="AUD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x v="1"/>
    <s v="USD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x v="1"/>
    <s v="USD"/>
    <x v="289"/>
    <d v="2016-04-28T05:00:00"/>
    <b v="0"/>
    <b v="0"/>
    <s v="food/food trucks"/>
    <x v="0"/>
    <x v="0"/>
  </r>
  <r>
    <n v="300"/>
    <s v="Cooke PLC"/>
    <s v="Focused executive core"/>
    <n v="100"/>
    <n v="5"/>
    <n v="0.05"/>
    <x v="0"/>
    <n v="1"/>
    <x v="3"/>
    <s v="DKK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x v="1"/>
    <s v="USD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x v="1"/>
    <s v="USD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x v="1"/>
    <s v="USD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x v="1"/>
    <s v="USD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x v="1"/>
    <s v="USD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x v="1"/>
    <s v="USD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x v="3"/>
    <s v="DKK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x v="1"/>
    <s v="USD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x v="1"/>
    <s v="USD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x v="1"/>
    <s v="USD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x v="1"/>
    <s v="USD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x v="1"/>
    <s v="USD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x v="1"/>
    <s v="USD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x v="1"/>
    <s v="USD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x v="1"/>
    <s v="USD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x v="6"/>
    <s v="EUR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x v="1"/>
    <s v="USD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x v="1"/>
    <s v="USD"/>
    <x v="305"/>
    <d v="2014-02-16T06:00: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x v="1"/>
    <s v="USD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x v="1"/>
    <s v="USD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x v="1"/>
    <s v="USD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x v="1"/>
    <s v="USD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x v="4"/>
    <s v="GBP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x v="1"/>
    <s v="USD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x v="1"/>
    <s v="USD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x v="1"/>
    <s v="USD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x v="1"/>
    <s v="USD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x v="1"/>
    <s v="USD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x v="1"/>
    <s v="USD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x v="4"/>
    <s v="GBP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x v="1"/>
    <s v="USD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x v="1"/>
    <s v="USD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x v="1"/>
    <s v="USD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x v="1"/>
    <s v="USD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x v="1"/>
    <s v="USD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x v="1"/>
    <s v="USD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x v="1"/>
    <s v="USD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x v="1"/>
    <s v="USD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x v="0"/>
    <s v="CAD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x v="1"/>
    <s v="USD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x v="1"/>
    <s v="USD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x v="1"/>
    <s v="USD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x v="1"/>
    <s v="USD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x v="1"/>
    <s v="USD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x v="4"/>
    <s v="GBP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x v="1"/>
    <s v="USD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x v="1"/>
    <s v="USD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x v="1"/>
    <s v="USD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x v="1"/>
    <s v="USD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0.05"/>
    <x v="0"/>
    <n v="1"/>
    <x v="1"/>
    <s v="USD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x v="1"/>
    <s v="USD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x v="0"/>
    <s v="CAD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x v="1"/>
    <s v="USD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x v="3"/>
    <s v="DKK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x v="1"/>
    <s v="USD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x v="6"/>
    <s v="EUR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x v="1"/>
    <s v="USD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x v="0"/>
    <s v="CAD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x v="1"/>
    <s v="USD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x v="4"/>
    <s v="GBP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x v="1"/>
    <s v="USD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x v="1"/>
    <s v="USD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x v="1"/>
    <s v="USD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x v="1"/>
    <s v="USD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x v="2"/>
    <s v="AUD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x v="1"/>
    <s v="USD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x v="1"/>
    <s v="USD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x v="4"/>
    <s v="GBP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x v="1"/>
    <s v="USD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x v="1"/>
    <s v="USD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x v="1"/>
    <s v="USD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x v="1"/>
    <s v="USD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x v="1"/>
    <s v="USD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x v="1"/>
    <s v="USD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x v="1"/>
    <s v="USD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x v="1"/>
    <s v="USD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x v="1"/>
    <s v="USD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x v="1"/>
    <s v="USD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x v="4"/>
    <s v="GBP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x v="1"/>
    <s v="USD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x v="1"/>
    <s v="USD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x v="1"/>
    <s v="USD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x v="1"/>
    <s v="USD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x v="1"/>
    <s v="USD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x v="1"/>
    <s v="USD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x v="1"/>
    <s v="USD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x v="1"/>
    <s v="USD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x v="5"/>
    <s v="CHF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x v="1"/>
    <s v="USD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x v="1"/>
    <s v="USD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x v="1"/>
    <s v="USD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x v="1"/>
    <s v="USD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x v="0"/>
    <s v="CAD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x v="1"/>
    <s v="USD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x v="1"/>
    <s v="USD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x v="2"/>
    <s v="AUD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x v="1"/>
    <s v="USD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x v="6"/>
    <s v="EUR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x v="1"/>
    <s v="USD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x v="1"/>
    <s v="USD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x v="1"/>
    <s v="USD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x v="1"/>
    <s v="USD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x v="0"/>
    <s v="CAD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x v="1"/>
    <s v="USD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x v="1"/>
    <s v="USD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x v="1"/>
    <s v="USD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x v="3"/>
    <s v="DKK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x v="0"/>
    <s v="CAD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x v="1"/>
    <s v="USD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x v="1"/>
    <s v="USD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x v="1"/>
    <s v="USD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x v="1"/>
    <s v="USD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x v="1"/>
    <s v="USD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x v="1"/>
    <s v="USD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x v="1"/>
    <s v="USD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x v="1"/>
    <s v="USD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x v="1"/>
    <s v="USD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x v="0"/>
    <s v="CAD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x v="1"/>
    <s v="USD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x v="1"/>
    <s v="USD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x v="1"/>
    <s v="USD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x v="1"/>
    <s v="USD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x v="1"/>
    <s v="USD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x v="1"/>
    <s v="USD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x v="1"/>
    <s v="USD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x v="1"/>
    <s v="USD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x v="1"/>
    <s v="USD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x v="1"/>
    <s v="USD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x v="1"/>
    <s v="USD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x v="1"/>
    <s v="USD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x v="1"/>
    <s v="USD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x v="1"/>
    <s v="USD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x v="1"/>
    <s v="USD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x v="0"/>
    <s v="CAD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x v="6"/>
    <s v="EUR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x v="1"/>
    <s v="USD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x v="1"/>
    <s v="USD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x v="1"/>
    <s v="USD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x v="1"/>
    <s v="USD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x v="1"/>
    <s v="USD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x v="1"/>
    <s v="USD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x v="6"/>
    <s v="EUR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x v="1"/>
    <s v="USD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x v="1"/>
    <s v="USD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x v="1"/>
    <s v="USD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x v="1"/>
    <s v="USD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x v="4"/>
    <s v="GBP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x v="1"/>
    <s v="USD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x v="3"/>
    <s v="DKK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x v="0"/>
    <s v="CAD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x v="1"/>
    <s v="USD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x v="1"/>
    <s v="USD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x v="1"/>
    <s v="USD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x v="1"/>
    <s v="USD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x v="1"/>
    <s v="USD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x v="1"/>
    <s v="USD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x v="1"/>
    <s v="USD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x v="1"/>
    <s v="USD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x v="1"/>
    <s v="USD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x v="1"/>
    <s v="USD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x v="1"/>
    <s v="USD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x v="1"/>
    <s v="USD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x v="1"/>
    <s v="USD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x v="1"/>
    <s v="USD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x v="1"/>
    <s v="USD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x v="1"/>
    <s v="USD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x v="0"/>
    <s v="CAD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x v="1"/>
    <s v="USD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x v="1"/>
    <s v="USD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x v="1"/>
    <s v="USD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x v="4"/>
    <s v="GBP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x v="1"/>
    <s v="USD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x v="1"/>
    <s v="USD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x v="1"/>
    <s v="USD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x v="1"/>
    <s v="USD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x v="1"/>
    <s v="USD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x v="1"/>
    <s v="USD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x v="1"/>
    <s v="USD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x v="4"/>
    <s v="GBP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x v="1"/>
    <s v="USD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x v="1"/>
    <s v="USD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x v="1"/>
    <s v="USD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x v="1"/>
    <s v="USD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x v="4"/>
    <s v="GBP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x v="4"/>
    <s v="GBP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x v="4"/>
    <s v="GBP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x v="1"/>
    <s v="USD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x v="1"/>
    <s v="USD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x v="6"/>
    <s v="EUR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x v="1"/>
    <s v="USD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x v="1"/>
    <s v="USD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x v="1"/>
    <s v="USD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x v="1"/>
    <s v="USD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x v="1"/>
    <s v="USD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x v="3"/>
    <s v="DKK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x v="1"/>
    <s v="USD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x v="1"/>
    <s v="USD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x v="3"/>
    <s v="DKK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x v="1"/>
    <s v="USD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x v="1"/>
    <s v="USD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x v="1"/>
    <s v="USD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x v="2"/>
    <s v="AUD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x v="1"/>
    <s v="USD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x v="6"/>
    <s v="EUR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x v="1"/>
    <s v="USD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x v="1"/>
    <s v="USD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x v="1"/>
    <s v="USD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x v="1"/>
    <s v="USD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x v="1"/>
    <s v="USD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x v="2"/>
    <s v="AUD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x v="1"/>
    <s v="USD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x v="1"/>
    <s v="USD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x v="1"/>
    <s v="USD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x v="5"/>
    <s v="CHF"/>
    <x v="481"/>
    <d v="2013-12-11T06:00: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x v="0"/>
    <s v="CAD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x v="1"/>
    <s v="USD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x v="1"/>
    <s v="USD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x v="1"/>
    <s v="USD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x v="1"/>
    <s v="USD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x v="1"/>
    <s v="USD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x v="1"/>
    <s v="USD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x v="1"/>
    <s v="USD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x v="1"/>
    <s v="USD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x v="1"/>
    <s v="USD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x v="1"/>
    <s v="USD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x v="1"/>
    <s v="USD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x v="0"/>
    <s v="CAD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x v="4"/>
    <s v="GBP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x v="1"/>
    <s v="USD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x v="1"/>
    <s v="USD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x v="5"/>
    <s v="CHF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x v="0"/>
    <s v="CAD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x v="4"/>
    <s v="GBP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x v="1"/>
    <s v="USD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x v="6"/>
    <s v="EUR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x v="6"/>
    <s v="EUR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x v="3"/>
    <s v="DKK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x v="1"/>
    <s v="USD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x v="1"/>
    <s v="USD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x v="1"/>
    <s v="USD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x v="6"/>
    <s v="EUR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x v="4"/>
    <s v="GBP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x v="1"/>
    <s v="USD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x v="1"/>
    <s v="USD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x v="1"/>
    <s v="USD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x v="1"/>
    <s v="USD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x v="1"/>
    <s v="USD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x v="1"/>
    <s v="USD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x v="1"/>
    <s v="USD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x v="5"/>
    <s v="CHF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x v="2"/>
    <s v="AUD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x v="1"/>
    <s v="USD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x v="1"/>
    <s v="USD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x v="0"/>
    <s v="CAD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x v="3"/>
    <s v="DKK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x v="1"/>
    <s v="USD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x v="1"/>
    <s v="USD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x v="1"/>
    <s v="USD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x v="1"/>
    <s v="USD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x v="1"/>
    <s v="USD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x v="5"/>
    <s v="CHF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x v="5"/>
    <s v="CHF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x v="2"/>
    <s v="AUD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x v="1"/>
    <s v="USD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x v="1"/>
    <s v="USD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x v="1"/>
    <s v="USD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x v="1"/>
    <s v="USD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x v="1"/>
    <s v="USD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x v="6"/>
    <s v="EUR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x v="1"/>
    <s v="USD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x v="6"/>
    <s v="EUR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x v="1"/>
    <s v="USD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x v="1"/>
    <s v="USD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x v="1"/>
    <s v="USD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x v="1"/>
    <s v="USD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x v="1"/>
    <s v="USD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x v="1"/>
    <s v="USD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x v="1"/>
    <s v="USD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x v="1"/>
    <s v="USD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x v="1"/>
    <s v="USD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x v="1"/>
    <s v="USD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x v="1"/>
    <s v="USD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x v="1"/>
    <s v="USD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x v="1"/>
    <s v="USD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x v="1"/>
    <s v="USD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x v="1"/>
    <s v="USD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x v="0"/>
    <s v="CAD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x v="4"/>
    <s v="GBP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x v="1"/>
    <s v="USD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x v="2"/>
    <s v="AUD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x v="1"/>
    <s v="USD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x v="1"/>
    <s v="USD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x v="1"/>
    <s v="USD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x v="1"/>
    <s v="USD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x v="1"/>
    <s v="USD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x v="1"/>
    <s v="USD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x v="1"/>
    <s v="USD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x v="6"/>
    <s v="EUR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x v="3"/>
    <s v="DKK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x v="4"/>
    <s v="GBP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x v="1"/>
    <s v="USD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x v="1"/>
    <s v="USD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x v="1"/>
    <s v="USD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x v="1"/>
    <s v="USD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x v="1"/>
    <s v="USD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x v="4"/>
    <s v="GBP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x v="1"/>
    <s v="USD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x v="1"/>
    <s v="USD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x v="1"/>
    <s v="USD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x v="1"/>
    <s v="USD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x v="1"/>
    <s v="USD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x v="1"/>
    <s v="USD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x v="0"/>
    <s v="CAD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x v="1"/>
    <s v="USD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x v="6"/>
    <s v="EUR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x v="4"/>
    <s v="GBP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x v="1"/>
    <s v="USD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x v="1"/>
    <s v="USD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x v="1"/>
    <s v="USD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x v="2"/>
    <s v="AUD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x v="1"/>
    <s v="USD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x v="1"/>
    <s v="USD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x v="4"/>
    <s v="GBP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x v="1"/>
    <s v="USD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x v="1"/>
    <s v="USD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x v="1"/>
    <s v="USD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x v="4"/>
    <s v="GBP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x v="1"/>
    <s v="USD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x v="1"/>
    <s v="USD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x v="1"/>
    <s v="USD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x v="1"/>
    <s v="USD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x v="1"/>
    <s v="USD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x v="1"/>
    <s v="USD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x v="1"/>
    <s v="USD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x v="1"/>
    <s v="USD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x v="3"/>
    <s v="DKK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x v="1"/>
    <s v="USD"/>
    <x v="586"/>
    <d v="2016-11-22T06:00: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x v="1"/>
    <s v="USD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x v="1"/>
    <s v="USD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x v="1"/>
    <s v="USD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x v="5"/>
    <s v="CHF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x v="0"/>
    <s v="CAD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x v="1"/>
    <s v="USD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x v="0"/>
    <s v="CAD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x v="1"/>
    <s v="USD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x v="1"/>
    <s v="USD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x v="1"/>
    <s v="USD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x v="1"/>
    <s v="USD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x v="5"/>
    <s v="CHF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x v="1"/>
    <s v="USD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x v="6"/>
    <s v="EUR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x v="1"/>
    <s v="USD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x v="1"/>
    <s v="USD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x v="1"/>
    <s v="USD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x v="1"/>
    <s v="USD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x v="2"/>
    <s v="AUD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x v="1"/>
    <s v="USD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x v="1"/>
    <s v="USD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x v="4"/>
    <s v="GBP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x v="1"/>
    <s v="USD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x v="3"/>
    <s v="DKK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x v="1"/>
    <s v="USD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x v="1"/>
    <s v="USD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x v="1"/>
    <s v="USD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x v="1"/>
    <s v="USD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x v="1"/>
    <s v="USD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x v="1"/>
    <s v="USD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x v="1"/>
    <s v="USD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x v="6"/>
    <s v="EUR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x v="1"/>
    <s v="USD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x v="1"/>
    <s v="USD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x v="2"/>
    <s v="AUD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x v="6"/>
    <s v="EUR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x v="1"/>
    <s v="USD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x v="1"/>
    <s v="USD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x v="1"/>
    <s v="USD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x v="1"/>
    <s v="USD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x v="1"/>
    <s v="USD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x v="1"/>
    <s v="USD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x v="1"/>
    <s v="USD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x v="1"/>
    <s v="USD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x v="1"/>
    <s v="USD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x v="1"/>
    <s v="USD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x v="0"/>
    <s v="CAD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x v="0"/>
    <s v="CAD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x v="1"/>
    <s v="USD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x v="1"/>
    <s v="USD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x v="1"/>
    <s v="USD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x v="1"/>
    <s v="USD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x v="1"/>
    <s v="USD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x v="1"/>
    <s v="USD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x v="4"/>
    <s v="GBP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x v="1"/>
    <s v="USD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x v="1"/>
    <s v="USD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x v="6"/>
    <s v="EUR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x v="1"/>
    <s v="USD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x v="1"/>
    <s v="USD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x v="0"/>
    <s v="CAD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x v="1"/>
    <s v="USD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x v="1"/>
    <s v="USD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x v="1"/>
    <s v="USD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x v="1"/>
    <s v="USD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x v="1"/>
    <s v="USD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x v="1"/>
    <s v="USD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x v="4"/>
    <s v="GBP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x v="2"/>
    <s v="AUD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x v="1"/>
    <s v="USD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x v="5"/>
    <s v="CHF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x v="6"/>
    <s v="EUR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x v="1"/>
    <s v="USD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x v="6"/>
    <s v="EUR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x v="1"/>
    <s v="USD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x v="1"/>
    <s v="USD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x v="1"/>
    <s v="USD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x v="1"/>
    <s v="USD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x v="1"/>
    <s v="USD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x v="1"/>
    <s v="USD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x v="1"/>
    <s v="USD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x v="1"/>
    <s v="USD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x v="3"/>
    <s v="DKK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x v="1"/>
    <s v="USD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x v="1"/>
    <s v="USD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x v="2"/>
    <s v="AUD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x v="4"/>
    <s v="GBP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x v="1"/>
    <s v="USD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x v="1"/>
    <s v="USD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x v="1"/>
    <s v="USD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x v="1"/>
    <s v="USD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x v="1"/>
    <s v="USD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x v="0"/>
    <s v="CAD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x v="1"/>
    <s v="USD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x v="1"/>
    <s v="USD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x v="1"/>
    <s v="USD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x v="1"/>
    <s v="USD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x v="1"/>
    <s v="USD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x v="1"/>
    <s v="USD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x v="1"/>
    <s v="USD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x v="1"/>
    <s v="USD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x v="1"/>
    <s v="USD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x v="1"/>
    <s v="USD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x v="1"/>
    <s v="USD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x v="1"/>
    <s v="USD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x v="1"/>
    <s v="USD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x v="1"/>
    <s v="USD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x v="1"/>
    <s v="USD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x v="1"/>
    <s v="USD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x v="1"/>
    <s v="USD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x v="1"/>
    <s v="USD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x v="6"/>
    <s v="EUR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x v="4"/>
    <s v="GBP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x v="1"/>
    <s v="USD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x v="1"/>
    <s v="USD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x v="1"/>
    <s v="USD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x v="1"/>
    <s v="USD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x v="3"/>
    <s v="DKK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x v="1"/>
    <s v="USD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x v="1"/>
    <s v="USD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x v="0"/>
    <s v="CAD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x v="1"/>
    <s v="USD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x v="6"/>
    <s v="EUR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x v="1"/>
    <s v="USD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x v="2"/>
    <s v="AUD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x v="1"/>
    <s v="USD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x v="1"/>
    <s v="USD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x v="1"/>
    <s v="USD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x v="2"/>
    <s v="AUD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x v="1"/>
    <s v="USD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x v="1"/>
    <s v="USD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x v="1"/>
    <s v="USD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x v="6"/>
    <s v="EUR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x v="1"/>
    <s v="USD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x v="1"/>
    <s v="USD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x v="1"/>
    <s v="USD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x v="6"/>
    <s v="EUR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x v="1"/>
    <s v="USD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x v="1"/>
    <s v="USD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x v="1"/>
    <s v="USD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x v="5"/>
    <s v="CHF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x v="1"/>
    <s v="USD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x v="1"/>
    <s v="USD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x v="5"/>
    <s v="CHF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x v="1"/>
    <s v="USD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x v="1"/>
    <s v="USD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x v="1"/>
    <s v="USD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x v="2"/>
    <s v="AUD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x v="6"/>
    <s v="EUR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x v="0"/>
    <s v="CAD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x v="1"/>
    <s v="USD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x v="1"/>
    <s v="USD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x v="1"/>
    <s v="USD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x v="1"/>
    <s v="USD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x v="1"/>
    <s v="USD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x v="5"/>
    <s v="CHF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x v="1"/>
    <s v="USD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x v="1"/>
    <s v="USD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x v="1"/>
    <s v="USD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x v="1"/>
    <s v="USD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x v="1"/>
    <s v="USD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x v="4"/>
    <s v="GBP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0.01"/>
    <x v="0"/>
    <n v="1"/>
    <x v="5"/>
    <s v="CHF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x v="1"/>
    <s v="USD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x v="1"/>
    <s v="USD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x v="1"/>
    <s v="USD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x v="1"/>
    <s v="USD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x v="2"/>
    <s v="AUD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x v="1"/>
    <s v="USD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x v="1"/>
    <s v="USD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x v="1"/>
    <s v="USD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x v="5"/>
    <s v="CHF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x v="1"/>
    <s v="USD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x v="1"/>
    <s v="USD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x v="0"/>
    <s v="CAD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x v="1"/>
    <s v="USD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x v="3"/>
    <s v="DKK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x v="0"/>
    <s v="CAD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x v="1"/>
    <s v="USD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x v="6"/>
    <s v="EUR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x v="1"/>
    <s v="USD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x v="1"/>
    <s v="USD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x v="4"/>
    <s v="GBP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x v="1"/>
    <s v="USD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x v="1"/>
    <s v="USD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x v="1"/>
    <s v="USD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x v="1"/>
    <s v="USD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x v="4"/>
    <s v="GBP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x v="1"/>
    <s v="USD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x v="2"/>
    <s v="AUD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x v="1"/>
    <s v="USD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x v="1"/>
    <s v="USD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x v="1"/>
    <s v="USD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x v="1"/>
    <s v="USD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x v="3"/>
    <s v="DKK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x v="3"/>
    <s v="DKK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x v="1"/>
    <s v="USD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x v="1"/>
    <s v="USD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x v="1"/>
    <s v="USD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x v="1"/>
    <s v="USD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x v="1"/>
    <s v="USD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x v="1"/>
    <s v="USD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x v="1"/>
    <s v="USD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x v="1"/>
    <s v="USD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x v="6"/>
    <s v="EUR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x v="1"/>
    <s v="USD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x v="1"/>
    <s v="USD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x v="4"/>
    <s v="GBP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x v="1"/>
    <s v="USD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x v="1"/>
    <s v="USD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x v="1"/>
    <s v="USD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x v="1"/>
    <s v="USD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x v="1"/>
    <s v="USD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x v="1"/>
    <s v="USD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x v="1"/>
    <s v="USD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x v="0"/>
    <s v="CAD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x v="0"/>
    <s v="CAD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x v="2"/>
    <s v="AUD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x v="1"/>
    <s v="USD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x v="5"/>
    <s v="CHF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x v="1"/>
    <s v="USD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x v="1"/>
    <s v="USD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x v="1"/>
    <s v="USD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x v="1"/>
    <s v="USD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x v="1"/>
    <s v="USD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x v="1"/>
    <s v="USD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x v="1"/>
    <s v="USD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x v="1"/>
    <s v="USD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x v="1"/>
    <s v="USD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x v="1"/>
    <s v="USD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x v="1"/>
    <s v="USD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x v="1"/>
    <s v="USD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x v="1"/>
    <s v="USD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x v="1"/>
    <s v="USD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x v="2"/>
    <s v="AUD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x v="1"/>
    <s v="USD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x v="1"/>
    <s v="USD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x v="1"/>
    <s v="USD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x v="0"/>
    <s v="CAD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x v="1"/>
    <s v="USD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x v="6"/>
    <s v="EUR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x v="1"/>
    <s v="USD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x v="1"/>
    <s v="USD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x v="1"/>
    <s v="USD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x v="1"/>
    <s v="USD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x v="1"/>
    <s v="USD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x v="1"/>
    <s v="USD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x v="1"/>
    <s v="USD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x v="1"/>
    <s v="USD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x v="1"/>
    <s v="USD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x v="1"/>
    <s v="USD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x v="1"/>
    <s v="USD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x v="1"/>
    <s v="USD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x v="0"/>
    <s v="CAD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x v="1"/>
    <s v="USD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x v="6"/>
    <s v="EUR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x v="4"/>
    <s v="GBP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x v="1"/>
    <s v="USD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x v="2"/>
    <s v="AUD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x v="1"/>
    <s v="USD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x v="1"/>
    <s v="USD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x v="5"/>
    <s v="CHF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x v="1"/>
    <s v="USD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x v="1"/>
    <s v="USD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x v="1"/>
    <s v="USD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x v="1"/>
    <s v="USD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x v="1"/>
    <s v="USD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x v="1"/>
    <s v="USD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x v="1"/>
    <s v="USD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x v="1"/>
    <s v="USD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x v="1"/>
    <s v="USD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x v="0"/>
    <s v="CAD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x v="1"/>
    <s v="USD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x v="1"/>
    <s v="USD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x v="1"/>
    <s v="USD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x v="2"/>
    <s v="AUD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x v="4"/>
    <s v="GBP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x v="4"/>
    <s v="GBP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x v="1"/>
    <s v="USD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x v="4"/>
    <s v="GBP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x v="5"/>
    <s v="CHF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x v="2"/>
    <s v="AUD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x v="1"/>
    <s v="USD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x v="1"/>
    <s v="USD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x v="1"/>
    <s v="USD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x v="1"/>
    <s v="USD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x v="6"/>
    <s v="EUR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x v="1"/>
    <s v="USD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x v="1"/>
    <s v="USD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x v="1"/>
    <s v="USD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x v="6"/>
    <s v="EUR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x v="4"/>
    <s v="GBP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x v="1"/>
    <s v="USD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x v="1"/>
    <s v="USD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x v="1"/>
    <s v="USD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x v="1"/>
    <s v="USD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x v="1"/>
    <s v="USD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x v="1"/>
    <s v="USD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x v="1"/>
    <s v="USD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x v="1"/>
    <s v="USD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x v="1"/>
    <s v="USD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x v="1"/>
    <s v="USD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x v="0"/>
    <s v="CAD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x v="1"/>
    <s v="USD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x v="2"/>
    <s v="AUD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x v="1"/>
    <s v="USD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x v="2"/>
    <s v="AUD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x v="1"/>
    <s v="USD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x v="1"/>
    <s v="USD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x v="1"/>
    <s v="USD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x v="1"/>
    <s v="USD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x v="1"/>
    <s v="USD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x v="1"/>
    <s v="USD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x v="1"/>
    <s v="USD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x v="1"/>
    <s v="USD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x v="1"/>
    <s v="USD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x v="2"/>
    <s v="AUD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x v="1"/>
    <s v="USD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x v="1"/>
    <s v="USD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x v="1"/>
    <s v="USD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x v="1"/>
    <s v="USD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x v="1"/>
    <s v="USD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x v="1"/>
    <s v="USD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x v="1"/>
    <s v="USD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x v="1"/>
    <s v="USD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x v="6"/>
    <s v="EUR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x v="1"/>
    <s v="USD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x v="4"/>
    <s v="GBP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x v="1"/>
    <s v="USD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x v="1"/>
    <s v="USD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x v="1"/>
    <s v="USD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x v="1"/>
    <s v="USD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x v="1"/>
    <s v="USD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x v="1"/>
    <s v="USD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x v="1"/>
    <s v="USD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x v="1"/>
    <s v="USD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x v="1"/>
    <s v="USD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x v="1"/>
    <s v="USD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x v="1"/>
    <s v="USD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x v="1"/>
    <s v="USD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x v="1"/>
    <s v="USD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x v="4"/>
    <s v="GBP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x v="1"/>
    <s v="USD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x v="1"/>
    <s v="USD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x v="1"/>
    <s v="USD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x v="1"/>
    <s v="USD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x v="1"/>
    <s v="USD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x v="1"/>
    <s v="USD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x v="1"/>
    <s v="USD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x v="1"/>
    <s v="USD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x v="1"/>
    <s v="USD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x v="1"/>
    <s v="USD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x v="1"/>
    <s v="USD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x v="1"/>
    <s v="USD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x v="1"/>
    <s v="USD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x v="6"/>
    <s v="EUR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x v="1"/>
    <s v="USD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x v="1"/>
    <s v="USD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x v="1"/>
    <s v="USD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x v="6"/>
    <s v="EUR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x v="1"/>
    <s v="USD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x v="1"/>
    <s v="USD"/>
    <x v="878"/>
    <d v="2016-07-06T05:00: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s v="CA"/>
    <s v="CAD"/>
    <d v="2015-11-28T06:00:00"/>
    <x v="0"/>
    <x v="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.4"/>
    <x v="1"/>
    <n v="158"/>
    <s v="US"/>
    <s v="USD"/>
    <d v="2014-08-19T05:00:00"/>
    <x v="1"/>
    <x v="1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.3147878228782288"/>
    <x v="1"/>
    <n v="1425"/>
    <s v="AU"/>
    <s v="AUD"/>
    <d v="2013-11-17T06:00:00"/>
    <x v="0"/>
    <x v="2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n v="0.58976190476190471"/>
    <x v="0"/>
    <n v="24"/>
    <s v="US"/>
    <s v="USD"/>
    <d v="2019-08-11T05:00:00"/>
    <x v="1"/>
    <x v="3"/>
    <d v="2019-09-20T05:00:00"/>
    <b v="0"/>
    <b v="0"/>
    <s v="music/rock"/>
    <x v="1"/>
    <s v="rock"/>
  </r>
  <r>
    <n v="4"/>
    <s v="Larson-Little"/>
    <s v="Proactive foreground core"/>
    <n v="7600"/>
    <n v="5265"/>
    <n v="0.69276315789473686"/>
    <x v="0"/>
    <n v="53"/>
    <s v="US"/>
    <s v="USD"/>
    <d v="2019-01-20T06:00:00"/>
    <x v="2"/>
    <x v="3"/>
    <d v="2019-01-24T06:00:00"/>
    <b v="0"/>
    <b v="0"/>
    <s v="theater/plays"/>
    <x v="3"/>
    <s v="plays"/>
  </r>
  <r>
    <n v="5"/>
    <s v="Harris Group"/>
    <s v="Open-source optimizing database"/>
    <n v="7600"/>
    <n v="13195"/>
    <n v="1.7361842105263159"/>
    <x v="1"/>
    <n v="174"/>
    <s v="DK"/>
    <s v="DKK"/>
    <d v="2012-08-28T05:00:00"/>
    <x v="1"/>
    <x v="4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0.20961538461538462"/>
    <x v="0"/>
    <n v="18"/>
    <s v="GB"/>
    <s v="GBP"/>
    <d v="2017-09-13T05:00:00"/>
    <x v="3"/>
    <x v="5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.2757777777777779"/>
    <x v="1"/>
    <n v="227"/>
    <s v="DK"/>
    <s v="DKK"/>
    <d v="2015-08-13T05:00:00"/>
    <x v="1"/>
    <x v="0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0.19932788374205268"/>
    <x v="2"/>
    <n v="708"/>
    <s v="DK"/>
    <s v="DKK"/>
    <d v="2010-08-09T05:00:00"/>
    <x v="1"/>
    <x v="6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0.51741935483870971"/>
    <x v="0"/>
    <n v="44"/>
    <s v="US"/>
    <s v="USD"/>
    <d v="2013-09-19T05:00:00"/>
    <x v="3"/>
    <x v="2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.6611538461538462"/>
    <x v="1"/>
    <n v="220"/>
    <s v="US"/>
    <s v="USD"/>
    <d v="2010-08-14T05:00:00"/>
    <x v="1"/>
    <x v="6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0.48095238095238096"/>
    <x v="0"/>
    <n v="27"/>
    <s v="US"/>
    <s v="USD"/>
    <d v="2010-09-21T05:00:00"/>
    <x v="3"/>
    <x v="6"/>
    <d v="2010-09-27T05:00:00"/>
    <b v="0"/>
    <b v="1"/>
    <s v="theater/plays"/>
    <x v="3"/>
    <s v="plays"/>
  </r>
  <r>
    <n v="12"/>
    <s v="Kim Ltd"/>
    <s v="Assimilated hybrid intranet"/>
    <n v="6300"/>
    <n v="5629"/>
    <n v="0.89349206349206345"/>
    <x v="0"/>
    <n v="55"/>
    <s v="US"/>
    <s v="USD"/>
    <d v="2019-10-22T05:00:00"/>
    <x v="4"/>
    <x v="3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.4511904761904764"/>
    <x v="1"/>
    <n v="98"/>
    <s v="US"/>
    <s v="USD"/>
    <d v="2016-06-11T05:00:00"/>
    <x v="5"/>
    <x v="7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0.66769503546099296"/>
    <x v="0"/>
    <n v="200"/>
    <s v="US"/>
    <s v="USD"/>
    <d v="2012-03-06T06:00:00"/>
    <x v="6"/>
    <x v="4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0.47307881773399013"/>
    <x v="0"/>
    <n v="452"/>
    <s v="US"/>
    <s v="USD"/>
    <d v="2019-12-10T06:00:00"/>
    <x v="7"/>
    <x v="3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.4947058823529416"/>
    <x v="1"/>
    <n v="100"/>
    <s v="US"/>
    <s v="USD"/>
    <d v="2014-01-22T06:00:00"/>
    <x v="2"/>
    <x v="1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.5939125295508274"/>
    <x v="1"/>
    <n v="1249"/>
    <s v="US"/>
    <s v="USD"/>
    <d v="2011-01-12T06:00:00"/>
    <x v="2"/>
    <x v="8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0.66912087912087914"/>
    <x v="3"/>
    <n v="135"/>
    <s v="US"/>
    <s v="USD"/>
    <d v="2018-09-08T05:00:00"/>
    <x v="3"/>
    <x v="9"/>
    <d v="2018-09-16T05:00:00"/>
    <b v="0"/>
    <b v="0"/>
    <s v="theater/plays"/>
    <x v="3"/>
    <s v="plays"/>
  </r>
  <r>
    <n v="19"/>
    <s v="Perez-Hess"/>
    <s v="Down-sized cohesive archive"/>
    <n v="62500"/>
    <n v="30331"/>
    <n v="0.48529600000000001"/>
    <x v="0"/>
    <n v="674"/>
    <s v="US"/>
    <s v="USD"/>
    <d v="2019-03-04T06:00:00"/>
    <x v="6"/>
    <x v="3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.1224279210925645"/>
    <x v="1"/>
    <n v="1396"/>
    <s v="US"/>
    <s v="USD"/>
    <d v="2014-07-28T05:00:00"/>
    <x v="8"/>
    <x v="1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0.40992553191489361"/>
    <x v="0"/>
    <n v="558"/>
    <s v="US"/>
    <s v="USD"/>
    <d v="2011-08-15T05:00:00"/>
    <x v="1"/>
    <x v="8"/>
    <d v="2011-09-18T05:00:00"/>
    <b v="0"/>
    <b v="0"/>
    <s v="theater/plays"/>
    <x v="3"/>
    <s v="plays"/>
  </r>
  <r>
    <n v="22"/>
    <s v="Collier Inc"/>
    <s v="Enhanced dynamic definition"/>
    <n v="59100"/>
    <n v="75690"/>
    <n v="1.2807106598984772"/>
    <x v="1"/>
    <n v="890"/>
    <s v="US"/>
    <s v="USD"/>
    <d v="2018-04-03T05:00:00"/>
    <x v="9"/>
    <x v="9"/>
    <d v="2018-04-18T05:00:00"/>
    <b v="0"/>
    <b v="0"/>
    <s v="theater/plays"/>
    <x v="3"/>
    <s v="plays"/>
  </r>
  <r>
    <n v="23"/>
    <s v="Gray-Jenkins"/>
    <s v="Devolved next generation adapter"/>
    <n v="4500"/>
    <n v="14942"/>
    <n v="3.3204444444444445"/>
    <x v="1"/>
    <n v="142"/>
    <s v="GB"/>
    <s v="GBP"/>
    <d v="2019-02-14T06:00:00"/>
    <x v="10"/>
    <x v="3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.1283225108225108"/>
    <x v="1"/>
    <n v="2673"/>
    <s v="US"/>
    <s v="USD"/>
    <d v="2014-06-21T05:00:00"/>
    <x v="5"/>
    <x v="1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.1643636363636363"/>
    <x v="1"/>
    <n v="163"/>
    <s v="US"/>
    <s v="USD"/>
    <d v="2011-05-18T05:00:00"/>
    <x v="11"/>
    <x v="8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0.4819906976744186"/>
    <x v="3"/>
    <n v="1480"/>
    <s v="US"/>
    <s v="USD"/>
    <d v="2018-07-31T05:00:00"/>
    <x v="8"/>
    <x v="9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0.79949999999999999"/>
    <x v="0"/>
    <n v="15"/>
    <s v="US"/>
    <s v="USD"/>
    <d v="2015-10-03T05:00:00"/>
    <x v="4"/>
    <x v="0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.0522553516819573"/>
    <x v="1"/>
    <n v="2220"/>
    <s v="US"/>
    <s v="USD"/>
    <d v="2010-02-09T06:00:00"/>
    <x v="10"/>
    <x v="6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.2889978213507627"/>
    <x v="1"/>
    <n v="1606"/>
    <s v="CH"/>
    <s v="CHF"/>
    <d v="2018-07-20T05:00:00"/>
    <x v="8"/>
    <x v="9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.606111111111111"/>
    <x v="1"/>
    <n v="129"/>
    <s v="US"/>
    <s v="USD"/>
    <d v="2019-05-24T05:00:00"/>
    <x v="11"/>
    <x v="3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.1"/>
    <x v="1"/>
    <n v="226"/>
    <s v="GB"/>
    <s v="GBP"/>
    <d v="2016-01-05T06:00:00"/>
    <x v="2"/>
    <x v="7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0.86807920792079207"/>
    <x v="0"/>
    <n v="2307"/>
    <s v="IT"/>
    <s v="EUR"/>
    <d v="2018-01-10T06:00:00"/>
    <x v="2"/>
    <x v="9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.7782071713147412"/>
    <x v="1"/>
    <n v="5419"/>
    <s v="US"/>
    <s v="USD"/>
    <d v="2014-10-05T05:00:00"/>
    <x v="4"/>
    <x v="1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.5080645161290323"/>
    <x v="1"/>
    <n v="165"/>
    <s v="US"/>
    <s v="USD"/>
    <d v="2017-03-23T05:00:00"/>
    <x v="6"/>
    <x v="5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.5030119521912351"/>
    <x v="1"/>
    <n v="1965"/>
    <s v="DK"/>
    <s v="DKK"/>
    <d v="2019-01-19T06:00:00"/>
    <x v="2"/>
    <x v="3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.572857142857143"/>
    <x v="1"/>
    <n v="16"/>
    <s v="US"/>
    <s v="USD"/>
    <d v="2011-02-26T06:00:00"/>
    <x v="10"/>
    <x v="8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.3998765432098765"/>
    <x v="1"/>
    <n v="107"/>
    <s v="US"/>
    <s v="USD"/>
    <d v="2019-10-06T05:00:00"/>
    <x v="4"/>
    <x v="3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.2532258064516131"/>
    <x v="1"/>
    <n v="134"/>
    <s v="US"/>
    <s v="USD"/>
    <d v="2010-10-18T05:00:00"/>
    <x v="4"/>
    <x v="6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0.50777777777777777"/>
    <x v="0"/>
    <n v="88"/>
    <s v="DK"/>
    <s v="DKK"/>
    <d v="2013-02-25T06:00:00"/>
    <x v="10"/>
    <x v="2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.6906818181818182"/>
    <x v="1"/>
    <n v="198"/>
    <s v="US"/>
    <s v="USD"/>
    <d v="2010-06-05T05:00:00"/>
    <x v="5"/>
    <x v="6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.1292857142857144"/>
    <x v="1"/>
    <n v="111"/>
    <s v="IT"/>
    <s v="EUR"/>
    <d v="2012-09-04T05:00:00"/>
    <x v="3"/>
    <x v="4"/>
    <d v="2012-09-30T05:00:00"/>
    <b v="0"/>
    <b v="1"/>
    <s v="music/rock"/>
    <x v="1"/>
    <s v="rock"/>
  </r>
  <r>
    <n v="42"/>
    <s v="Werner-Bryant"/>
    <s v="Virtual uniform frame"/>
    <n v="1800"/>
    <n v="7991"/>
    <n v="4.4394444444444447"/>
    <x v="1"/>
    <n v="222"/>
    <s v="US"/>
    <s v="USD"/>
    <d v="2011-07-04T05:00:00"/>
    <x v="8"/>
    <x v="8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.859390243902439"/>
    <x v="1"/>
    <n v="6212"/>
    <s v="US"/>
    <s v="USD"/>
    <d v="2014-07-24T05:00:00"/>
    <x v="8"/>
    <x v="1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.5881249999999998"/>
    <x v="1"/>
    <n v="98"/>
    <s v="DK"/>
    <s v="DKK"/>
    <d v="2019-03-17T05:00:00"/>
    <x v="6"/>
    <x v="3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0.4768421052631579"/>
    <x v="0"/>
    <n v="48"/>
    <s v="US"/>
    <s v="USD"/>
    <d v="2016-11-02T05:00:00"/>
    <x v="0"/>
    <x v="7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.1478378378378378"/>
    <x v="1"/>
    <n v="92"/>
    <s v="US"/>
    <s v="USD"/>
    <d v="2010-07-08T05:00:00"/>
    <x v="8"/>
    <x v="6"/>
    <d v="2010-07-31T05:00:00"/>
    <b v="0"/>
    <b v="0"/>
    <s v="music/rock"/>
    <x v="1"/>
    <s v="rock"/>
  </r>
  <r>
    <n v="47"/>
    <s v="Bennett and Sons"/>
    <s v="Function-based multi-state software"/>
    <n v="1500"/>
    <n v="7129"/>
    <n v="4.7526666666666664"/>
    <x v="1"/>
    <n v="149"/>
    <s v="US"/>
    <s v="USD"/>
    <d v="2014-03-29T05:00:00"/>
    <x v="6"/>
    <x v="1"/>
    <d v="2014-04-28T05:00:00"/>
    <b v="0"/>
    <b v="0"/>
    <s v="theater/plays"/>
    <x v="3"/>
    <s v="plays"/>
  </r>
  <r>
    <n v="48"/>
    <s v="Lamb Inc"/>
    <s v="Optimized leadingedge concept"/>
    <n v="33300"/>
    <n v="128862"/>
    <n v="3.86972972972973"/>
    <x v="1"/>
    <n v="2431"/>
    <s v="US"/>
    <s v="USD"/>
    <d v="2015-06-25T05:00:00"/>
    <x v="5"/>
    <x v="0"/>
    <d v="2015-07-07T05:00:00"/>
    <b v="0"/>
    <b v="0"/>
    <s v="theater/plays"/>
    <x v="3"/>
    <s v="plays"/>
  </r>
  <r>
    <n v="49"/>
    <s v="Casey-Kelly"/>
    <s v="Sharable holistic interface"/>
    <n v="7200"/>
    <n v="13653"/>
    <n v="1.89625"/>
    <x v="1"/>
    <n v="303"/>
    <s v="US"/>
    <s v="USD"/>
    <d v="2019-10-20T05:00:00"/>
    <x v="4"/>
    <x v="3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0.02"/>
    <x v="0"/>
    <n v="1"/>
    <s v="IT"/>
    <s v="EUR"/>
    <d v="2013-08-01T05:00:00"/>
    <x v="1"/>
    <x v="2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0.91867805186590767"/>
    <x v="0"/>
    <n v="1467"/>
    <s v="GB"/>
    <s v="GBP"/>
    <d v="2012-03-27T05:00:00"/>
    <x v="6"/>
    <x v="4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0.34152777777777776"/>
    <x v="0"/>
    <n v="75"/>
    <s v="US"/>
    <s v="USD"/>
    <d v="2010-09-15T05:00:00"/>
    <x v="3"/>
    <x v="6"/>
    <d v="2010-09-19T05:00:00"/>
    <b v="0"/>
    <b v="0"/>
    <s v="theater/plays"/>
    <x v="3"/>
    <s v="plays"/>
  </r>
  <r>
    <n v="53"/>
    <s v="Smith-Jones"/>
    <s v="Reverse-engineered static concept"/>
    <n v="8800"/>
    <n v="12356"/>
    <n v="1.4040909090909091"/>
    <x v="1"/>
    <n v="209"/>
    <s v="US"/>
    <s v="USD"/>
    <d v="2014-05-20T05:00:00"/>
    <x v="11"/>
    <x v="1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0.89866666666666661"/>
    <x v="0"/>
    <n v="120"/>
    <s v="US"/>
    <s v="USD"/>
    <d v="2018-03-11T06:00:00"/>
    <x v="6"/>
    <x v="9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.7796969696969698"/>
    <x v="1"/>
    <n v="131"/>
    <s v="US"/>
    <s v="USD"/>
    <d v="2018-07-30T05:00:00"/>
    <x v="8"/>
    <x v="9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.436625"/>
    <x v="1"/>
    <n v="164"/>
    <s v="US"/>
    <s v="USD"/>
    <d v="2015-01-10T06:00:00"/>
    <x v="2"/>
    <x v="0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.1527586206896552"/>
    <x v="1"/>
    <n v="201"/>
    <s v="US"/>
    <s v="USD"/>
    <d v="2017-09-01T05:00:00"/>
    <x v="3"/>
    <x v="5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.2711111111111113"/>
    <x v="1"/>
    <n v="211"/>
    <s v="US"/>
    <s v="USD"/>
    <d v="2015-09-21T05:00:00"/>
    <x v="3"/>
    <x v="0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.7507142857142859"/>
    <x v="1"/>
    <n v="128"/>
    <s v="US"/>
    <s v="USD"/>
    <d v="2017-06-12T05:00:00"/>
    <x v="5"/>
    <x v="5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.4437048832271762"/>
    <x v="1"/>
    <n v="1600"/>
    <s v="CA"/>
    <s v="CAD"/>
    <d v="2012-07-17T05:00:00"/>
    <x v="8"/>
    <x v="4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0.92745983935742971"/>
    <x v="0"/>
    <n v="2253"/>
    <s v="CA"/>
    <s v="CAD"/>
    <d v="2011-02-21T06:00:00"/>
    <x v="10"/>
    <x v="8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.226"/>
    <x v="1"/>
    <n v="249"/>
    <s v="US"/>
    <s v="USD"/>
    <d v="2015-06-05T05:00:00"/>
    <x v="5"/>
    <x v="0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0.11851063829787234"/>
    <x v="0"/>
    <n v="5"/>
    <s v="US"/>
    <s v="USD"/>
    <d v="2017-04-28T05:00:00"/>
    <x v="9"/>
    <x v="5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0.97642857142857142"/>
    <x v="0"/>
    <n v="38"/>
    <s v="US"/>
    <s v="USD"/>
    <d v="2018-07-02T05:00:00"/>
    <x v="8"/>
    <x v="9"/>
    <d v="2018-07-17T05:00:00"/>
    <b v="0"/>
    <b v="1"/>
    <s v="technology/web"/>
    <x v="2"/>
    <s v="web"/>
  </r>
  <r>
    <n v="65"/>
    <s v="Berry-Boyer"/>
    <s v="Mandatory incremental projection"/>
    <n v="6100"/>
    <n v="14405"/>
    <n v="2.3614754098360655"/>
    <x v="1"/>
    <n v="236"/>
    <s v="US"/>
    <s v="USD"/>
    <d v="2011-01-27T06:00:00"/>
    <x v="2"/>
    <x v="8"/>
    <d v="2011-02-03T06:00:00"/>
    <b v="0"/>
    <b v="0"/>
    <s v="theater/plays"/>
    <x v="3"/>
    <s v="plays"/>
  </r>
  <r>
    <n v="66"/>
    <s v="Sanders-Allen"/>
    <s v="Grass-roots needs-based encryption"/>
    <n v="2900"/>
    <n v="1307"/>
    <n v="0.45068965517241377"/>
    <x v="0"/>
    <n v="12"/>
    <s v="US"/>
    <s v="USD"/>
    <d v="2015-04-08T05:00:00"/>
    <x v="9"/>
    <x v="0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.6238567493112948"/>
    <x v="1"/>
    <n v="4065"/>
    <s v="GB"/>
    <s v="GBP"/>
    <d v="2010-01-25T06:00:00"/>
    <x v="2"/>
    <x v="6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.5452631578947367"/>
    <x v="1"/>
    <n v="246"/>
    <s v="IT"/>
    <s v="EUR"/>
    <d v="2017-07-27T05:00:00"/>
    <x v="8"/>
    <x v="5"/>
    <d v="2017-09-12T05:00:00"/>
    <b v="0"/>
    <b v="1"/>
    <s v="theater/plays"/>
    <x v="3"/>
    <s v="plays"/>
  </r>
  <r>
    <n v="69"/>
    <s v="Jones-Watson"/>
    <s v="Switchable disintermediate moderator"/>
    <n v="7900"/>
    <n v="1901"/>
    <n v="0.24063291139240506"/>
    <x v="3"/>
    <n v="17"/>
    <s v="US"/>
    <s v="USD"/>
    <d v="2010-12-19T06:00:00"/>
    <x v="7"/>
    <x v="6"/>
    <d v="2011-01-22T06:00:00"/>
    <b v="0"/>
    <b v="0"/>
    <s v="theater/plays"/>
    <x v="3"/>
    <s v="plays"/>
  </r>
  <r>
    <n v="70"/>
    <s v="Barker Inc"/>
    <s v="Re-engineered 24/7 task-force"/>
    <n v="128000"/>
    <n v="158389"/>
    <n v="1.2374140625000001"/>
    <x v="1"/>
    <n v="2475"/>
    <s v="IT"/>
    <s v="EUR"/>
    <d v="2010-11-02T05:00:00"/>
    <x v="0"/>
    <x v="6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.0806666666666667"/>
    <x v="1"/>
    <n v="76"/>
    <s v="US"/>
    <s v="USD"/>
    <d v="2019-11-30T06:00:00"/>
    <x v="0"/>
    <x v="3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.7033333333333331"/>
    <x v="1"/>
    <n v="54"/>
    <s v="US"/>
    <s v="USD"/>
    <d v="2015-07-01T05:00:00"/>
    <x v="8"/>
    <x v="0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.609285714285714"/>
    <x v="1"/>
    <n v="88"/>
    <s v="US"/>
    <s v="USD"/>
    <d v="2016-11-27T06:00:00"/>
    <x v="0"/>
    <x v="7"/>
    <d v="2016-11-30T06:00:00"/>
    <b v="0"/>
    <b v="0"/>
    <s v="music/jazz"/>
    <x v="1"/>
    <s v="jazz"/>
  </r>
  <r>
    <n v="74"/>
    <s v="Davis-Michael"/>
    <s v="Progressive tertiary framework"/>
    <n v="3900"/>
    <n v="4776"/>
    <n v="1.2246153846153847"/>
    <x v="1"/>
    <n v="85"/>
    <s v="GB"/>
    <s v="GBP"/>
    <d v="2016-03-27T05:00:00"/>
    <x v="6"/>
    <x v="7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.5057731958762886"/>
    <x v="1"/>
    <n v="170"/>
    <s v="US"/>
    <s v="USD"/>
    <d v="2018-07-15T05:00:00"/>
    <x v="8"/>
    <x v="9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0.78106590724165992"/>
    <x v="0"/>
    <n v="1684"/>
    <s v="US"/>
    <s v="USD"/>
    <d v="2015-01-23T06:00:00"/>
    <x v="2"/>
    <x v="0"/>
    <d v="2015-03-13T05:00:00"/>
    <b v="1"/>
    <b v="1"/>
    <s v="theater/plays"/>
    <x v="3"/>
    <s v="plays"/>
  </r>
  <r>
    <n v="77"/>
    <s v="Acevedo-Huffman"/>
    <s v="Pre-emptive impactful model"/>
    <n v="9500"/>
    <n v="4460"/>
    <n v="0.46947368421052632"/>
    <x v="0"/>
    <n v="56"/>
    <s v="US"/>
    <s v="USD"/>
    <d v="2010-09-27T05:00:00"/>
    <x v="3"/>
    <x v="6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.008"/>
    <x v="1"/>
    <n v="330"/>
    <s v="US"/>
    <s v="USD"/>
    <d v="2018-04-16T05:00:00"/>
    <x v="9"/>
    <x v="9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0.6959861591695502"/>
    <x v="0"/>
    <n v="838"/>
    <s v="US"/>
    <s v="USD"/>
    <d v="2018-06-16T05:00:00"/>
    <x v="5"/>
    <x v="9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.374545454545455"/>
    <x v="1"/>
    <n v="127"/>
    <s v="US"/>
    <s v="USD"/>
    <d v="2017-08-29T05:00:00"/>
    <x v="1"/>
    <x v="5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.253392857142857"/>
    <x v="1"/>
    <n v="411"/>
    <s v="US"/>
    <s v="USD"/>
    <d v="2017-11-23T06:00:00"/>
    <x v="0"/>
    <x v="5"/>
    <d v="2017-12-18T06:00:00"/>
    <b v="0"/>
    <b v="0"/>
    <s v="music/rock"/>
    <x v="1"/>
    <s v="rock"/>
  </r>
  <r>
    <n v="82"/>
    <s v="Porter-George"/>
    <s v="Reactive content-based framework"/>
    <n v="1000"/>
    <n v="14973"/>
    <n v="14.973000000000001"/>
    <x v="1"/>
    <n v="180"/>
    <s v="GB"/>
    <s v="GBP"/>
    <d v="2019-01-17T06:00:00"/>
    <x v="2"/>
    <x v="3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0.37590225563909774"/>
    <x v="0"/>
    <n v="1000"/>
    <s v="US"/>
    <s v="USD"/>
    <d v="2016-07-28T05:00:00"/>
    <x v="8"/>
    <x v="7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.3236942675159236"/>
    <x v="1"/>
    <n v="374"/>
    <s v="US"/>
    <s v="USD"/>
    <d v="2012-07-28T05:00:00"/>
    <x v="8"/>
    <x v="4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.3122448979591836"/>
    <x v="1"/>
    <n v="71"/>
    <s v="AU"/>
    <s v="AUD"/>
    <d v="2011-09-11T05:00:00"/>
    <x v="3"/>
    <x v="8"/>
    <d v="2011-09-19T05:00:00"/>
    <b v="0"/>
    <b v="0"/>
    <s v="music/indie rock"/>
    <x v="1"/>
    <s v="indie rock"/>
  </r>
  <r>
    <n v="86"/>
    <s v="Davis-Smith"/>
    <s v="Organic motivating firmware"/>
    <n v="7400"/>
    <n v="12405"/>
    <n v="1.6763513513513513"/>
    <x v="1"/>
    <n v="203"/>
    <s v="US"/>
    <s v="USD"/>
    <d v="2015-05-04T05:00:00"/>
    <x v="11"/>
    <x v="0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0.6198488664987406"/>
    <x v="0"/>
    <n v="1482"/>
    <s v="AU"/>
    <s v="AUD"/>
    <d v="2011-03-08T06:00:00"/>
    <x v="6"/>
    <x v="8"/>
    <d v="2011-03-19T05:00:00"/>
    <b v="0"/>
    <b v="1"/>
    <s v="music/rock"/>
    <x v="1"/>
    <s v="rock"/>
  </r>
  <r>
    <n v="88"/>
    <s v="Clark Group"/>
    <s v="Grass-roots fault-tolerant policy"/>
    <n v="4800"/>
    <n v="12516"/>
    <n v="2.6074999999999999"/>
    <x v="1"/>
    <n v="113"/>
    <s v="US"/>
    <s v="USD"/>
    <d v="2015-04-16T05:00:00"/>
    <x v="9"/>
    <x v="0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.5258823529411765"/>
    <x v="1"/>
    <n v="96"/>
    <s v="US"/>
    <s v="USD"/>
    <d v="2010-04-15T05:00:00"/>
    <x v="9"/>
    <x v="6"/>
    <d v="2010-04-17T05:00:00"/>
    <b v="0"/>
    <b v="0"/>
    <s v="theater/plays"/>
    <x v="3"/>
    <s v="plays"/>
  </r>
  <r>
    <n v="90"/>
    <s v="Kramer Group"/>
    <s v="Synergistic explicit parallelism"/>
    <n v="7800"/>
    <n v="6132"/>
    <n v="0.7861538461538462"/>
    <x v="0"/>
    <n v="106"/>
    <s v="US"/>
    <s v="USD"/>
    <d v="2016-02-25T06:00:00"/>
    <x v="10"/>
    <x v="7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0.48404406999351912"/>
    <x v="0"/>
    <n v="679"/>
    <s v="IT"/>
    <s v="EUR"/>
    <d v="2016-08-06T05:00:00"/>
    <x v="1"/>
    <x v="7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.5887500000000001"/>
    <x v="1"/>
    <n v="498"/>
    <s v="CH"/>
    <s v="CHF"/>
    <d v="2010-06-23T05:00:00"/>
    <x v="5"/>
    <x v="6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0.60548713235294116"/>
    <x v="3"/>
    <n v="610"/>
    <s v="US"/>
    <s v="USD"/>
    <d v="2012-10-20T05:00:00"/>
    <x v="4"/>
    <x v="4"/>
    <d v="2012-10-24T05:00:00"/>
    <b v="0"/>
    <b v="1"/>
    <s v="theater/plays"/>
    <x v="3"/>
    <s v="plays"/>
  </r>
  <r>
    <n v="94"/>
    <s v="Hanson Inc"/>
    <s v="Grass-roots web-enabled contingency"/>
    <n v="2900"/>
    <n v="8807"/>
    <n v="3.036896551724138"/>
    <x v="1"/>
    <n v="180"/>
    <s v="GB"/>
    <s v="GBP"/>
    <d v="2019-04-07T05:00:00"/>
    <x v="9"/>
    <x v="3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.1299999999999999"/>
    <x v="1"/>
    <n v="27"/>
    <s v="US"/>
    <s v="USD"/>
    <d v="2019-10-14T05:00:00"/>
    <x v="4"/>
    <x v="3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.1737876614060259"/>
    <x v="1"/>
    <n v="2331"/>
    <s v="US"/>
    <s v="USD"/>
    <d v="2011-03-10T06:00:00"/>
    <x v="6"/>
    <x v="8"/>
    <d v="2011-03-23T05:00:00"/>
    <b v="0"/>
    <b v="0"/>
    <s v="theater/plays"/>
    <x v="3"/>
    <s v="plays"/>
  </r>
  <r>
    <n v="97"/>
    <s v="Stewart LLC"/>
    <s v="Cloned bi-directional architecture"/>
    <n v="1300"/>
    <n v="12047"/>
    <n v="9.2669230769230762"/>
    <x v="1"/>
    <n v="113"/>
    <s v="US"/>
    <s v="USD"/>
    <d v="2015-06-25T05:00:00"/>
    <x v="5"/>
    <x v="0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0.33692229038854804"/>
    <x v="0"/>
    <n v="1220"/>
    <s v="AU"/>
    <s v="AUD"/>
    <d v="2015-07-27T05:00:00"/>
    <x v="8"/>
    <x v="0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.9672368421052631"/>
    <x v="1"/>
    <n v="164"/>
    <s v="US"/>
    <s v="USD"/>
    <d v="2014-11-25T06:00:00"/>
    <x v="0"/>
    <x v="1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0.01"/>
    <x v="0"/>
    <n v="1"/>
    <s v="US"/>
    <s v="USD"/>
    <d v="2011-10-19T05:00:00"/>
    <x v="4"/>
    <x v="8"/>
    <d v="2011-11-06T05:00:00"/>
    <b v="0"/>
    <b v="0"/>
    <s v="theater/plays"/>
    <x v="3"/>
    <s v="plays"/>
  </r>
  <r>
    <n v="101"/>
    <s v="Douglas LLC"/>
    <s v="Reduced heuristic moratorium"/>
    <n v="900"/>
    <n v="9193"/>
    <n v="10.214444444444444"/>
    <x v="1"/>
    <n v="164"/>
    <s v="US"/>
    <s v="USD"/>
    <d v="2015-02-21T06:00:00"/>
    <x v="10"/>
    <x v="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.8167567567567566"/>
    <x v="1"/>
    <n v="336"/>
    <s v="US"/>
    <s v="USD"/>
    <d v="2018-05-14T05:00:00"/>
    <x v="11"/>
    <x v="9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0.24610000000000001"/>
    <x v="0"/>
    <n v="37"/>
    <s v="IT"/>
    <s v="EUR"/>
    <d v="2010-10-24T05:00:00"/>
    <x v="4"/>
    <x v="6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.4314010067114094"/>
    <x v="1"/>
    <n v="1917"/>
    <s v="US"/>
    <s v="USD"/>
    <d v="2017-05-23T05:00:00"/>
    <x v="11"/>
    <x v="5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.4454411764705883"/>
    <x v="1"/>
    <n v="95"/>
    <s v="US"/>
    <s v="USD"/>
    <d v="2013-04-02T05:00:00"/>
    <x v="9"/>
    <x v="2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.5912820512820511"/>
    <x v="1"/>
    <n v="147"/>
    <s v="US"/>
    <s v="USD"/>
    <d v="2019-09-08T05:00:00"/>
    <x v="3"/>
    <x v="3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.8648571428571428"/>
    <x v="1"/>
    <n v="86"/>
    <s v="US"/>
    <s v="USD"/>
    <d v="2018-04-23T05:00:00"/>
    <x v="9"/>
    <x v="9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.9526666666666666"/>
    <x v="1"/>
    <n v="83"/>
    <s v="US"/>
    <s v="USD"/>
    <d v="2012-04-06T05:00:00"/>
    <x v="9"/>
    <x v="4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0.5921153846153846"/>
    <x v="0"/>
    <n v="60"/>
    <s v="US"/>
    <s v="USD"/>
    <d v="2014-01-12T06:00:00"/>
    <x v="2"/>
    <x v="1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0.14962780898876404"/>
    <x v="0"/>
    <n v="296"/>
    <s v="US"/>
    <s v="USD"/>
    <d v="2018-09-11T05:00:00"/>
    <x v="3"/>
    <x v="9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.1995602605863191"/>
    <x v="1"/>
    <n v="676"/>
    <s v="US"/>
    <s v="USD"/>
    <d v="2012-09-22T05:00:00"/>
    <x v="3"/>
    <x v="4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.6882978723404256"/>
    <x v="1"/>
    <n v="361"/>
    <s v="AU"/>
    <s v="AUD"/>
    <d v="2014-08-24T05:00:00"/>
    <x v="1"/>
    <x v="1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.7687878787878786"/>
    <x v="1"/>
    <n v="131"/>
    <s v="US"/>
    <s v="USD"/>
    <d v="2017-09-12T05:00:00"/>
    <x v="3"/>
    <x v="5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.2715789473684209"/>
    <x v="1"/>
    <n v="126"/>
    <s v="US"/>
    <s v="USD"/>
    <d v="2019-04-09T05:00:00"/>
    <x v="9"/>
    <x v="3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0.87211757648470301"/>
    <x v="0"/>
    <n v="3304"/>
    <s v="IT"/>
    <s v="EUR"/>
    <d v="2017-11-17T06:00:00"/>
    <x v="0"/>
    <x v="5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0.88"/>
    <x v="0"/>
    <n v="73"/>
    <s v="US"/>
    <s v="USD"/>
    <d v="2015-09-18T05:00:00"/>
    <x v="3"/>
    <x v="0"/>
    <d v="2015-09-19T05:00:00"/>
    <b v="0"/>
    <b v="0"/>
    <s v="theater/plays"/>
    <x v="3"/>
    <s v="plays"/>
  </r>
  <r>
    <n v="117"/>
    <s v="Chaney-Dennis"/>
    <s v="Business-focused 24hour groupware"/>
    <n v="4900"/>
    <n v="8523"/>
    <n v="1.7393877551020409"/>
    <x v="1"/>
    <n v="275"/>
    <s v="US"/>
    <s v="USD"/>
    <d v="2011-09-22T05:00:00"/>
    <x v="3"/>
    <x v="8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.1761111111111111"/>
    <x v="1"/>
    <n v="67"/>
    <s v="US"/>
    <s v="USD"/>
    <d v="2014-01-26T06:00:00"/>
    <x v="2"/>
    <x v="1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.1496"/>
    <x v="1"/>
    <n v="154"/>
    <s v="US"/>
    <s v="USD"/>
    <d v="2014-06-16T05:00:00"/>
    <x v="5"/>
    <x v="1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.4949667110519307"/>
    <x v="1"/>
    <n v="1782"/>
    <s v="US"/>
    <s v="USD"/>
    <d v="2015-04-17T05:00:00"/>
    <x v="9"/>
    <x v="0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.1933995584988963"/>
    <x v="1"/>
    <n v="903"/>
    <s v="US"/>
    <s v="USD"/>
    <d v="2014-10-05T05:00:00"/>
    <x v="4"/>
    <x v="1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0.64367690058479532"/>
    <x v="0"/>
    <n v="3387"/>
    <s v="US"/>
    <s v="USD"/>
    <d v="2014-11-27T06:00:00"/>
    <x v="0"/>
    <x v="1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0.18622397298818233"/>
    <x v="0"/>
    <n v="662"/>
    <s v="CA"/>
    <s v="CAD"/>
    <d v="2015-11-24T06:00:00"/>
    <x v="0"/>
    <x v="0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.6776923076923076"/>
    <x v="1"/>
    <n v="94"/>
    <s v="IT"/>
    <s v="EUR"/>
    <d v="2019-05-13T05:00:00"/>
    <x v="11"/>
    <x v="3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.5990566037735849"/>
    <x v="1"/>
    <n v="180"/>
    <s v="US"/>
    <s v="USD"/>
    <d v="2018-09-19T05:00:00"/>
    <x v="3"/>
    <x v="9"/>
    <d v="2018-09-23T05:00:00"/>
    <b v="0"/>
    <b v="0"/>
    <s v="theater/plays"/>
    <x v="3"/>
    <s v="plays"/>
  </r>
  <r>
    <n v="126"/>
    <s v="Gross PLC"/>
    <s v="Proactive methodical benchmark"/>
    <n v="180200"/>
    <n v="69617"/>
    <n v="0.38633185349611543"/>
    <x v="0"/>
    <n v="774"/>
    <s v="US"/>
    <s v="USD"/>
    <d v="2016-08-14T05:00:00"/>
    <x v="1"/>
    <x v="7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0.51421511627906979"/>
    <x v="0"/>
    <n v="672"/>
    <s v="CA"/>
    <s v="CAD"/>
    <d v="2010-05-12T05:00:00"/>
    <x v="11"/>
    <x v="6"/>
    <d v="2010-05-15T05:00:00"/>
    <b v="0"/>
    <b v="0"/>
    <s v="theater/plays"/>
    <x v="3"/>
    <s v="plays"/>
  </r>
  <r>
    <n v="128"/>
    <s v="Allen-Curtis"/>
    <s v="Phased human-resource core"/>
    <n v="70600"/>
    <n v="42596"/>
    <n v="0.60334277620396604"/>
    <x v="3"/>
    <n v="532"/>
    <s v="US"/>
    <s v="USD"/>
    <d v="2010-08-27T05:00:00"/>
    <x v="1"/>
    <x v="6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29E-2"/>
    <x v="3"/>
    <n v="55"/>
    <s v="AU"/>
    <s v="AUD"/>
    <d v="2015-02-03T06:00:00"/>
    <x v="10"/>
    <x v="0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.5546875"/>
    <x v="1"/>
    <n v="533"/>
    <s v="DK"/>
    <s v="DKK"/>
    <d v="2011-10-26T05:00:00"/>
    <x v="4"/>
    <x v="8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.0085974499089254"/>
    <x v="1"/>
    <n v="2443"/>
    <s v="GB"/>
    <s v="GBP"/>
    <d v="2013-11-29T06:00:00"/>
    <x v="0"/>
    <x v="2"/>
    <d v="2013-12-12T06:00:00"/>
    <b v="0"/>
    <b v="0"/>
    <s v="technology/web"/>
    <x v="2"/>
    <s v="web"/>
  </r>
  <r>
    <n v="132"/>
    <s v="Flowers and Sons"/>
    <s v="Virtual static core"/>
    <n v="3300"/>
    <n v="3834"/>
    <n v="1.1618181818181819"/>
    <x v="1"/>
    <n v="89"/>
    <s v="US"/>
    <s v="USD"/>
    <d v="2018-01-12T06:00:00"/>
    <x v="2"/>
    <x v="9"/>
    <d v="2018-01-28T06:00:00"/>
    <b v="0"/>
    <b v="1"/>
    <s v="theater/plays"/>
    <x v="3"/>
    <s v="plays"/>
  </r>
  <r>
    <n v="133"/>
    <s v="Gates PLC"/>
    <s v="Secured content-based product"/>
    <n v="4500"/>
    <n v="13985"/>
    <n v="3.1077777777777778"/>
    <x v="1"/>
    <n v="159"/>
    <s v="US"/>
    <s v="USD"/>
    <d v="2011-08-12T05:00:00"/>
    <x v="1"/>
    <x v="8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0.89736683417085428"/>
    <x v="0"/>
    <n v="940"/>
    <s v="CH"/>
    <s v="CHF"/>
    <d v="2011-06-19T05:00:00"/>
    <x v="5"/>
    <x v="8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0.71272727272727276"/>
    <x v="0"/>
    <n v="117"/>
    <s v="US"/>
    <s v="USD"/>
    <d v="2013-03-07T06:00:00"/>
    <x v="6"/>
    <x v="2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1E-2"/>
    <x v="3"/>
    <n v="58"/>
    <s v="US"/>
    <s v="USD"/>
    <d v="2014-06-07T05:00:00"/>
    <x v="5"/>
    <x v="1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.617777777777778"/>
    <x v="1"/>
    <n v="50"/>
    <s v="US"/>
    <s v="USD"/>
    <d v="2010-10-06T05:00:00"/>
    <x v="4"/>
    <x v="6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0.96"/>
    <x v="0"/>
    <n v="115"/>
    <s v="US"/>
    <s v="USD"/>
    <d v="2012-09-28T05:00:00"/>
    <x v="3"/>
    <x v="4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0.20896851248642778"/>
    <x v="0"/>
    <n v="326"/>
    <s v="US"/>
    <s v="USD"/>
    <d v="2015-04-21T05:00:00"/>
    <x v="9"/>
    <x v="0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.2316363636363636"/>
    <x v="1"/>
    <n v="186"/>
    <s v="US"/>
    <s v="USD"/>
    <d v="2018-02-25T06:00:00"/>
    <x v="10"/>
    <x v="9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.0159097978227061"/>
    <x v="1"/>
    <n v="1071"/>
    <s v="US"/>
    <s v="USD"/>
    <d v="2015-06-12T05:00:00"/>
    <x v="5"/>
    <x v="0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.3003999999999998"/>
    <x v="1"/>
    <n v="117"/>
    <s v="US"/>
    <s v="USD"/>
    <d v="2012-04-06T05:00:00"/>
    <x v="9"/>
    <x v="4"/>
    <d v="2012-05-17T05:00:00"/>
    <b v="0"/>
    <b v="0"/>
    <s v="technology/web"/>
    <x v="2"/>
    <s v="web"/>
  </r>
  <r>
    <n v="143"/>
    <s v="Avila-Jones"/>
    <s v="Implemented discrete secured line"/>
    <n v="5400"/>
    <n v="7322"/>
    <n v="1.355925925925926"/>
    <x v="1"/>
    <n v="70"/>
    <s v="US"/>
    <s v="USD"/>
    <d v="2010-06-28T05:00:00"/>
    <x v="5"/>
    <x v="6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.2909999999999999"/>
    <x v="1"/>
    <n v="135"/>
    <s v="US"/>
    <s v="USD"/>
    <d v="2019-06-17T05:00:00"/>
    <x v="5"/>
    <x v="3"/>
    <d v="2019-06-25T05:00:00"/>
    <b v="0"/>
    <b v="0"/>
    <s v="theater/plays"/>
    <x v="3"/>
    <s v="plays"/>
  </r>
  <r>
    <n v="145"/>
    <s v="Fields-Moore"/>
    <s v="Secured reciprocal array"/>
    <n v="25000"/>
    <n v="59128"/>
    <n v="2.3651200000000001"/>
    <x v="1"/>
    <n v="768"/>
    <s v="CH"/>
    <s v="CHF"/>
    <d v="2014-09-07T05:00:00"/>
    <x v="3"/>
    <x v="1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0.17249999999999999"/>
    <x v="3"/>
    <n v="51"/>
    <s v="US"/>
    <s v="USD"/>
    <d v="2011-11-08T06:00:00"/>
    <x v="0"/>
    <x v="8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.1249397590361445"/>
    <x v="1"/>
    <n v="199"/>
    <s v="US"/>
    <s v="USD"/>
    <d v="2016-06-13T05:00:00"/>
    <x v="5"/>
    <x v="7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.2102150537634409"/>
    <x v="1"/>
    <n v="107"/>
    <s v="US"/>
    <s v="USD"/>
    <d v="2017-07-25T05:00:00"/>
    <x v="8"/>
    <x v="5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.1987096774193549"/>
    <x v="1"/>
    <n v="195"/>
    <s v="US"/>
    <s v="USD"/>
    <d v="2013-01-01T06:00:00"/>
    <x v="2"/>
    <x v="2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0.01"/>
    <x v="0"/>
    <n v="1"/>
    <s v="US"/>
    <s v="USD"/>
    <d v="2018-12-16T06:00:00"/>
    <x v="7"/>
    <x v="9"/>
    <d v="2018-12-17T06:00:00"/>
    <b v="0"/>
    <b v="0"/>
    <s v="music/rock"/>
    <x v="1"/>
    <s v="rock"/>
  </r>
  <r>
    <n v="151"/>
    <s v="Parker LLC"/>
    <s v="Customizable intermediate extranet"/>
    <n v="137200"/>
    <n v="88037"/>
    <n v="0.64166909620991253"/>
    <x v="0"/>
    <n v="1467"/>
    <s v="US"/>
    <s v="USD"/>
    <d v="2014-06-09T05:00:00"/>
    <x v="5"/>
    <x v="1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.2306746987951804"/>
    <x v="1"/>
    <n v="3376"/>
    <s v="US"/>
    <s v="USD"/>
    <d v="2017-02-17T06:00:00"/>
    <x v="10"/>
    <x v="5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0.92984160506863778"/>
    <x v="0"/>
    <n v="5681"/>
    <s v="US"/>
    <s v="USD"/>
    <d v="2012-10-19T05:00:00"/>
    <x v="4"/>
    <x v="4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0.58756567425569173"/>
    <x v="0"/>
    <n v="1059"/>
    <s v="US"/>
    <s v="USD"/>
    <d v="2016-05-12T05:00:00"/>
    <x v="11"/>
    <x v="7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0.65022222222222226"/>
    <x v="0"/>
    <n v="1194"/>
    <s v="US"/>
    <s v="USD"/>
    <d v="2010-03-25T05:00:00"/>
    <x v="6"/>
    <x v="6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0.73939560439560437"/>
    <x v="3"/>
    <n v="379"/>
    <s v="AU"/>
    <s v="AUD"/>
    <d v="2019-10-05T05:00:00"/>
    <x v="4"/>
    <x v="3"/>
    <d v="2019-10-29T05:00:00"/>
    <b v="0"/>
    <b v="0"/>
    <s v="music/rock"/>
    <x v="1"/>
    <s v="rock"/>
  </r>
  <r>
    <n v="157"/>
    <s v="Curtis-Curtis"/>
    <s v="User-friendly reciprocal initiative"/>
    <n v="4200"/>
    <n v="2212"/>
    <n v="0.52666666666666662"/>
    <x v="0"/>
    <n v="30"/>
    <s v="AU"/>
    <s v="AUD"/>
    <d v="2013-12-30T06:00:00"/>
    <x v="7"/>
    <x v="2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.2095238095238097"/>
    <x v="1"/>
    <n v="41"/>
    <s v="US"/>
    <s v="USD"/>
    <d v="2015-12-08T06:00:00"/>
    <x v="7"/>
    <x v="0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.0001150627615063"/>
    <x v="1"/>
    <n v="1821"/>
    <s v="US"/>
    <s v="USD"/>
    <d v="2019-03-27T05:00:00"/>
    <x v="6"/>
    <x v="3"/>
    <d v="2019-04-14T05:00:00"/>
    <b v="0"/>
    <b v="1"/>
    <s v="theater/plays"/>
    <x v="3"/>
    <s v="plays"/>
  </r>
  <r>
    <n v="160"/>
    <s v="Evans Group"/>
    <s v="Stand-alone actuating support"/>
    <n v="8000"/>
    <n v="12985"/>
    <n v="1.6231249999999999"/>
    <x v="1"/>
    <n v="164"/>
    <s v="US"/>
    <s v="USD"/>
    <d v="2019-04-27T05:00:00"/>
    <x v="9"/>
    <x v="3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0.78181818181818186"/>
    <x v="0"/>
    <n v="75"/>
    <s v="US"/>
    <s v="USD"/>
    <d v="2015-09-23T05:00:00"/>
    <x v="3"/>
    <x v="0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.4973770491803278"/>
    <x v="1"/>
    <n v="157"/>
    <s v="CH"/>
    <s v="CHF"/>
    <d v="2018-12-08T06:00:00"/>
    <x v="7"/>
    <x v="9"/>
    <d v="2019-01-07T06:00:00"/>
    <b v="0"/>
    <b v="0"/>
    <s v="music/rock"/>
    <x v="1"/>
    <s v="rock"/>
  </r>
  <r>
    <n v="163"/>
    <s v="Burton-Watkins"/>
    <s v="Extended reciprocal circuit"/>
    <n v="3500"/>
    <n v="8864"/>
    <n v="2.5325714285714285"/>
    <x v="1"/>
    <n v="246"/>
    <s v="US"/>
    <s v="USD"/>
    <d v="2017-10-20T05:00:00"/>
    <x v="4"/>
    <x v="5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.0016943521594683"/>
    <x v="1"/>
    <n v="1396"/>
    <s v="US"/>
    <s v="USD"/>
    <d v="2017-10-08T05:00:00"/>
    <x v="4"/>
    <x v="5"/>
    <d v="2017-10-09T05:00:00"/>
    <b v="0"/>
    <b v="0"/>
    <s v="theater/plays"/>
    <x v="3"/>
    <s v="plays"/>
  </r>
  <r>
    <n v="165"/>
    <s v="Cordova Ltd"/>
    <s v="Synergized radical product"/>
    <n v="90400"/>
    <n v="110279"/>
    <n v="1.2199004424778761"/>
    <x v="1"/>
    <n v="2506"/>
    <s v="US"/>
    <s v="USD"/>
    <d v="2017-08-01T05:00:00"/>
    <x v="1"/>
    <x v="5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.3713265306122449"/>
    <x v="1"/>
    <n v="244"/>
    <s v="US"/>
    <s v="USD"/>
    <d v="2010-12-22T06:00:00"/>
    <x v="7"/>
    <x v="6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.155384615384615"/>
    <x v="1"/>
    <n v="146"/>
    <s v="AU"/>
    <s v="AUD"/>
    <d v="2013-06-10T05:00:00"/>
    <x v="5"/>
    <x v="2"/>
    <d v="2013-06-20T05:00:00"/>
    <b v="0"/>
    <b v="0"/>
    <s v="theater/plays"/>
    <x v="3"/>
    <s v="plays"/>
  </r>
  <r>
    <n v="168"/>
    <s v="Hernandez Group"/>
    <s v="Ergonomic uniform open system"/>
    <n v="128100"/>
    <n v="40107"/>
    <n v="0.3130913348946136"/>
    <x v="0"/>
    <n v="955"/>
    <s v="DK"/>
    <s v="DKK"/>
    <d v="2019-02-22T06:00:00"/>
    <x v="10"/>
    <x v="3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.240815450643777"/>
    <x v="1"/>
    <n v="1267"/>
    <s v="US"/>
    <s v="USD"/>
    <d v="2012-06-17T05:00:00"/>
    <x v="5"/>
    <x v="4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599E-2"/>
    <x v="0"/>
    <n v="67"/>
    <s v="US"/>
    <s v="USD"/>
    <d v="2017-08-03T05:00:00"/>
    <x v="1"/>
    <x v="5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0.1063265306122449"/>
    <x v="0"/>
    <n v="5"/>
    <s v="US"/>
    <s v="USD"/>
    <d v="2014-03-20T05:00:00"/>
    <x v="6"/>
    <x v="1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0.82874999999999999"/>
    <x v="0"/>
    <n v="26"/>
    <s v="US"/>
    <s v="USD"/>
    <d v="2014-07-19T05:00:00"/>
    <x v="8"/>
    <x v="1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.6301447776628748"/>
    <x v="1"/>
    <n v="1561"/>
    <s v="US"/>
    <s v="USD"/>
    <d v="2013-05-18T05:00:00"/>
    <x v="11"/>
    <x v="2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.9466666666666672"/>
    <x v="1"/>
    <n v="48"/>
    <s v="US"/>
    <s v="USD"/>
    <d v="2015-10-05T05:00:00"/>
    <x v="4"/>
    <x v="0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0.26191501103752757"/>
    <x v="0"/>
    <n v="1130"/>
    <s v="US"/>
    <s v="USD"/>
    <d v="2016-08-31T05:00:00"/>
    <x v="1"/>
    <x v="7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0.74834782608695649"/>
    <x v="0"/>
    <n v="782"/>
    <s v="US"/>
    <s v="USD"/>
    <d v="2016-09-03T05:00:00"/>
    <x v="3"/>
    <x v="7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.1647680412371137"/>
    <x v="1"/>
    <n v="2739"/>
    <s v="US"/>
    <s v="USD"/>
    <d v="2010-11-15T06:00:00"/>
    <x v="0"/>
    <x v="6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0.96208333333333329"/>
    <x v="0"/>
    <n v="210"/>
    <s v="US"/>
    <s v="USD"/>
    <d v="2017-09-21T05:00:00"/>
    <x v="3"/>
    <x v="5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.5771910112359548"/>
    <x v="1"/>
    <n v="3537"/>
    <s v="CA"/>
    <s v="CAD"/>
    <d v="2013-03-17T05:00:00"/>
    <x v="6"/>
    <x v="2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.0845714285714285"/>
    <x v="1"/>
    <n v="2107"/>
    <s v="AU"/>
    <s v="AUD"/>
    <d v="2010-03-22T05:00:00"/>
    <x v="6"/>
    <x v="6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0.61802325581395345"/>
    <x v="0"/>
    <n v="136"/>
    <s v="US"/>
    <s v="USD"/>
    <d v="2017-10-04T05:00:00"/>
    <x v="4"/>
    <x v="5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.2232472324723247"/>
    <x v="1"/>
    <n v="3318"/>
    <s v="DK"/>
    <s v="DKK"/>
    <d v="2019-06-15T05:00:00"/>
    <x v="5"/>
    <x v="3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0.69117647058823528"/>
    <x v="0"/>
    <n v="86"/>
    <s v="CA"/>
    <s v="CAD"/>
    <d v="2010-09-09T05:00:00"/>
    <x v="3"/>
    <x v="6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.9305555555555554"/>
    <x v="1"/>
    <n v="340"/>
    <s v="US"/>
    <s v="USD"/>
    <d v="2019-05-03T05:00:00"/>
    <x v="11"/>
    <x v="3"/>
    <d v="2019-05-04T05:00:00"/>
    <b v="0"/>
    <b v="0"/>
    <s v="theater/plays"/>
    <x v="3"/>
    <s v="plays"/>
  </r>
  <r>
    <n v="185"/>
    <s v="Bailey PLC"/>
    <s v="Innovative actuating conglomeration"/>
    <n v="1000"/>
    <n v="718"/>
    <n v="0.71799999999999997"/>
    <x v="0"/>
    <n v="19"/>
    <s v="US"/>
    <s v="USD"/>
    <d v="2018-05-13T05:00:00"/>
    <x v="11"/>
    <x v="9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0.31934684684684683"/>
    <x v="0"/>
    <n v="886"/>
    <s v="US"/>
    <s v="USD"/>
    <d v="2014-05-23T05:00:00"/>
    <x v="11"/>
    <x v="1"/>
    <d v="2014-06-07T05:00:00"/>
    <b v="0"/>
    <b v="0"/>
    <s v="theater/plays"/>
    <x v="3"/>
    <s v="plays"/>
  </r>
  <r>
    <n v="187"/>
    <s v="Fox Group"/>
    <s v="Horizontal transitional paradigm"/>
    <n v="60200"/>
    <n v="138384"/>
    <n v="2.2987375415282392"/>
    <x v="1"/>
    <n v="1442"/>
    <s v="CA"/>
    <s v="CAD"/>
    <d v="2013-02-23T06:00:00"/>
    <x v="10"/>
    <x v="2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0.3201219512195122"/>
    <x v="0"/>
    <n v="35"/>
    <s v="IT"/>
    <s v="EUR"/>
    <d v="2014-12-02T06:00:00"/>
    <x v="7"/>
    <x v="1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0.23525352848928385"/>
    <x v="3"/>
    <n v="441"/>
    <s v="US"/>
    <s v="USD"/>
    <d v="2016-03-04T06:00:00"/>
    <x v="6"/>
    <x v="7"/>
    <d v="2016-03-04T06:00:00"/>
    <b v="0"/>
    <b v="0"/>
    <s v="theater/plays"/>
    <x v="3"/>
    <s v="plays"/>
  </r>
  <r>
    <n v="190"/>
    <s v="Cook LLC"/>
    <s v="Up-sized dynamic throughput"/>
    <n v="3700"/>
    <n v="2538"/>
    <n v="0.68594594594594593"/>
    <x v="0"/>
    <n v="24"/>
    <s v="US"/>
    <s v="USD"/>
    <d v="2013-06-04T05:00:00"/>
    <x v="5"/>
    <x v="2"/>
    <d v="2013-06-05T05:00:00"/>
    <b v="0"/>
    <b v="1"/>
    <s v="theater/plays"/>
    <x v="3"/>
    <s v="plays"/>
  </r>
  <r>
    <n v="191"/>
    <s v="Sutton PLC"/>
    <s v="Mandatory reciprocal superstructure"/>
    <n v="8400"/>
    <n v="3188"/>
    <n v="0.37952380952380954"/>
    <x v="0"/>
    <n v="86"/>
    <s v="IT"/>
    <s v="EUR"/>
    <d v="2019-03-12T05:00:00"/>
    <x v="6"/>
    <x v="3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0.19992957746478873"/>
    <x v="0"/>
    <n v="243"/>
    <s v="US"/>
    <s v="USD"/>
    <d v="2014-06-27T05:00:00"/>
    <x v="5"/>
    <x v="1"/>
    <d v="2014-07-01T05:00:00"/>
    <b v="0"/>
    <b v="0"/>
    <s v="music/rock"/>
    <x v="1"/>
    <s v="rock"/>
  </r>
  <r>
    <n v="193"/>
    <s v="Calhoun, Rogers and Long"/>
    <s v="Progressive discrete hub"/>
    <n v="6600"/>
    <n v="3012"/>
    <n v="0.45636363636363636"/>
    <x v="0"/>
    <n v="65"/>
    <s v="US"/>
    <s v="USD"/>
    <d v="2018-04-08T05:00:00"/>
    <x v="9"/>
    <x v="9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.227605633802817"/>
    <x v="1"/>
    <n v="126"/>
    <s v="US"/>
    <s v="USD"/>
    <d v="2015-09-14T05:00:00"/>
    <x v="3"/>
    <x v="0"/>
    <d v="2015-09-30T05:00:00"/>
    <b v="0"/>
    <b v="0"/>
    <s v="music/metal"/>
    <x v="1"/>
    <s v="metal"/>
  </r>
  <r>
    <n v="195"/>
    <s v="Smith and Sons"/>
    <s v="Upgradable high-level solution"/>
    <n v="15800"/>
    <n v="57157"/>
    <n v="3.61753164556962"/>
    <x v="1"/>
    <n v="524"/>
    <s v="US"/>
    <s v="USD"/>
    <d v="2018-07-29T05:00:00"/>
    <x v="8"/>
    <x v="9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0.63146341463414635"/>
    <x v="0"/>
    <n v="100"/>
    <s v="DK"/>
    <s v="DKK"/>
    <d v="2016-09-03T05:00:00"/>
    <x v="3"/>
    <x v="7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.9820475319926874"/>
    <x v="1"/>
    <n v="1989"/>
    <s v="US"/>
    <s v="USD"/>
    <d v="2017-06-23T05:00:00"/>
    <x v="5"/>
    <x v="5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5E-2"/>
    <x v="0"/>
    <n v="168"/>
    <s v="US"/>
    <s v="USD"/>
    <d v="2010-08-06T05:00:00"/>
    <x v="1"/>
    <x v="6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0.5377777777777778"/>
    <x v="0"/>
    <n v="13"/>
    <s v="US"/>
    <s v="USD"/>
    <d v="2015-07-07T05:00:00"/>
    <x v="8"/>
    <x v="0"/>
    <d v="2015-07-11T05:00:00"/>
    <b v="0"/>
    <b v="0"/>
    <s v="music/rock"/>
    <x v="1"/>
    <s v="rock"/>
  </r>
  <r>
    <n v="200"/>
    <s v="Becker, Rice and White"/>
    <s v="Reduced dedicated capability"/>
    <n v="100"/>
    <n v="2"/>
    <n v="0.02"/>
    <x v="0"/>
    <n v="1"/>
    <s v="CA"/>
    <s v="CAD"/>
    <d v="2010-03-25T05:00:00"/>
    <x v="6"/>
    <x v="6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.8119047619047617"/>
    <x v="1"/>
    <n v="157"/>
    <s v="US"/>
    <s v="USD"/>
    <d v="2014-07-25T05:00:00"/>
    <x v="8"/>
    <x v="1"/>
    <d v="2014-08-12T05:00:00"/>
    <b v="0"/>
    <b v="0"/>
    <s v="technology/web"/>
    <x v="2"/>
    <s v="web"/>
  </r>
  <r>
    <n v="202"/>
    <s v="Mcknight-Freeman"/>
    <s v="Upgradable scalable methodology"/>
    <n v="8300"/>
    <n v="6543"/>
    <n v="0.78831325301204824"/>
    <x v="3"/>
    <n v="82"/>
    <s v="US"/>
    <s v="USD"/>
    <d v="2011-10-02T05:00:00"/>
    <x v="4"/>
    <x v="8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.3440792216817234"/>
    <x v="1"/>
    <n v="4498"/>
    <s v="AU"/>
    <s v="AUD"/>
    <d v="2017-01-17T06:00:00"/>
    <x v="2"/>
    <x v="5"/>
    <d v="2017-01-19T06:00:00"/>
    <b v="0"/>
    <b v="0"/>
    <s v="theater/plays"/>
    <x v="3"/>
    <s v="plays"/>
  </r>
  <r>
    <n v="204"/>
    <s v="Daniel-Luna"/>
    <s v="Mandatory multimedia leverage"/>
    <n v="75000"/>
    <n v="2529"/>
    <n v="3.372E-2"/>
    <x v="0"/>
    <n v="40"/>
    <s v="US"/>
    <s v="USD"/>
    <d v="2011-04-03T05:00:00"/>
    <x v="9"/>
    <x v="8"/>
    <d v="2011-04-13T05:00:00"/>
    <b v="0"/>
    <b v="0"/>
    <s v="music/jazz"/>
    <x v="1"/>
    <s v="jazz"/>
  </r>
  <r>
    <n v="205"/>
    <s v="Weaver-Marquez"/>
    <s v="Focused analyzing circuit"/>
    <n v="1300"/>
    <n v="5614"/>
    <n v="4.3184615384615386"/>
    <x v="1"/>
    <n v="80"/>
    <s v="US"/>
    <s v="USD"/>
    <d v="2018-10-17T05:00:00"/>
    <x v="4"/>
    <x v="9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0.38844444444444443"/>
    <x v="3"/>
    <n v="57"/>
    <s v="US"/>
    <s v="USD"/>
    <d v="2010-02-27T06:00:00"/>
    <x v="10"/>
    <x v="6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.2569999999999997"/>
    <x v="1"/>
    <n v="43"/>
    <s v="US"/>
    <s v="USD"/>
    <d v="2018-08-28T05:00:00"/>
    <x v="1"/>
    <x v="9"/>
    <d v="2018-09-17T05:00:00"/>
    <b v="0"/>
    <b v="1"/>
    <s v="music/rock"/>
    <x v="1"/>
    <s v="rock"/>
  </r>
  <r>
    <n v="208"/>
    <s v="Jackson Inc"/>
    <s v="Mandatory multi-tasking encryption"/>
    <n v="196900"/>
    <n v="199110"/>
    <n v="1.0112239715591671"/>
    <x v="1"/>
    <n v="2053"/>
    <s v="US"/>
    <s v="USD"/>
    <d v="2017-11-09T06:00:00"/>
    <x v="0"/>
    <x v="5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0.21188688946015424"/>
    <x v="2"/>
    <n v="808"/>
    <s v="AU"/>
    <s v="AUD"/>
    <d v="2016-05-06T05:00:00"/>
    <x v="11"/>
    <x v="7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0.67425531914893622"/>
    <x v="0"/>
    <n v="226"/>
    <s v="DK"/>
    <s v="DKK"/>
    <d v="2017-03-03T06:00:00"/>
    <x v="6"/>
    <x v="5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0.9492337164750958"/>
    <x v="0"/>
    <n v="1625"/>
    <s v="US"/>
    <s v="USD"/>
    <d v="2013-08-27T05:00:00"/>
    <x v="1"/>
    <x v="2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.5185185185185186"/>
    <x v="1"/>
    <n v="168"/>
    <s v="US"/>
    <s v="USD"/>
    <d v="2019-12-15T06:00:00"/>
    <x v="7"/>
    <x v="3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.9516382252559727"/>
    <x v="1"/>
    <n v="4289"/>
    <s v="US"/>
    <s v="USD"/>
    <d v="2010-11-06T05:00:00"/>
    <x v="0"/>
    <x v="6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.231428571428571"/>
    <x v="1"/>
    <n v="165"/>
    <s v="US"/>
    <s v="USD"/>
    <d v="2010-08-19T05:00:00"/>
    <x v="1"/>
    <x v="6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78E-2"/>
    <x v="0"/>
    <n v="143"/>
    <s v="US"/>
    <s v="USD"/>
    <d v="2019-02-13T06:00:00"/>
    <x v="10"/>
    <x v="3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.5507066557107643"/>
    <x v="1"/>
    <n v="1815"/>
    <s v="US"/>
    <s v="USD"/>
    <d v="2011-11-22T06:00:00"/>
    <x v="0"/>
    <x v="8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0.44753477588871715"/>
    <x v="0"/>
    <n v="934"/>
    <s v="US"/>
    <s v="USD"/>
    <d v="2019-04-28T05:00:00"/>
    <x v="9"/>
    <x v="3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.1594736842105262"/>
    <x v="1"/>
    <n v="397"/>
    <s v="GB"/>
    <s v="GBP"/>
    <d v="2011-11-11T06:00:00"/>
    <x v="0"/>
    <x v="8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.3212709832134291"/>
    <x v="1"/>
    <n v="1539"/>
    <s v="US"/>
    <s v="USD"/>
    <d v="2012-08-16T05:00:00"/>
    <x v="1"/>
    <x v="4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1E-2"/>
    <x v="0"/>
    <n v="17"/>
    <s v="US"/>
    <s v="USD"/>
    <d v="2011-07-01T05:00:00"/>
    <x v="8"/>
    <x v="8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0.9862551440329218"/>
    <x v="0"/>
    <n v="2179"/>
    <s v="US"/>
    <s v="USD"/>
    <d v="2012-06-21T05:00:00"/>
    <x v="5"/>
    <x v="4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.3797916666666667"/>
    <x v="1"/>
    <n v="138"/>
    <s v="US"/>
    <s v="USD"/>
    <d v="2014-10-02T05:00:00"/>
    <x v="4"/>
    <x v="1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0.93810996563573879"/>
    <x v="0"/>
    <n v="931"/>
    <s v="US"/>
    <s v="USD"/>
    <d v="2016-03-16T05:00:00"/>
    <x v="6"/>
    <x v="7"/>
    <d v="2016-03-30T05:00:00"/>
    <b v="0"/>
    <b v="0"/>
    <s v="theater/plays"/>
    <x v="3"/>
    <s v="plays"/>
  </r>
  <r>
    <n v="224"/>
    <s v="Lester-Moore"/>
    <s v="Diverse analyzing definition"/>
    <n v="46300"/>
    <n v="186885"/>
    <n v="4.0363930885529156"/>
    <x v="1"/>
    <n v="3594"/>
    <s v="US"/>
    <s v="USD"/>
    <d v="2014-09-24T05:00:00"/>
    <x v="3"/>
    <x v="1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.6017404129793511"/>
    <x v="1"/>
    <n v="5880"/>
    <s v="US"/>
    <s v="USD"/>
    <d v="2014-05-03T05:00:00"/>
    <x v="11"/>
    <x v="1"/>
    <d v="2014-05-03T05:00:00"/>
    <b v="1"/>
    <b v="0"/>
    <s v="music/rock"/>
    <x v="1"/>
    <s v="rock"/>
  </r>
  <r>
    <n v="226"/>
    <s v="Garcia Inc"/>
    <s v="Progressive neutral middleware"/>
    <n v="3000"/>
    <n v="10999"/>
    <n v="3.6663333333333332"/>
    <x v="1"/>
    <n v="112"/>
    <s v="US"/>
    <s v="USD"/>
    <d v="2010-04-08T05:00:00"/>
    <x v="9"/>
    <x v="6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.687208538587849"/>
    <x v="1"/>
    <n v="943"/>
    <s v="US"/>
    <s v="USD"/>
    <d v="2015-05-15T05:00:00"/>
    <x v="11"/>
    <x v="0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.1990717911530093"/>
    <x v="1"/>
    <n v="2468"/>
    <s v="US"/>
    <s v="USD"/>
    <d v="2016-08-31T05:00:00"/>
    <x v="1"/>
    <x v="7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.936892523364486"/>
    <x v="1"/>
    <n v="2551"/>
    <s v="US"/>
    <s v="USD"/>
    <d v="2017-06-01T05:00:00"/>
    <x v="5"/>
    <x v="5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.2016666666666671"/>
    <x v="1"/>
    <n v="101"/>
    <s v="US"/>
    <s v="USD"/>
    <d v="2019-12-06T06:00:00"/>
    <x v="7"/>
    <x v="3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0.76708333333333334"/>
    <x v="3"/>
    <n v="67"/>
    <s v="US"/>
    <s v="USD"/>
    <d v="2013-05-21T05:00:00"/>
    <x v="11"/>
    <x v="2"/>
    <d v="2013-07-18T05:00:00"/>
    <b v="0"/>
    <b v="0"/>
    <s v="theater/plays"/>
    <x v="3"/>
    <s v="plays"/>
  </r>
  <r>
    <n v="232"/>
    <s v="Davis-Rodriguez"/>
    <s v="Progressive secondary portal"/>
    <n v="3400"/>
    <n v="5823"/>
    <n v="1.7126470588235294"/>
    <x v="1"/>
    <n v="92"/>
    <s v="US"/>
    <s v="USD"/>
    <d v="2016-07-25T05:00:00"/>
    <x v="8"/>
    <x v="7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.5789473684210527"/>
    <x v="1"/>
    <n v="62"/>
    <s v="US"/>
    <s v="USD"/>
    <d v="2011-06-12T05:00:00"/>
    <x v="5"/>
    <x v="8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.0908"/>
    <x v="1"/>
    <n v="149"/>
    <s v="IT"/>
    <s v="EUR"/>
    <d v="2017-08-22T05:00:00"/>
    <x v="1"/>
    <x v="5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0.41732558139534881"/>
    <x v="0"/>
    <n v="92"/>
    <s v="US"/>
    <s v="USD"/>
    <d v="2017-02-13T06:00:00"/>
    <x v="10"/>
    <x v="5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0.10944303797468355"/>
    <x v="0"/>
    <n v="57"/>
    <s v="AU"/>
    <s v="AUD"/>
    <d v="2019-06-25T05:00:00"/>
    <x v="5"/>
    <x v="3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.593763440860215"/>
    <x v="1"/>
    <n v="329"/>
    <s v="US"/>
    <s v="USD"/>
    <d v="2014-04-25T05:00:00"/>
    <x v="9"/>
    <x v="1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.2241666666666671"/>
    <x v="1"/>
    <n v="97"/>
    <s v="DK"/>
    <s v="DKK"/>
    <d v="2017-12-14T06:00:00"/>
    <x v="7"/>
    <x v="5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0.97718749999999999"/>
    <x v="0"/>
    <n v="41"/>
    <s v="US"/>
    <s v="USD"/>
    <d v="2015-08-29T05:00:00"/>
    <x v="1"/>
    <x v="0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.1878911564625847"/>
    <x v="1"/>
    <n v="1784"/>
    <s v="US"/>
    <s v="USD"/>
    <d v="2010-08-06T05:00:00"/>
    <x v="1"/>
    <x v="6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.0191632047477746"/>
    <x v="1"/>
    <n v="1684"/>
    <s v="AU"/>
    <s v="AUD"/>
    <d v="2014-04-13T05:00:00"/>
    <x v="9"/>
    <x v="1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.2772619047619047"/>
    <x v="1"/>
    <n v="250"/>
    <s v="US"/>
    <s v="USD"/>
    <d v="2017-05-10T05:00:00"/>
    <x v="11"/>
    <x v="5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.4521739130434783"/>
    <x v="1"/>
    <n v="238"/>
    <s v="US"/>
    <s v="USD"/>
    <d v="2018-03-04T06:00:00"/>
    <x v="6"/>
    <x v="9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.6971428571428575"/>
    <x v="1"/>
    <n v="53"/>
    <s v="US"/>
    <s v="USD"/>
    <d v="2014-07-14T05:00:00"/>
    <x v="8"/>
    <x v="1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.0934482758620687"/>
    <x v="1"/>
    <n v="214"/>
    <s v="US"/>
    <s v="USD"/>
    <d v="2014-04-07T05:00:00"/>
    <x v="9"/>
    <x v="1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.2553333333333332"/>
    <x v="1"/>
    <n v="222"/>
    <s v="US"/>
    <s v="USD"/>
    <d v="2013-08-05T05:00:00"/>
    <x v="1"/>
    <x v="2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.3261616161616168"/>
    <x v="1"/>
    <n v="1884"/>
    <s v="US"/>
    <s v="USD"/>
    <d v="2016-12-22T06:00:00"/>
    <x v="7"/>
    <x v="7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.1133870967741935"/>
    <x v="1"/>
    <n v="218"/>
    <s v="AU"/>
    <s v="AUD"/>
    <d v="2014-12-31T06:00:00"/>
    <x v="7"/>
    <x v="1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.7332520325203253"/>
    <x v="1"/>
    <n v="6465"/>
    <s v="US"/>
    <s v="USD"/>
    <d v="2015-01-02T06:00:00"/>
    <x v="2"/>
    <x v="0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0.03"/>
    <x v="0"/>
    <n v="1"/>
    <s v="US"/>
    <s v="USD"/>
    <d v="2010-01-25T06:00:00"/>
    <x v="2"/>
    <x v="6"/>
    <d v="2010-03-01T06:00:00"/>
    <b v="0"/>
    <b v="0"/>
    <s v="music/rock"/>
    <x v="1"/>
    <s v="rock"/>
  </r>
  <r>
    <n v="251"/>
    <s v="Singleton Ltd"/>
    <s v="Enhanced user-facing function"/>
    <n v="7100"/>
    <n v="3840"/>
    <n v="0.54084507042253516"/>
    <x v="0"/>
    <n v="101"/>
    <s v="US"/>
    <s v="USD"/>
    <d v="2012-12-09T06:00:00"/>
    <x v="7"/>
    <x v="4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.2629999999999999"/>
    <x v="1"/>
    <n v="59"/>
    <s v="US"/>
    <s v="USD"/>
    <d v="2013-10-25T05:00:00"/>
    <x v="4"/>
    <x v="2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0.8902139917695473"/>
    <x v="0"/>
    <n v="1335"/>
    <s v="CA"/>
    <s v="CAD"/>
    <d v="2011-04-08T05:00:00"/>
    <x v="9"/>
    <x v="8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.8489130434782608"/>
    <x v="1"/>
    <n v="88"/>
    <s v="US"/>
    <s v="USD"/>
    <d v="2017-02-21T06:00:00"/>
    <x v="10"/>
    <x v="5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.2016770186335404"/>
    <x v="1"/>
    <n v="1697"/>
    <s v="US"/>
    <s v="USD"/>
    <d v="2011-02-16T06:00:00"/>
    <x v="10"/>
    <x v="8"/>
    <d v="2011-02-21T06:00:00"/>
    <b v="0"/>
    <b v="1"/>
    <s v="music/rock"/>
    <x v="1"/>
    <s v="rock"/>
  </r>
  <r>
    <n v="256"/>
    <s v="Smith-Reid"/>
    <s v="Optimized actuating toolset"/>
    <n v="4100"/>
    <n v="959"/>
    <n v="0.23390243902439026"/>
    <x v="0"/>
    <n v="15"/>
    <s v="GB"/>
    <s v="GBP"/>
    <d v="2016-01-24T06:00:00"/>
    <x v="2"/>
    <x v="7"/>
    <d v="2016-03-01T06:00:00"/>
    <b v="0"/>
    <b v="0"/>
    <s v="music/rock"/>
    <x v="1"/>
    <s v="rock"/>
  </r>
  <r>
    <n v="257"/>
    <s v="Williams Inc"/>
    <s v="Decentralized exuding strategy"/>
    <n v="5700"/>
    <n v="8322"/>
    <n v="1.46"/>
    <x v="1"/>
    <n v="92"/>
    <s v="US"/>
    <s v="USD"/>
    <d v="2013-03-05T06:00:00"/>
    <x v="6"/>
    <x v="2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.6848000000000001"/>
    <x v="1"/>
    <n v="186"/>
    <s v="US"/>
    <s v="USD"/>
    <d v="2016-12-08T06:00:00"/>
    <x v="7"/>
    <x v="7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.9749999999999996"/>
    <x v="1"/>
    <n v="138"/>
    <s v="US"/>
    <s v="USD"/>
    <d v="2012-12-08T06:00:00"/>
    <x v="7"/>
    <x v="4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.5769841269841269"/>
    <x v="1"/>
    <n v="261"/>
    <s v="US"/>
    <s v="USD"/>
    <d v="2012-09-28T05:00:00"/>
    <x v="3"/>
    <x v="4"/>
    <d v="2012-10-10T05:00:00"/>
    <b v="0"/>
    <b v="0"/>
    <s v="music/rock"/>
    <x v="1"/>
    <s v="rock"/>
  </r>
  <r>
    <n v="261"/>
    <s v="Mason-Smith"/>
    <s v="Reverse-engineered cohesive migration"/>
    <n v="84300"/>
    <n v="26303"/>
    <n v="0.31201660735468567"/>
    <x v="0"/>
    <n v="454"/>
    <s v="US"/>
    <s v="USD"/>
    <d v="2010-08-25T05:00:00"/>
    <x v="1"/>
    <x v="6"/>
    <d v="2010-08-29T05:00:00"/>
    <b v="0"/>
    <b v="1"/>
    <s v="music/rock"/>
    <x v="1"/>
    <s v="rock"/>
  </r>
  <r>
    <n v="262"/>
    <s v="Lloyd, Kennedy and Davis"/>
    <s v="Compatible multimedia hub"/>
    <n v="1700"/>
    <n v="5328"/>
    <n v="3.1341176470588237"/>
    <x v="1"/>
    <n v="107"/>
    <s v="US"/>
    <s v="USD"/>
    <d v="2011-04-05T05:00:00"/>
    <x v="9"/>
    <x v="8"/>
    <d v="2011-05-01T05:00:00"/>
    <b v="0"/>
    <b v="1"/>
    <s v="music/indie rock"/>
    <x v="1"/>
    <s v="indie rock"/>
  </r>
  <r>
    <n v="263"/>
    <s v="Walker Ltd"/>
    <s v="Organic eco-centric success"/>
    <n v="2900"/>
    <n v="10756"/>
    <n v="3.7089655172413791"/>
    <x v="1"/>
    <n v="199"/>
    <s v="US"/>
    <s v="USD"/>
    <d v="2010-01-09T06:00:00"/>
    <x v="2"/>
    <x v="6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.6266447368421053"/>
    <x v="1"/>
    <n v="5512"/>
    <s v="US"/>
    <s v="USD"/>
    <d v="2013-02-12T06:00:00"/>
    <x v="10"/>
    <x v="2"/>
    <d v="2013-02-28T06:00:00"/>
    <b v="0"/>
    <b v="0"/>
    <s v="theater/plays"/>
    <x v="3"/>
    <s v="plays"/>
  </r>
  <r>
    <n v="265"/>
    <s v="Lee and Sons"/>
    <s v="Persevering interactive emulation"/>
    <n v="4900"/>
    <n v="6031"/>
    <n v="1.2308163265306122"/>
    <x v="1"/>
    <n v="86"/>
    <s v="US"/>
    <s v="USD"/>
    <d v="2016-01-03T06:00:00"/>
    <x v="2"/>
    <x v="7"/>
    <d v="2016-02-16T06:00:00"/>
    <b v="0"/>
    <b v="0"/>
    <s v="theater/plays"/>
    <x v="3"/>
    <s v="plays"/>
  </r>
  <r>
    <n v="266"/>
    <s v="Cole LLC"/>
    <s v="Proactive responsive emulation"/>
    <n v="111900"/>
    <n v="85902"/>
    <n v="0.76766756032171579"/>
    <x v="0"/>
    <n v="3182"/>
    <s v="IT"/>
    <s v="EUR"/>
    <d v="2014-11-07T06:00:00"/>
    <x v="0"/>
    <x v="1"/>
    <d v="2014-12-10T06:00:00"/>
    <b v="0"/>
    <b v="1"/>
    <s v="music/jazz"/>
    <x v="1"/>
    <s v="jazz"/>
  </r>
  <r>
    <n v="267"/>
    <s v="Acosta PLC"/>
    <s v="Extended eco-centric function"/>
    <n v="61600"/>
    <n v="143910"/>
    <n v="2.3362012987012988"/>
    <x v="1"/>
    <n v="2768"/>
    <s v="AU"/>
    <s v="AUD"/>
    <d v="2012-10-24T05:00:00"/>
    <x v="4"/>
    <x v="4"/>
    <d v="2012-11-09T06:00:00"/>
    <b v="0"/>
    <b v="0"/>
    <s v="theater/plays"/>
    <x v="3"/>
    <s v="plays"/>
  </r>
  <r>
    <n v="268"/>
    <s v="Brown-Mckee"/>
    <s v="Networked optimal productivity"/>
    <n v="1500"/>
    <n v="2708"/>
    <n v="1.8053333333333332"/>
    <x v="1"/>
    <n v="48"/>
    <s v="US"/>
    <s v="USD"/>
    <d v="2012-10-04T05:00:00"/>
    <x v="4"/>
    <x v="4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.5262857142857142"/>
    <x v="1"/>
    <n v="87"/>
    <s v="US"/>
    <s v="USD"/>
    <d v="2019-01-31T06:00:00"/>
    <x v="2"/>
    <x v="3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0.27176538240368026"/>
    <x v="3"/>
    <n v="1890"/>
    <s v="US"/>
    <s v="USD"/>
    <d v="2010-12-02T06:00:00"/>
    <x v="7"/>
    <x v="6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E-2"/>
    <x v="2"/>
    <n v="61"/>
    <s v="US"/>
    <s v="USD"/>
    <d v="2015-12-07T06:00:00"/>
    <x v="7"/>
    <x v="0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.0400978473581213"/>
    <x v="1"/>
    <n v="1894"/>
    <s v="US"/>
    <s v="USD"/>
    <d v="2019-07-10T05:00:00"/>
    <x v="8"/>
    <x v="3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.3723076923076922"/>
    <x v="1"/>
    <n v="282"/>
    <s v="CA"/>
    <s v="CAD"/>
    <d v="2017-09-17T05:00:00"/>
    <x v="3"/>
    <x v="5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0.32208333333333333"/>
    <x v="0"/>
    <n v="15"/>
    <s v="US"/>
    <s v="USD"/>
    <d v="2017-11-06T06:00:00"/>
    <x v="0"/>
    <x v="5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.4151282051282053"/>
    <x v="1"/>
    <n v="116"/>
    <s v="US"/>
    <s v="USD"/>
    <d v="2019-04-06T05:00:00"/>
    <x v="9"/>
    <x v="3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0.96799999999999997"/>
    <x v="0"/>
    <n v="133"/>
    <s v="US"/>
    <s v="USD"/>
    <d v="2012-04-19T05:00:00"/>
    <x v="9"/>
    <x v="4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.664285714285715"/>
    <x v="1"/>
    <n v="83"/>
    <s v="US"/>
    <s v="USD"/>
    <d v="2010-07-19T05:00:00"/>
    <x v="8"/>
    <x v="6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.2588888888888889"/>
    <x v="1"/>
    <n v="91"/>
    <s v="US"/>
    <s v="USD"/>
    <d v="2012-11-26T06:00:00"/>
    <x v="0"/>
    <x v="4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.7070000000000001"/>
    <x v="1"/>
    <n v="546"/>
    <s v="US"/>
    <s v="USD"/>
    <d v="2018-09-03T05:00:00"/>
    <x v="3"/>
    <x v="9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.8144"/>
    <x v="1"/>
    <n v="393"/>
    <s v="US"/>
    <s v="USD"/>
    <d v="2017-11-21T06:00:00"/>
    <x v="0"/>
    <x v="5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0.91520972644376897"/>
    <x v="0"/>
    <n v="2062"/>
    <s v="US"/>
    <s v="USD"/>
    <d v="2012-03-11T06:00:00"/>
    <x v="6"/>
    <x v="4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.0804761904761904"/>
    <x v="1"/>
    <n v="133"/>
    <s v="US"/>
    <s v="USD"/>
    <d v="2016-11-27T06:00:00"/>
    <x v="0"/>
    <x v="7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0.18728395061728395"/>
    <x v="0"/>
    <n v="29"/>
    <s v="DK"/>
    <s v="DKK"/>
    <d v="2016-05-30T05:00:00"/>
    <x v="11"/>
    <x v="7"/>
    <d v="2016-06-04T05:00:00"/>
    <b v="0"/>
    <b v="0"/>
    <s v="music/rock"/>
    <x v="1"/>
    <s v="rock"/>
  </r>
  <r>
    <n v="284"/>
    <s v="Tran LLC"/>
    <s v="Ameliorated fresh-thinking protocol"/>
    <n v="9800"/>
    <n v="8153"/>
    <n v="0.83193877551020412"/>
    <x v="0"/>
    <n v="132"/>
    <s v="US"/>
    <s v="USD"/>
    <d v="2012-05-01T05:00:00"/>
    <x v="11"/>
    <x v="4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.0633333333333335"/>
    <x v="1"/>
    <n v="254"/>
    <s v="US"/>
    <s v="USD"/>
    <d v="2016-09-10T05:00:00"/>
    <x v="3"/>
    <x v="7"/>
    <d v="2016-10-18T05:00:00"/>
    <b v="0"/>
    <b v="0"/>
    <s v="theater/plays"/>
    <x v="3"/>
    <s v="plays"/>
  </r>
  <r>
    <n v="286"/>
    <s v="Obrien-Aguirre"/>
    <s v="Devolved uniform complexity"/>
    <n v="112100"/>
    <n v="19557"/>
    <n v="0.17446030330062445"/>
    <x v="3"/>
    <n v="184"/>
    <s v="US"/>
    <s v="USD"/>
    <d v="2016-11-23T06:00:00"/>
    <x v="0"/>
    <x v="7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.0973015873015872"/>
    <x v="1"/>
    <n v="176"/>
    <s v="US"/>
    <s v="USD"/>
    <d v="2015-04-28T05:00:00"/>
    <x v="9"/>
    <x v="0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0.97785714285714287"/>
    <x v="0"/>
    <n v="137"/>
    <s v="DK"/>
    <s v="DKK"/>
    <d v="2012-03-14T05:00:00"/>
    <x v="6"/>
    <x v="4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.842500000000001"/>
    <x v="1"/>
    <n v="337"/>
    <s v="CA"/>
    <s v="CAD"/>
    <d v="2015-08-03T05:00:00"/>
    <x v="1"/>
    <x v="0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0.54402135231316728"/>
    <x v="0"/>
    <n v="908"/>
    <s v="US"/>
    <s v="USD"/>
    <d v="2013-05-10T05:00:00"/>
    <x v="11"/>
    <x v="2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.5661111111111108"/>
    <x v="1"/>
    <n v="107"/>
    <s v="US"/>
    <s v="USD"/>
    <d v="2011-10-15T05:00:00"/>
    <x v="4"/>
    <x v="8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85E-2"/>
    <x v="0"/>
    <n v="10"/>
    <s v="US"/>
    <s v="USD"/>
    <d v="2012-03-16T05:00:00"/>
    <x v="6"/>
    <x v="4"/>
    <d v="2012-04-03T05:00:00"/>
    <b v="0"/>
    <b v="0"/>
    <s v="food/food trucks"/>
    <x v="0"/>
    <s v="food trucks"/>
  </r>
  <r>
    <n v="293"/>
    <s v="Ross Group"/>
    <s v="Organized executive solution"/>
    <n v="6500"/>
    <n v="1065"/>
    <n v="0.16384615384615384"/>
    <x v="3"/>
    <n v="32"/>
    <s v="IT"/>
    <s v="EUR"/>
    <d v="2010-10-05T05:00:00"/>
    <x v="4"/>
    <x v="6"/>
    <d v="2010-10-14T05:00:00"/>
    <b v="0"/>
    <b v="0"/>
    <s v="theater/plays"/>
    <x v="3"/>
    <s v="plays"/>
  </r>
  <r>
    <n v="294"/>
    <s v="Turner-Davis"/>
    <s v="Automated local emulation"/>
    <n v="600"/>
    <n v="8038"/>
    <n v="13.396666666666667"/>
    <x v="1"/>
    <n v="183"/>
    <s v="US"/>
    <s v="USD"/>
    <d v="2018-10-26T05:00:00"/>
    <x v="4"/>
    <x v="9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0.35650077760497667"/>
    <x v="0"/>
    <n v="1910"/>
    <s v="CH"/>
    <s v="CHF"/>
    <d v="2013-10-15T05:00:00"/>
    <x v="4"/>
    <x v="2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0.54950819672131146"/>
    <x v="0"/>
    <n v="38"/>
    <s v="AU"/>
    <s v="AUD"/>
    <d v="2019-01-28T06:00:00"/>
    <x v="2"/>
    <x v="3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0.94236111111111109"/>
    <x v="0"/>
    <n v="104"/>
    <s v="AU"/>
    <s v="AUD"/>
    <d v="2014-01-14T06:00:00"/>
    <x v="2"/>
    <x v="1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.4391428571428571"/>
    <x v="1"/>
    <n v="72"/>
    <s v="US"/>
    <s v="USD"/>
    <d v="2016-02-26T06:00:00"/>
    <x v="10"/>
    <x v="7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0.51421052631578945"/>
    <x v="0"/>
    <n v="49"/>
    <s v="US"/>
    <s v="USD"/>
    <d v="2016-03-03T06:00:00"/>
    <x v="6"/>
    <x v="7"/>
    <d v="2016-04-28T05:00:00"/>
    <b v="0"/>
    <b v="0"/>
    <s v="food/food trucks"/>
    <x v="0"/>
    <s v="food trucks"/>
  </r>
  <r>
    <n v="300"/>
    <s v="Cooke PLC"/>
    <s v="Focused executive core"/>
    <n v="100"/>
    <n v="5"/>
    <n v="0.05"/>
    <x v="0"/>
    <n v="1"/>
    <s v="DK"/>
    <s v="DKK"/>
    <d v="2017-08-30T05:00:00"/>
    <x v="1"/>
    <x v="5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.446666666666667"/>
    <x v="1"/>
    <n v="295"/>
    <s v="US"/>
    <s v="USD"/>
    <d v="2015-02-26T06:00:00"/>
    <x v="10"/>
    <x v="0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0.31844940867279897"/>
    <x v="0"/>
    <n v="245"/>
    <s v="US"/>
    <s v="USD"/>
    <d v="2018-09-02T05:00:00"/>
    <x v="3"/>
    <x v="9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0.82617647058823529"/>
    <x v="0"/>
    <n v="32"/>
    <s v="US"/>
    <s v="USD"/>
    <d v="2016-01-07T06:00:00"/>
    <x v="2"/>
    <x v="7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.4614285714285717"/>
    <x v="1"/>
    <n v="142"/>
    <s v="US"/>
    <s v="USD"/>
    <d v="2016-08-07T05:00:00"/>
    <x v="1"/>
    <x v="7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.8621428571428571"/>
    <x v="1"/>
    <n v="85"/>
    <s v="US"/>
    <s v="USD"/>
    <d v="2016-03-19T05:00:00"/>
    <x v="6"/>
    <x v="7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2E-2"/>
    <x v="0"/>
    <n v="7"/>
    <s v="US"/>
    <s v="USD"/>
    <d v="2017-07-14T05:00:00"/>
    <x v="8"/>
    <x v="5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.3213677811550153"/>
    <x v="1"/>
    <n v="659"/>
    <s v="DK"/>
    <s v="DKK"/>
    <d v="2012-06-06T05:00:00"/>
    <x v="5"/>
    <x v="4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0.74077834179357027"/>
    <x v="0"/>
    <n v="803"/>
    <s v="US"/>
    <s v="USD"/>
    <d v="2011-04-18T05:00:00"/>
    <x v="9"/>
    <x v="8"/>
    <d v="2011-04-19T05:00:00"/>
    <b v="0"/>
    <b v="0"/>
    <s v="theater/plays"/>
    <x v="3"/>
    <s v="plays"/>
  </r>
  <r>
    <n v="309"/>
    <s v="Harris-Perry"/>
    <s v="User-centric 6thgeneration attitude"/>
    <n v="4100"/>
    <n v="3087"/>
    <n v="0.75292682926829269"/>
    <x v="3"/>
    <n v="75"/>
    <s v="US"/>
    <s v="USD"/>
    <d v="2011-09-21T05:00:00"/>
    <x v="3"/>
    <x v="8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0.20333333333333334"/>
    <x v="0"/>
    <n v="16"/>
    <s v="US"/>
    <s v="USD"/>
    <d v="2010-04-09T05:00:00"/>
    <x v="9"/>
    <x v="6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.0336507936507937"/>
    <x v="1"/>
    <n v="121"/>
    <s v="US"/>
    <s v="USD"/>
    <d v="2011-02-16T06:00:00"/>
    <x v="10"/>
    <x v="8"/>
    <d v="2011-02-28T06:00:00"/>
    <b v="0"/>
    <b v="0"/>
    <s v="theater/plays"/>
    <x v="3"/>
    <s v="plays"/>
  </r>
  <r>
    <n v="312"/>
    <s v="Martinez LLC"/>
    <s v="Robust impactful approach"/>
    <n v="59100"/>
    <n v="183345"/>
    <n v="3.1022842639593908"/>
    <x v="1"/>
    <n v="3742"/>
    <s v="US"/>
    <s v="USD"/>
    <d v="2013-10-25T05:00:00"/>
    <x v="4"/>
    <x v="2"/>
    <d v="2013-11-01T05:00:00"/>
    <b v="0"/>
    <b v="0"/>
    <s v="theater/plays"/>
    <x v="3"/>
    <s v="plays"/>
  </r>
  <r>
    <n v="313"/>
    <s v="Miller-Irwin"/>
    <s v="Secured maximized policy"/>
    <n v="2200"/>
    <n v="8697"/>
    <n v="3.9531818181818181"/>
    <x v="1"/>
    <n v="223"/>
    <s v="US"/>
    <s v="USD"/>
    <d v="2012-02-27T06:00:00"/>
    <x v="10"/>
    <x v="4"/>
    <d v="2012-02-29T06:00:00"/>
    <b v="0"/>
    <b v="0"/>
    <s v="music/rock"/>
    <x v="1"/>
    <s v="rock"/>
  </r>
  <r>
    <n v="314"/>
    <s v="Sanchez-Morgan"/>
    <s v="Realigned upward-trending strategy"/>
    <n v="1400"/>
    <n v="4126"/>
    <n v="2.9471428571428571"/>
    <x v="1"/>
    <n v="133"/>
    <s v="US"/>
    <s v="USD"/>
    <d v="2019-03-12T05:00:00"/>
    <x v="6"/>
    <x v="3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0.33894736842105261"/>
    <x v="0"/>
    <n v="31"/>
    <s v="US"/>
    <s v="USD"/>
    <d v="2014-05-24T05:00:00"/>
    <x v="11"/>
    <x v="1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0.66677083333333331"/>
    <x v="0"/>
    <n v="108"/>
    <s v="IT"/>
    <s v="EUR"/>
    <d v="2019-11-19T06:00:00"/>
    <x v="0"/>
    <x v="3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0.19227272727272726"/>
    <x v="0"/>
    <n v="30"/>
    <s v="US"/>
    <s v="USD"/>
    <d v="2017-05-14T05:00:00"/>
    <x v="11"/>
    <x v="5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0.15842105263157893"/>
    <x v="0"/>
    <n v="17"/>
    <s v="US"/>
    <s v="USD"/>
    <d v="2014-02-14T06:00:00"/>
    <x v="10"/>
    <x v="1"/>
    <d v="2014-02-16T06:00:00"/>
    <b v="0"/>
    <b v="0"/>
    <s v="music/rock"/>
    <x v="1"/>
    <s v="rock"/>
  </r>
  <r>
    <n v="319"/>
    <s v="Mills Group"/>
    <s v="Advanced empowering matrix"/>
    <n v="8400"/>
    <n v="3251"/>
    <n v="0.38702380952380955"/>
    <x v="3"/>
    <n v="64"/>
    <s v="US"/>
    <s v="USD"/>
    <d v="2010-08-12T05:00:00"/>
    <x v="1"/>
    <x v="6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3E-2"/>
    <x v="0"/>
    <n v="80"/>
    <s v="US"/>
    <s v="USD"/>
    <d v="2011-05-10T05:00:00"/>
    <x v="11"/>
    <x v="8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0.94144366197183094"/>
    <x v="0"/>
    <n v="2468"/>
    <s v="US"/>
    <s v="USD"/>
    <d v="2011-04-01T05:00:00"/>
    <x v="9"/>
    <x v="8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.6656234096692113"/>
    <x v="1"/>
    <n v="5168"/>
    <s v="US"/>
    <s v="USD"/>
    <d v="2010-11-25T06:00:00"/>
    <x v="0"/>
    <x v="6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0.24134831460674158"/>
    <x v="0"/>
    <n v="26"/>
    <s v="GB"/>
    <s v="GBP"/>
    <d v="2014-03-27T05:00:00"/>
    <x v="6"/>
    <x v="1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.6405633802816901"/>
    <x v="1"/>
    <n v="307"/>
    <s v="US"/>
    <s v="USD"/>
    <d v="2015-06-21T05:00:00"/>
    <x v="5"/>
    <x v="0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0.90723076923076929"/>
    <x v="0"/>
    <n v="73"/>
    <s v="US"/>
    <s v="USD"/>
    <d v="2018-06-16T05:00:00"/>
    <x v="5"/>
    <x v="9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0.46194444444444444"/>
    <x v="0"/>
    <n v="128"/>
    <s v="US"/>
    <s v="USD"/>
    <d v="2015-12-26T06:00:00"/>
    <x v="7"/>
    <x v="0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0.38538461538461538"/>
    <x v="0"/>
    <n v="33"/>
    <s v="US"/>
    <s v="USD"/>
    <d v="2019-08-28T05:00:00"/>
    <x v="1"/>
    <x v="3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.3356231003039514"/>
    <x v="1"/>
    <n v="2441"/>
    <s v="US"/>
    <s v="USD"/>
    <d v="2018-11-30T06:00:00"/>
    <x v="0"/>
    <x v="9"/>
    <d v="2018-12-11T06:00:00"/>
    <b v="0"/>
    <b v="0"/>
    <s v="music/rock"/>
    <x v="1"/>
    <s v="rock"/>
  </r>
  <r>
    <n v="329"/>
    <s v="Willis and Sons"/>
    <s v="Fundamental incremental database"/>
    <n v="93800"/>
    <n v="21477"/>
    <n v="0.22896588486140726"/>
    <x v="2"/>
    <n v="211"/>
    <s v="US"/>
    <s v="USD"/>
    <d v="2016-12-12T06:00:00"/>
    <x v="7"/>
    <x v="7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.8495548961424333"/>
    <x v="1"/>
    <n v="1385"/>
    <s v="GB"/>
    <s v="GBP"/>
    <d v="2017-12-08T06:00:00"/>
    <x v="7"/>
    <x v="5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.4372727272727275"/>
    <x v="1"/>
    <n v="190"/>
    <s v="US"/>
    <s v="USD"/>
    <d v="2011-12-19T06:00:00"/>
    <x v="7"/>
    <x v="8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.999806763285024"/>
    <x v="1"/>
    <n v="470"/>
    <s v="US"/>
    <s v="USD"/>
    <d v="2013-03-28T05:00:00"/>
    <x v="6"/>
    <x v="2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.2395833333333333"/>
    <x v="1"/>
    <n v="253"/>
    <s v="US"/>
    <s v="USD"/>
    <d v="2018-11-20T06:00:00"/>
    <x v="0"/>
    <x v="9"/>
    <d v="2018-12-18T06:00:00"/>
    <b v="0"/>
    <b v="0"/>
    <s v="theater/plays"/>
    <x v="3"/>
    <s v="plays"/>
  </r>
  <r>
    <n v="334"/>
    <s v="Mcgee Group"/>
    <s v="Assimilated discrete algorithm"/>
    <n v="66200"/>
    <n v="123538"/>
    <n v="1.8661329305135952"/>
    <x v="1"/>
    <n v="1113"/>
    <s v="US"/>
    <s v="USD"/>
    <d v="2018-01-10T06:00:00"/>
    <x v="2"/>
    <x v="9"/>
    <d v="2018-01-17T06:00:00"/>
    <b v="0"/>
    <b v="0"/>
    <s v="music/rock"/>
    <x v="1"/>
    <s v="rock"/>
  </r>
  <r>
    <n v="335"/>
    <s v="Jordan-Acosta"/>
    <s v="Operative uniform hub"/>
    <n v="173800"/>
    <n v="198628"/>
    <n v="1.1428538550057536"/>
    <x v="1"/>
    <n v="2283"/>
    <s v="US"/>
    <s v="USD"/>
    <d v="2019-11-15T06:00:00"/>
    <x v="0"/>
    <x v="3"/>
    <d v="2019-11-28T06:00:00"/>
    <b v="0"/>
    <b v="0"/>
    <s v="music/rock"/>
    <x v="1"/>
    <s v="rock"/>
  </r>
  <r>
    <n v="336"/>
    <s v="Nunez Inc"/>
    <s v="Customizable intangible capability"/>
    <n v="70700"/>
    <n v="68602"/>
    <n v="0.97032531824611035"/>
    <x v="0"/>
    <n v="1072"/>
    <s v="US"/>
    <s v="USD"/>
    <d v="2010-12-15T06:00:00"/>
    <x v="7"/>
    <x v="6"/>
    <d v="2010-12-16T06:00:00"/>
    <b v="0"/>
    <b v="1"/>
    <s v="music/rock"/>
    <x v="1"/>
    <s v="rock"/>
  </r>
  <r>
    <n v="337"/>
    <s v="Hayden Ltd"/>
    <s v="Innovative didactic analyzer"/>
    <n v="94500"/>
    <n v="116064"/>
    <n v="1.2281904761904763"/>
    <x v="1"/>
    <n v="1095"/>
    <s v="US"/>
    <s v="USD"/>
    <d v="2019-11-11T06:00:00"/>
    <x v="0"/>
    <x v="3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.7914326647564469"/>
    <x v="1"/>
    <n v="1690"/>
    <s v="US"/>
    <s v="USD"/>
    <d v="2011-10-05T05:00:00"/>
    <x v="4"/>
    <x v="8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0.79951577402787966"/>
    <x v="3"/>
    <n v="1297"/>
    <s v="CA"/>
    <s v="CAD"/>
    <d v="2017-08-02T05:00:00"/>
    <x v="1"/>
    <x v="5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0.94242587601078165"/>
    <x v="0"/>
    <n v="393"/>
    <s v="US"/>
    <s v="USD"/>
    <d v="2011-12-12T06:00:00"/>
    <x v="7"/>
    <x v="8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0.84669291338582675"/>
    <x v="0"/>
    <n v="1257"/>
    <s v="US"/>
    <s v="USD"/>
    <d v="2015-08-28T05:00:00"/>
    <x v="1"/>
    <x v="0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0.66521920668058454"/>
    <x v="0"/>
    <n v="328"/>
    <s v="US"/>
    <s v="USD"/>
    <d v="2013-07-20T05:00:00"/>
    <x v="8"/>
    <x v="2"/>
    <d v="2013-08-01T05:00:00"/>
    <b v="0"/>
    <b v="0"/>
    <s v="theater/plays"/>
    <x v="3"/>
    <s v="plays"/>
  </r>
  <r>
    <n v="343"/>
    <s v="Spencer-Weber"/>
    <s v="Optional zero-defect task-force"/>
    <n v="9000"/>
    <n v="4853"/>
    <n v="0.53922222222222227"/>
    <x v="0"/>
    <n v="147"/>
    <s v="US"/>
    <s v="USD"/>
    <d v="2013-11-19T06:00:00"/>
    <x v="0"/>
    <x v="2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0.41983299595141699"/>
    <x v="0"/>
    <n v="830"/>
    <s v="US"/>
    <s v="USD"/>
    <d v="2018-01-22T06:00:00"/>
    <x v="2"/>
    <x v="9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0.14694796954314721"/>
    <x v="0"/>
    <n v="331"/>
    <s v="GB"/>
    <s v="GBP"/>
    <d v="2015-07-09T05:00:00"/>
    <x v="8"/>
    <x v="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0.34475"/>
    <x v="0"/>
    <n v="25"/>
    <s v="US"/>
    <s v="USD"/>
    <d v="2017-08-24T05:00:00"/>
    <x v="1"/>
    <x v="5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.007777777777777"/>
    <x v="1"/>
    <n v="191"/>
    <s v="US"/>
    <s v="USD"/>
    <d v="2015-02-11T06:00:00"/>
    <x v="10"/>
    <x v="0"/>
    <d v="2015-03-07T06:00:00"/>
    <b v="0"/>
    <b v="0"/>
    <s v="technology/web"/>
    <x v="2"/>
    <s v="web"/>
  </r>
  <r>
    <n v="348"/>
    <s v="Hensley Ltd"/>
    <s v="Versatile cohesive open system"/>
    <n v="199000"/>
    <n v="142823"/>
    <n v="0.71770351758793971"/>
    <x v="0"/>
    <n v="3483"/>
    <s v="US"/>
    <s v="USD"/>
    <d v="2017-02-16T06:00:00"/>
    <x v="10"/>
    <x v="5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0.53074115044247783"/>
    <x v="0"/>
    <n v="923"/>
    <s v="US"/>
    <s v="USD"/>
    <d v="2017-07-14T05:00:00"/>
    <x v="8"/>
    <x v="5"/>
    <d v="2017-08-13T05:00:00"/>
    <b v="0"/>
    <b v="0"/>
    <s v="theater/plays"/>
    <x v="3"/>
    <s v="plays"/>
  </r>
  <r>
    <n v="350"/>
    <s v="Shannon Ltd"/>
    <s v="Pre-emptive neutral capacity"/>
    <n v="100"/>
    <n v="5"/>
    <n v="0.05"/>
    <x v="0"/>
    <n v="1"/>
    <s v="US"/>
    <s v="USD"/>
    <d v="2015-05-20T05:00:00"/>
    <x v="11"/>
    <x v="0"/>
    <d v="2015-06-07T05:00:00"/>
    <b v="0"/>
    <b v="1"/>
    <s v="music/jazz"/>
    <x v="1"/>
    <s v="jazz"/>
  </r>
  <r>
    <n v="351"/>
    <s v="Young LLC"/>
    <s v="Universal maximized methodology"/>
    <n v="74100"/>
    <n v="94631"/>
    <n v="1.2770715249662619"/>
    <x v="1"/>
    <n v="2013"/>
    <s v="US"/>
    <s v="USD"/>
    <d v="2015-08-24T05:00:00"/>
    <x v="1"/>
    <x v="0"/>
    <d v="2015-09-07T05:00:00"/>
    <b v="0"/>
    <b v="0"/>
    <s v="music/rock"/>
    <x v="1"/>
    <s v="rock"/>
  </r>
  <r>
    <n v="352"/>
    <s v="Adams, Willis and Sanchez"/>
    <s v="Expanded hybrid hardware"/>
    <n v="2800"/>
    <n v="977"/>
    <n v="0.34892857142857142"/>
    <x v="0"/>
    <n v="33"/>
    <s v="CA"/>
    <s v="CAD"/>
    <d v="2015-11-07T06:00:00"/>
    <x v="0"/>
    <x v="0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.105982142857143"/>
    <x v="1"/>
    <n v="1703"/>
    <s v="US"/>
    <s v="USD"/>
    <d v="2019-07-05T05:00:00"/>
    <x v="8"/>
    <x v="3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.2373770491803278"/>
    <x v="1"/>
    <n v="80"/>
    <s v="DK"/>
    <s v="DKK"/>
    <d v="2013-09-03T05:00:00"/>
    <x v="3"/>
    <x v="2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0.58973684210526311"/>
    <x v="2"/>
    <n v="86"/>
    <s v="US"/>
    <s v="USD"/>
    <d v="2017-01-22T06:00:00"/>
    <x v="2"/>
    <x v="5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0.36892473118279567"/>
    <x v="0"/>
    <n v="40"/>
    <s v="IT"/>
    <s v="EUR"/>
    <d v="2012-01-14T06:00:00"/>
    <x v="2"/>
    <x v="4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.8491304347826087"/>
    <x v="1"/>
    <n v="41"/>
    <s v="US"/>
    <s v="USD"/>
    <d v="2015-09-03T05:00:00"/>
    <x v="3"/>
    <x v="0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0.11814432989690722"/>
    <x v="0"/>
    <n v="23"/>
    <s v="CA"/>
    <s v="CAD"/>
    <d v="2018-08-10T05:00:00"/>
    <x v="1"/>
    <x v="9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.9870000000000001"/>
    <x v="1"/>
    <n v="187"/>
    <s v="US"/>
    <s v="USD"/>
    <d v="2011-08-27T05:00:00"/>
    <x v="1"/>
    <x v="8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.2635175879396985"/>
    <x v="1"/>
    <n v="2875"/>
    <s v="GB"/>
    <s v="GBP"/>
    <d v="2011-01-01T06:00:00"/>
    <x v="2"/>
    <x v="8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.7356363636363636"/>
    <x v="1"/>
    <n v="88"/>
    <s v="US"/>
    <s v="USD"/>
    <d v="2017-10-07T05:00:00"/>
    <x v="4"/>
    <x v="5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.7175675675675675"/>
    <x v="1"/>
    <n v="191"/>
    <s v="US"/>
    <s v="USD"/>
    <d v="2011-01-27T06:00:00"/>
    <x v="2"/>
    <x v="8"/>
    <d v="2011-03-06T06:00:00"/>
    <b v="0"/>
    <b v="0"/>
    <s v="music/rock"/>
    <x v="1"/>
    <s v="rock"/>
  </r>
  <r>
    <n v="363"/>
    <s v="Gray-Davis"/>
    <s v="Re-contextualized local initiative"/>
    <n v="5200"/>
    <n v="8330"/>
    <n v="1.601923076923077"/>
    <x v="1"/>
    <n v="139"/>
    <s v="US"/>
    <s v="USD"/>
    <d v="2011-12-27T06:00:00"/>
    <x v="7"/>
    <x v="8"/>
    <d v="2011-12-28T06:00:00"/>
    <b v="0"/>
    <b v="0"/>
    <s v="music/rock"/>
    <x v="1"/>
    <s v="rock"/>
  </r>
  <r>
    <n v="364"/>
    <s v="Ramirez-Myers"/>
    <s v="Switchable intangible definition"/>
    <n v="900"/>
    <n v="14547"/>
    <n v="16.163333333333334"/>
    <x v="1"/>
    <n v="186"/>
    <s v="US"/>
    <s v="USD"/>
    <d v="2018-03-05T06:00:00"/>
    <x v="6"/>
    <x v="9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.3343749999999996"/>
    <x v="1"/>
    <n v="112"/>
    <s v="AU"/>
    <s v="AUD"/>
    <d v="2016-12-29T06:00:00"/>
    <x v="7"/>
    <x v="7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.9211111111111112"/>
    <x v="1"/>
    <n v="101"/>
    <s v="US"/>
    <s v="USD"/>
    <d v="2011-01-03T06:00:00"/>
    <x v="2"/>
    <x v="8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0.18888888888888888"/>
    <x v="0"/>
    <n v="75"/>
    <s v="US"/>
    <s v="USD"/>
    <d v="2014-10-18T05:00:00"/>
    <x v="4"/>
    <x v="1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.7680769230769231"/>
    <x v="1"/>
    <n v="206"/>
    <s v="GB"/>
    <s v="GBP"/>
    <d v="2010-10-13T05:00:00"/>
    <x v="4"/>
    <x v="6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.730185185185185"/>
    <x v="1"/>
    <n v="154"/>
    <s v="US"/>
    <s v="USD"/>
    <d v="2013-02-03T06:00:00"/>
    <x v="10"/>
    <x v="2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.593633125556545"/>
    <x v="1"/>
    <n v="5966"/>
    <s v="US"/>
    <s v="USD"/>
    <d v="2019-04-15T05:00:00"/>
    <x v="9"/>
    <x v="3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0.67869978858350954"/>
    <x v="0"/>
    <n v="2176"/>
    <s v="US"/>
    <s v="USD"/>
    <d v="2015-02-08T06:00:00"/>
    <x v="10"/>
    <x v="0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.915555555555555"/>
    <x v="1"/>
    <n v="169"/>
    <s v="US"/>
    <s v="USD"/>
    <d v="2015-01-08T06:00:00"/>
    <x v="2"/>
    <x v="0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.3018222222222224"/>
    <x v="1"/>
    <n v="2106"/>
    <s v="US"/>
    <s v="USD"/>
    <d v="2017-08-17T05:00:00"/>
    <x v="1"/>
    <x v="5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0.13185782556750297"/>
    <x v="0"/>
    <n v="441"/>
    <s v="US"/>
    <s v="USD"/>
    <d v="2019-01-11T06:00:00"/>
    <x v="2"/>
    <x v="3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0.54777777777777781"/>
    <x v="0"/>
    <n v="25"/>
    <s v="US"/>
    <s v="USD"/>
    <d v="2015-10-16T05:00:00"/>
    <x v="4"/>
    <x v="0"/>
    <d v="2015-12-12T06:00:00"/>
    <b v="0"/>
    <b v="0"/>
    <s v="music/indie rock"/>
    <x v="1"/>
    <s v="indie rock"/>
  </r>
  <r>
    <n v="376"/>
    <s v="Perry PLC"/>
    <s v="Mandatory uniform matrix"/>
    <n v="3400"/>
    <n v="12275"/>
    <n v="3.6102941176470589"/>
    <x v="1"/>
    <n v="131"/>
    <s v="US"/>
    <s v="USD"/>
    <d v="2014-07-06T05:00:00"/>
    <x v="8"/>
    <x v="1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0.10257545271629778"/>
    <x v="0"/>
    <n v="127"/>
    <s v="US"/>
    <s v="USD"/>
    <d v="2019-10-22T05:00:00"/>
    <x v="4"/>
    <x v="3"/>
    <d v="2019-11-05T06:00:00"/>
    <b v="0"/>
    <b v="0"/>
    <s v="theater/plays"/>
    <x v="3"/>
    <s v="plays"/>
  </r>
  <r>
    <n v="378"/>
    <s v="Fleming-Oliver"/>
    <s v="Managed stable function"/>
    <n v="178200"/>
    <n v="24882"/>
    <n v="0.13962962962962963"/>
    <x v="0"/>
    <n v="355"/>
    <s v="US"/>
    <s v="USD"/>
    <d v="2018-05-21T05:00:00"/>
    <x v="11"/>
    <x v="9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0.40444444444444444"/>
    <x v="0"/>
    <n v="44"/>
    <s v="GB"/>
    <s v="GBP"/>
    <d v="2011-10-27T05:00:00"/>
    <x v="4"/>
    <x v="8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.6032"/>
    <x v="1"/>
    <n v="84"/>
    <s v="US"/>
    <s v="USD"/>
    <d v="2013-06-23T05:00:00"/>
    <x v="5"/>
    <x v="2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.8394339622641509"/>
    <x v="1"/>
    <n v="155"/>
    <s v="US"/>
    <s v="USD"/>
    <d v="2015-06-08T05:00:00"/>
    <x v="5"/>
    <x v="0"/>
    <d v="2015-07-24T05:00:00"/>
    <b v="0"/>
    <b v="0"/>
    <s v="theater/plays"/>
    <x v="3"/>
    <s v="plays"/>
  </r>
  <r>
    <n v="382"/>
    <s v="King Ltd"/>
    <s v="Visionary systemic process improvement"/>
    <n v="9100"/>
    <n v="5803"/>
    <n v="0.63769230769230767"/>
    <x v="0"/>
    <n v="67"/>
    <s v="US"/>
    <s v="USD"/>
    <d v="2017-10-16T05:00:00"/>
    <x v="4"/>
    <x v="5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.2538095238095237"/>
    <x v="1"/>
    <n v="189"/>
    <s v="US"/>
    <s v="USD"/>
    <d v="2019-02-13T06:00:00"/>
    <x v="10"/>
    <x v="3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.7200961538461539"/>
    <x v="1"/>
    <n v="4799"/>
    <s v="US"/>
    <s v="USD"/>
    <d v="2017-02-10T06:00:00"/>
    <x v="10"/>
    <x v="5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.4616709511568124"/>
    <x v="1"/>
    <n v="1137"/>
    <s v="US"/>
    <s v="USD"/>
    <d v="2019-03-29T05:00:00"/>
    <x v="6"/>
    <x v="3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0.76423616236162362"/>
    <x v="0"/>
    <n v="1068"/>
    <s v="US"/>
    <s v="USD"/>
    <d v="2010-06-26T05:00:00"/>
    <x v="5"/>
    <x v="6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0.39261467889908258"/>
    <x v="0"/>
    <n v="424"/>
    <s v="US"/>
    <s v="USD"/>
    <d v="2012-06-12T05:00:00"/>
    <x v="5"/>
    <x v="4"/>
    <d v="2012-06-17T05:00:00"/>
    <b v="0"/>
    <b v="0"/>
    <s v="technology/wearables"/>
    <x v="2"/>
    <s v="wearables"/>
  </r>
  <r>
    <n v="388"/>
    <s v="Cruz Ltd"/>
    <s v="Exclusive dynamic adapter"/>
    <n v="114800"/>
    <n v="12938"/>
    <n v="0.11270034843205574"/>
    <x v="3"/>
    <n v="145"/>
    <s v="CH"/>
    <s v="CHF"/>
    <d v="2012-01-04T06:00:00"/>
    <x v="2"/>
    <x v="4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.2211084337349398"/>
    <x v="1"/>
    <n v="1152"/>
    <s v="US"/>
    <s v="USD"/>
    <d v="2010-10-28T05:00:00"/>
    <x v="4"/>
    <x v="6"/>
    <d v="2010-11-24T06:00:00"/>
    <b v="0"/>
    <b v="0"/>
    <s v="theater/plays"/>
    <x v="3"/>
    <s v="plays"/>
  </r>
  <r>
    <n v="390"/>
    <s v="Davis-Allen"/>
    <s v="Digitized eco-centric core"/>
    <n v="2400"/>
    <n v="4477"/>
    <n v="1.8654166666666667"/>
    <x v="1"/>
    <n v="50"/>
    <s v="US"/>
    <s v="USD"/>
    <d v="2013-09-13T05:00:00"/>
    <x v="3"/>
    <x v="2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E-2"/>
    <x v="0"/>
    <n v="151"/>
    <s v="US"/>
    <s v="USD"/>
    <d v="2014-01-14T06:00:00"/>
    <x v="2"/>
    <x v="1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0.65642371234207963"/>
    <x v="0"/>
    <n v="1608"/>
    <s v="US"/>
    <s v="USD"/>
    <d v="2011-01-06T06:00:00"/>
    <x v="2"/>
    <x v="8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.2896178343949045"/>
    <x v="1"/>
    <n v="3059"/>
    <s v="CA"/>
    <s v="CAD"/>
    <d v="2017-07-17T05:00:00"/>
    <x v="8"/>
    <x v="5"/>
    <d v="2017-07-18T05:00:00"/>
    <b v="0"/>
    <b v="0"/>
    <s v="music/jazz"/>
    <x v="1"/>
    <s v="jazz"/>
  </r>
  <r>
    <n v="394"/>
    <s v="Noble-Bailey"/>
    <s v="Customizable dynamic info-mediaries"/>
    <n v="800"/>
    <n v="3755"/>
    <n v="4.6937499999999996"/>
    <x v="1"/>
    <n v="34"/>
    <s v="US"/>
    <s v="USD"/>
    <d v="2013-07-29T05:00:00"/>
    <x v="8"/>
    <x v="2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.3011267605633803"/>
    <x v="1"/>
    <n v="220"/>
    <s v="US"/>
    <s v="USD"/>
    <d v="2011-12-08T06:00:00"/>
    <x v="7"/>
    <x v="8"/>
    <d v="2011-12-09T06:00:00"/>
    <b v="1"/>
    <b v="0"/>
    <s v="theater/plays"/>
    <x v="3"/>
    <s v="plays"/>
  </r>
  <r>
    <n v="396"/>
    <s v="Holmes PLC"/>
    <s v="Digitized local info-mediaries"/>
    <n v="46100"/>
    <n v="77012"/>
    <n v="1.6705422993492407"/>
    <x v="1"/>
    <n v="1604"/>
    <s v="AU"/>
    <s v="AUD"/>
    <d v="2018-10-05T05:00:00"/>
    <x v="4"/>
    <x v="9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.738641975308642"/>
    <x v="1"/>
    <n v="454"/>
    <s v="US"/>
    <s v="USD"/>
    <d v="2013-05-23T05:00:00"/>
    <x v="11"/>
    <x v="2"/>
    <d v="2013-05-29T05:00:00"/>
    <b v="0"/>
    <b v="0"/>
    <s v="music/rock"/>
    <x v="1"/>
    <s v="rock"/>
  </r>
  <r>
    <n v="398"/>
    <s v="Myers LLC"/>
    <s v="Reactive bottom-line open architecture"/>
    <n v="1700"/>
    <n v="12202"/>
    <n v="7.1776470588235295"/>
    <x v="1"/>
    <n v="123"/>
    <s v="IT"/>
    <s v="EUR"/>
    <d v="2018-05-08T05:00:00"/>
    <x v="11"/>
    <x v="9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0.63850976361767731"/>
    <x v="0"/>
    <n v="941"/>
    <s v="US"/>
    <s v="USD"/>
    <d v="2011-02-02T06:00:00"/>
    <x v="10"/>
    <x v="8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0.02"/>
    <x v="0"/>
    <n v="1"/>
    <s v="US"/>
    <s v="USD"/>
    <d v="2013-08-16T05:00:00"/>
    <x v="1"/>
    <x v="2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.302222222222222"/>
    <x v="1"/>
    <n v="299"/>
    <s v="US"/>
    <s v="USD"/>
    <d v="2019-10-27T05:00:00"/>
    <x v="4"/>
    <x v="3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0.40356164383561643"/>
    <x v="0"/>
    <n v="40"/>
    <s v="US"/>
    <s v="USD"/>
    <d v="2012-01-06T06:00:00"/>
    <x v="2"/>
    <x v="4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0.86220633299284988"/>
    <x v="0"/>
    <n v="3015"/>
    <s v="CA"/>
    <s v="CAD"/>
    <d v="2010-05-12T05:00:00"/>
    <x v="11"/>
    <x v="6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.1558486707566464"/>
    <x v="1"/>
    <n v="2237"/>
    <s v="US"/>
    <s v="USD"/>
    <d v="2017-11-14T06:00:00"/>
    <x v="0"/>
    <x v="5"/>
    <d v="2017-11-17T06:00:00"/>
    <b v="0"/>
    <b v="0"/>
    <s v="theater/plays"/>
    <x v="3"/>
    <s v="plays"/>
  </r>
  <r>
    <n v="405"/>
    <s v="Lee LLC"/>
    <s v="Synchronized secondary analyzer"/>
    <n v="29600"/>
    <n v="26527"/>
    <n v="0.89618243243243245"/>
    <x v="0"/>
    <n v="435"/>
    <s v="US"/>
    <s v="USD"/>
    <d v="2018-06-04T05:00:00"/>
    <x v="5"/>
    <x v="9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.8214503816793892"/>
    <x v="1"/>
    <n v="645"/>
    <s v="US"/>
    <s v="USD"/>
    <d v="2013-01-30T06:00:00"/>
    <x v="2"/>
    <x v="2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.5588235294117645"/>
    <x v="1"/>
    <n v="484"/>
    <s v="DK"/>
    <s v="DKK"/>
    <d v="2019-10-13T05:00:00"/>
    <x v="4"/>
    <x v="3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.3183695652173912"/>
    <x v="1"/>
    <n v="154"/>
    <s v="CA"/>
    <s v="CAD"/>
    <d v="2016-06-20T05:00:00"/>
    <x v="5"/>
    <x v="7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0.46315634218289087"/>
    <x v="0"/>
    <n v="714"/>
    <s v="US"/>
    <s v="USD"/>
    <d v="2017-04-18T05:00:00"/>
    <x v="9"/>
    <x v="5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0.36132726089785294"/>
    <x v="2"/>
    <n v="1111"/>
    <s v="US"/>
    <s v="USD"/>
    <d v="2015-04-28T05:00:00"/>
    <x v="9"/>
    <x v="0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.0462820512820512"/>
    <x v="1"/>
    <n v="82"/>
    <s v="US"/>
    <s v="USD"/>
    <d v="2017-05-29T05:00:00"/>
    <x v="11"/>
    <x v="5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.6885714285714286"/>
    <x v="1"/>
    <n v="134"/>
    <s v="US"/>
    <s v="USD"/>
    <d v="2014-01-03T06:00:00"/>
    <x v="2"/>
    <x v="1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0.62072823218997364"/>
    <x v="2"/>
    <n v="1089"/>
    <s v="US"/>
    <s v="USD"/>
    <d v="2018-11-27T06:00:00"/>
    <x v="0"/>
    <x v="9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0.84699787460148779"/>
    <x v="0"/>
    <n v="5497"/>
    <s v="US"/>
    <s v="USD"/>
    <d v="2010-04-20T05:00:00"/>
    <x v="9"/>
    <x v="6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0.11059030837004405"/>
    <x v="0"/>
    <n v="418"/>
    <s v="US"/>
    <s v="USD"/>
    <d v="2012-01-13T06:00:00"/>
    <x v="2"/>
    <x v="4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0.43838781575037145"/>
    <x v="0"/>
    <n v="1439"/>
    <s v="US"/>
    <s v="USD"/>
    <d v="2011-01-17T06:00:00"/>
    <x v="2"/>
    <x v="8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0.55470588235294116"/>
    <x v="0"/>
    <n v="15"/>
    <s v="US"/>
    <s v="USD"/>
    <d v="2018-11-03T05:00:00"/>
    <x v="0"/>
    <x v="9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0.57399511301160655"/>
    <x v="0"/>
    <n v="1999"/>
    <s v="CA"/>
    <s v="CAD"/>
    <d v="2012-05-06T05:00:00"/>
    <x v="11"/>
    <x v="4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.2343497363796134"/>
    <x v="1"/>
    <n v="5203"/>
    <s v="US"/>
    <s v="USD"/>
    <d v="2011-12-22T06:00:00"/>
    <x v="7"/>
    <x v="8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.2846"/>
    <x v="1"/>
    <n v="94"/>
    <s v="US"/>
    <s v="USD"/>
    <d v="2017-06-25T05:00:00"/>
    <x v="5"/>
    <x v="5"/>
    <d v="2017-07-09T05:00:00"/>
    <b v="0"/>
    <b v="0"/>
    <s v="theater/plays"/>
    <x v="3"/>
    <s v="plays"/>
  </r>
  <r>
    <n v="421"/>
    <s v="Thomas-Lopez"/>
    <s v="User-centric fault-tolerant archive"/>
    <n v="9400"/>
    <n v="6015"/>
    <n v="0.63989361702127656"/>
    <x v="0"/>
    <n v="118"/>
    <s v="US"/>
    <s v="USD"/>
    <d v="2017-06-29T05:00:00"/>
    <x v="5"/>
    <x v="5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.2729885057471264"/>
    <x v="1"/>
    <n v="205"/>
    <s v="US"/>
    <s v="USD"/>
    <d v="2010-04-17T05:00:00"/>
    <x v="9"/>
    <x v="6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0.10638024357239513"/>
    <x v="0"/>
    <n v="162"/>
    <s v="US"/>
    <s v="USD"/>
    <d v="2011-09-22T05:00:00"/>
    <x v="3"/>
    <x v="8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0.40470588235294119"/>
    <x v="0"/>
    <n v="83"/>
    <s v="US"/>
    <s v="USD"/>
    <d v="2018-04-18T05:00:00"/>
    <x v="9"/>
    <x v="9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.8766666666666665"/>
    <x v="1"/>
    <n v="92"/>
    <s v="US"/>
    <s v="USD"/>
    <d v="2015-07-28T05:00:00"/>
    <x v="8"/>
    <x v="0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.7294444444444448"/>
    <x v="1"/>
    <n v="219"/>
    <s v="US"/>
    <s v="USD"/>
    <d v="2013-02-27T06:00:00"/>
    <x v="10"/>
    <x v="2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.1290429799426933"/>
    <x v="1"/>
    <n v="2526"/>
    <s v="US"/>
    <s v="USD"/>
    <d v="2014-09-13T05:00:00"/>
    <x v="3"/>
    <x v="1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0.46387573964497042"/>
    <x v="0"/>
    <n v="747"/>
    <s v="US"/>
    <s v="USD"/>
    <d v="2011-02-11T06:00:00"/>
    <x v="10"/>
    <x v="8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0.90675916230366493"/>
    <x v="3"/>
    <n v="2138"/>
    <s v="US"/>
    <s v="USD"/>
    <d v="2014-02-10T06:00:00"/>
    <x v="10"/>
    <x v="1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0.67740740740740746"/>
    <x v="0"/>
    <n v="84"/>
    <s v="US"/>
    <s v="USD"/>
    <d v="2019-09-29T05:00:00"/>
    <x v="3"/>
    <x v="3"/>
    <d v="2019-11-02T05:00:00"/>
    <b v="0"/>
    <b v="0"/>
    <s v="theater/plays"/>
    <x v="3"/>
    <s v="plays"/>
  </r>
  <r>
    <n v="431"/>
    <s v="Rosales LLC"/>
    <s v="Compatible multimedia utilization"/>
    <n v="5100"/>
    <n v="9817"/>
    <n v="1.9249019607843136"/>
    <x v="1"/>
    <n v="94"/>
    <s v="US"/>
    <s v="USD"/>
    <d v="2018-06-22T05:00:00"/>
    <x v="5"/>
    <x v="9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0.82714285714285718"/>
    <x v="0"/>
    <n v="91"/>
    <s v="US"/>
    <s v="USD"/>
    <d v="2014-05-02T05:00:00"/>
    <x v="11"/>
    <x v="1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0.54163920922570019"/>
    <x v="0"/>
    <n v="792"/>
    <s v="US"/>
    <s v="USD"/>
    <d v="2013-11-25T06:00:00"/>
    <x v="0"/>
    <x v="2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0.16722222222222222"/>
    <x v="3"/>
    <n v="10"/>
    <s v="CA"/>
    <s v="CAD"/>
    <d v="2016-12-01T06:00:00"/>
    <x v="7"/>
    <x v="7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.168766404199475"/>
    <x v="1"/>
    <n v="1713"/>
    <s v="IT"/>
    <s v="EUR"/>
    <d v="2014-12-15T06:00:00"/>
    <x v="7"/>
    <x v="1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.521538461538462"/>
    <x v="1"/>
    <n v="249"/>
    <s v="US"/>
    <s v="USD"/>
    <d v="2019-04-20T05:00:00"/>
    <x v="9"/>
    <x v="3"/>
    <d v="2019-04-21T05:00:00"/>
    <b v="0"/>
    <b v="0"/>
    <s v="music/jazz"/>
    <x v="1"/>
    <s v="jazz"/>
  </r>
  <r>
    <n v="437"/>
    <s v="Hansen Group"/>
    <s v="Centralized regional interface"/>
    <n v="8100"/>
    <n v="9969"/>
    <n v="1.2307407407407407"/>
    <x v="1"/>
    <n v="192"/>
    <s v="US"/>
    <s v="USD"/>
    <d v="2015-09-13T05:00:00"/>
    <x v="3"/>
    <x v="0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.7863855421686747"/>
    <x v="1"/>
    <n v="247"/>
    <s v="US"/>
    <s v="USD"/>
    <d v="2013-03-04T06:00:00"/>
    <x v="6"/>
    <x v="2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.5528169014084505"/>
    <x v="1"/>
    <n v="2293"/>
    <s v="US"/>
    <s v="USD"/>
    <d v="2016-11-06T05:00:00"/>
    <x v="0"/>
    <x v="7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.6190634146341463"/>
    <x v="1"/>
    <n v="3131"/>
    <s v="US"/>
    <s v="USD"/>
    <d v="2017-06-30T05:00:00"/>
    <x v="5"/>
    <x v="5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0.24914285714285714"/>
    <x v="0"/>
    <n v="32"/>
    <s v="US"/>
    <s v="USD"/>
    <d v="2012-04-26T05:00:00"/>
    <x v="9"/>
    <x v="4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.9872222222222222"/>
    <x v="1"/>
    <n v="143"/>
    <s v="IT"/>
    <s v="EUR"/>
    <d v="2017-09-02T05:00:00"/>
    <x v="3"/>
    <x v="5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0.34752688172043011"/>
    <x v="3"/>
    <n v="90"/>
    <s v="US"/>
    <s v="USD"/>
    <d v="2010-09-30T05:00:00"/>
    <x v="3"/>
    <x v="6"/>
    <d v="2010-10-19T05:00:00"/>
    <b v="0"/>
    <b v="0"/>
    <s v="theater/plays"/>
    <x v="3"/>
    <s v="plays"/>
  </r>
  <r>
    <n v="444"/>
    <s v="Hensley Ltd"/>
    <s v="Versatile global attitude"/>
    <n v="6200"/>
    <n v="10938"/>
    <n v="1.7641935483870967"/>
    <x v="1"/>
    <n v="296"/>
    <s v="US"/>
    <s v="USD"/>
    <d v="2011-07-24T05:00:00"/>
    <x v="8"/>
    <x v="8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.1138095238095236"/>
    <x v="1"/>
    <n v="170"/>
    <s v="US"/>
    <s v="USD"/>
    <d v="2010-12-03T06:00:00"/>
    <x v="7"/>
    <x v="6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0.82044117647058823"/>
    <x v="0"/>
    <n v="186"/>
    <s v="US"/>
    <s v="USD"/>
    <d v="2012-12-18T06:00:00"/>
    <x v="7"/>
    <x v="4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0.24326030927835052"/>
    <x v="3"/>
    <n v="439"/>
    <s v="GB"/>
    <s v="GBP"/>
    <d v="2017-12-19T06:00:00"/>
    <x v="7"/>
    <x v="5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0.50482758620689661"/>
    <x v="0"/>
    <n v="605"/>
    <s v="US"/>
    <s v="USD"/>
    <d v="2013-04-14T05:00:00"/>
    <x v="9"/>
    <x v="2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.67"/>
    <x v="1"/>
    <n v="86"/>
    <s v="DK"/>
    <s v="DKK"/>
    <d v="2019-03-06T06:00:00"/>
    <x v="6"/>
    <x v="3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0.04"/>
    <x v="0"/>
    <n v="1"/>
    <s v="CA"/>
    <s v="CAD"/>
    <d v="2018-10-21T05:00:00"/>
    <x v="4"/>
    <x v="9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.2284501347708894"/>
    <x v="1"/>
    <n v="6286"/>
    <s v="US"/>
    <s v="USD"/>
    <d v="2017-07-19T05:00:00"/>
    <x v="8"/>
    <x v="5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0.63437500000000002"/>
    <x v="0"/>
    <n v="31"/>
    <s v="US"/>
    <s v="USD"/>
    <d v="2010-07-06T05:00:00"/>
    <x v="8"/>
    <x v="6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0.56331688596491225"/>
    <x v="0"/>
    <n v="1181"/>
    <s v="US"/>
    <s v="USD"/>
    <d v="2016-12-01T06:00:00"/>
    <x v="7"/>
    <x v="7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0.44074999999999998"/>
    <x v="0"/>
    <n v="39"/>
    <s v="US"/>
    <s v="USD"/>
    <d v="2013-10-21T05:00:00"/>
    <x v="4"/>
    <x v="2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.1837253218884121"/>
    <x v="1"/>
    <n v="3727"/>
    <s v="US"/>
    <s v="USD"/>
    <d v="2011-09-23T05:00:00"/>
    <x v="3"/>
    <x v="8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.041243169398907"/>
    <x v="1"/>
    <n v="1605"/>
    <s v="US"/>
    <s v="USD"/>
    <d v="2018-02-10T06:00:00"/>
    <x v="10"/>
    <x v="9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0.26640000000000003"/>
    <x v="0"/>
    <n v="46"/>
    <s v="US"/>
    <s v="USD"/>
    <d v="2016-10-14T05:00:00"/>
    <x v="4"/>
    <x v="7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.5120118343195266"/>
    <x v="1"/>
    <n v="2120"/>
    <s v="US"/>
    <s v="USD"/>
    <d v="2010-03-28T05:00:00"/>
    <x v="6"/>
    <x v="6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0.90063492063492068"/>
    <x v="0"/>
    <n v="105"/>
    <s v="US"/>
    <s v="USD"/>
    <d v="2014-12-28T06:00:00"/>
    <x v="7"/>
    <x v="1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.7162500000000001"/>
    <x v="1"/>
    <n v="50"/>
    <s v="US"/>
    <s v="USD"/>
    <d v="2010-08-09T05:00:00"/>
    <x v="1"/>
    <x v="6"/>
    <d v="2010-08-12T05:00:00"/>
    <b v="0"/>
    <b v="0"/>
    <s v="theater/plays"/>
    <x v="3"/>
    <s v="plays"/>
  </r>
  <r>
    <n v="461"/>
    <s v="Terry-Salinas"/>
    <s v="Networked secondary structure"/>
    <n v="98800"/>
    <n v="139354"/>
    <n v="1.4104655870445344"/>
    <x v="1"/>
    <n v="2080"/>
    <s v="US"/>
    <s v="USD"/>
    <d v="2014-04-28T05:00:00"/>
    <x v="9"/>
    <x v="1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0.30579449152542371"/>
    <x v="0"/>
    <n v="535"/>
    <s v="US"/>
    <s v="USD"/>
    <d v="2013-01-30T06:00:00"/>
    <x v="2"/>
    <x v="2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.0816455696202532"/>
    <x v="1"/>
    <n v="2105"/>
    <s v="US"/>
    <s v="USD"/>
    <d v="2013-12-31T06:00:00"/>
    <x v="7"/>
    <x v="2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.3345505617977529"/>
    <x v="1"/>
    <n v="2436"/>
    <s v="US"/>
    <s v="USD"/>
    <d v="2018-02-11T06:00:00"/>
    <x v="10"/>
    <x v="9"/>
    <d v="2018-02-25T06:00:00"/>
    <b v="0"/>
    <b v="0"/>
    <s v="theater/plays"/>
    <x v="3"/>
    <s v="plays"/>
  </r>
  <r>
    <n v="465"/>
    <s v="Gonzalez-Robbins"/>
    <s v="Up-sized responsive protocol"/>
    <n v="4700"/>
    <n v="8829"/>
    <n v="1.8785106382978722"/>
    <x v="1"/>
    <n v="80"/>
    <s v="US"/>
    <s v="USD"/>
    <d v="2018-01-27T06:00:00"/>
    <x v="2"/>
    <x v="9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.32"/>
    <x v="1"/>
    <n v="42"/>
    <s v="US"/>
    <s v="USD"/>
    <d v="2013-05-15T05:00:00"/>
    <x v="11"/>
    <x v="2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.7521428571428572"/>
    <x v="1"/>
    <n v="139"/>
    <s v="CA"/>
    <s v="CAD"/>
    <d v="2015-11-23T06:00:00"/>
    <x v="0"/>
    <x v="0"/>
    <d v="2015-11-30T06:00:00"/>
    <b v="0"/>
    <b v="1"/>
    <s v="technology/web"/>
    <x v="2"/>
    <s v="web"/>
  </r>
  <r>
    <n v="468"/>
    <s v="Hughes Inc"/>
    <s v="Streamlined neutral analyzer"/>
    <n v="4000"/>
    <n v="1620"/>
    <n v="0.40500000000000003"/>
    <x v="0"/>
    <n v="16"/>
    <s v="US"/>
    <s v="USD"/>
    <d v="2019-04-14T05:00:00"/>
    <x v="9"/>
    <x v="3"/>
    <d v="2019-04-30T05:00:00"/>
    <b v="0"/>
    <b v="0"/>
    <s v="theater/plays"/>
    <x v="3"/>
    <s v="plays"/>
  </r>
  <r>
    <n v="469"/>
    <s v="Olsen-Ryan"/>
    <s v="Assimilated neutral utilization"/>
    <n v="5600"/>
    <n v="10328"/>
    <n v="1.8442857142857143"/>
    <x v="1"/>
    <n v="159"/>
    <s v="US"/>
    <s v="USD"/>
    <d v="2015-05-18T05:00:00"/>
    <x v="11"/>
    <x v="0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.8580555555555556"/>
    <x v="1"/>
    <n v="381"/>
    <s v="US"/>
    <s v="USD"/>
    <d v="2016-12-12T06:00:00"/>
    <x v="7"/>
    <x v="7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.19"/>
    <x v="1"/>
    <n v="194"/>
    <s v="GB"/>
    <s v="GBP"/>
    <d v="2012-05-02T05:00:00"/>
    <x v="11"/>
    <x v="4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0.39234070221066319"/>
    <x v="0"/>
    <n v="575"/>
    <s v="US"/>
    <s v="USD"/>
    <d v="2019-03-11T05:00:00"/>
    <x v="6"/>
    <x v="3"/>
    <d v="2019-05-04T05:00:00"/>
    <b v="0"/>
    <b v="0"/>
    <s v="music/rock"/>
    <x v="1"/>
    <s v="rock"/>
  </r>
  <r>
    <n v="473"/>
    <s v="Richardson Inc"/>
    <s v="Assimilated fault-tolerant capacity"/>
    <n v="5000"/>
    <n v="8907"/>
    <n v="1.7814000000000001"/>
    <x v="1"/>
    <n v="106"/>
    <s v="US"/>
    <s v="USD"/>
    <d v="2018-06-26T05:00:00"/>
    <x v="5"/>
    <x v="9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.6515"/>
    <x v="1"/>
    <n v="142"/>
    <s v="US"/>
    <s v="USD"/>
    <d v="2014-12-16T06:00:00"/>
    <x v="7"/>
    <x v="1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.1394594594594594"/>
    <x v="1"/>
    <n v="211"/>
    <s v="US"/>
    <s v="USD"/>
    <d v="2013-06-25T05:00:00"/>
    <x v="5"/>
    <x v="2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0.29828720626631855"/>
    <x v="0"/>
    <n v="1120"/>
    <s v="US"/>
    <s v="USD"/>
    <d v="2018-08-10T05:00:00"/>
    <x v="1"/>
    <x v="9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0.54270588235294115"/>
    <x v="0"/>
    <n v="113"/>
    <s v="US"/>
    <s v="USD"/>
    <d v="2011-06-26T05:00:00"/>
    <x v="5"/>
    <x v="8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.3634156976744185"/>
    <x v="1"/>
    <n v="2756"/>
    <s v="US"/>
    <s v="USD"/>
    <d v="2015-03-09T05:00:00"/>
    <x v="6"/>
    <x v="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.1291666666666664"/>
    <x v="1"/>
    <n v="173"/>
    <s v="GB"/>
    <s v="GBP"/>
    <d v="2017-07-29T05:00:00"/>
    <x v="8"/>
    <x v="5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.0065116279069768"/>
    <x v="1"/>
    <n v="87"/>
    <s v="US"/>
    <s v="USD"/>
    <d v="2010-03-11T06:00:00"/>
    <x v="6"/>
    <x v="6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0.81348423194303154"/>
    <x v="0"/>
    <n v="1538"/>
    <s v="US"/>
    <s v="USD"/>
    <d v="2014-10-01T05:00:00"/>
    <x v="4"/>
    <x v="1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0.16404761904761905"/>
    <x v="0"/>
    <n v="9"/>
    <s v="US"/>
    <s v="USD"/>
    <d v="2012-02-24T06:00:00"/>
    <x v="10"/>
    <x v="4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0.52774617067833696"/>
    <x v="0"/>
    <n v="554"/>
    <s v="US"/>
    <s v="USD"/>
    <d v="2019-12-12T06:00:00"/>
    <x v="7"/>
    <x v="3"/>
    <d v="2019-12-19T06:00:00"/>
    <b v="0"/>
    <b v="0"/>
    <s v="theater/plays"/>
    <x v="3"/>
    <s v="plays"/>
  </r>
  <r>
    <n v="484"/>
    <s v="Landry Inc"/>
    <s v="Synergistic cohesive adapter"/>
    <n v="29600"/>
    <n v="77021"/>
    <n v="2.6020608108108108"/>
    <x v="1"/>
    <n v="1572"/>
    <s v="GB"/>
    <s v="GBP"/>
    <d v="2014-08-04T05:00:00"/>
    <x v="1"/>
    <x v="1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0.30732891832229581"/>
    <x v="0"/>
    <n v="648"/>
    <s v="GB"/>
    <s v="GBP"/>
    <d v="2019-06-10T05:00:00"/>
    <x v="5"/>
    <x v="3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0.13500000000000001"/>
    <x v="0"/>
    <n v="21"/>
    <s v="GB"/>
    <s v="GBP"/>
    <d v="2018-03-09T06:00:00"/>
    <x v="6"/>
    <x v="9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.7862556663644606"/>
    <x v="1"/>
    <n v="2346"/>
    <s v="US"/>
    <s v="USD"/>
    <d v="2017-04-20T05:00:00"/>
    <x v="9"/>
    <x v="5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.2005660377358489"/>
    <x v="1"/>
    <n v="115"/>
    <s v="US"/>
    <s v="USD"/>
    <d v="2016-02-03T06:00:00"/>
    <x v="10"/>
    <x v="7"/>
    <d v="2016-02-20T06:00:00"/>
    <b v="0"/>
    <b v="0"/>
    <s v="theater/plays"/>
    <x v="3"/>
    <s v="plays"/>
  </r>
  <r>
    <n v="489"/>
    <s v="Clark Inc"/>
    <s v="Down-sized mobile time-frame"/>
    <n v="9200"/>
    <n v="9339"/>
    <n v="1.015108695652174"/>
    <x v="1"/>
    <n v="85"/>
    <s v="IT"/>
    <s v="EUR"/>
    <d v="2010-08-16T05:00:00"/>
    <x v="1"/>
    <x v="6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.915"/>
    <x v="1"/>
    <n v="144"/>
    <s v="US"/>
    <s v="USD"/>
    <d v="2019-11-17T06:00:00"/>
    <x v="0"/>
    <x v="3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.0534683098591549"/>
    <x v="1"/>
    <n v="2443"/>
    <s v="US"/>
    <s v="USD"/>
    <d v="2013-07-01T05:00:00"/>
    <x v="8"/>
    <x v="2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0.23995287958115183"/>
    <x v="3"/>
    <n v="595"/>
    <s v="US"/>
    <s v="USD"/>
    <d v="2010-06-07T05:00:00"/>
    <x v="5"/>
    <x v="6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.2377777777777776"/>
    <x v="1"/>
    <n v="64"/>
    <s v="US"/>
    <s v="USD"/>
    <d v="2019-06-29T05:00:00"/>
    <x v="5"/>
    <x v="3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.4736000000000002"/>
    <x v="1"/>
    <n v="268"/>
    <s v="US"/>
    <s v="USD"/>
    <d v="2012-03-22T05:00:00"/>
    <x v="6"/>
    <x v="4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.1449999999999996"/>
    <x v="1"/>
    <n v="195"/>
    <s v="DK"/>
    <s v="DKK"/>
    <d v="2014-06-10T05:00:00"/>
    <x v="5"/>
    <x v="1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9.0696409140369975E-3"/>
    <x v="0"/>
    <n v="54"/>
    <s v="US"/>
    <s v="USD"/>
    <d v="2017-05-21T05:00:00"/>
    <x v="11"/>
    <x v="5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0.34173469387755101"/>
    <x v="0"/>
    <n v="120"/>
    <s v="US"/>
    <s v="USD"/>
    <d v="2016-12-20T06:00:00"/>
    <x v="7"/>
    <x v="7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0.239488107549121"/>
    <x v="0"/>
    <n v="579"/>
    <s v="DK"/>
    <s v="DKK"/>
    <d v="2015-01-01T06:00:00"/>
    <x v="2"/>
    <x v="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0.48072649572649573"/>
    <x v="0"/>
    <n v="2072"/>
    <s v="US"/>
    <s v="USD"/>
    <d v="2016-03-15T05:00:00"/>
    <x v="6"/>
    <x v="7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s v="US"/>
    <s v="USD"/>
    <d v="2013-05-01T05:00:00"/>
    <x v="11"/>
    <x v="2"/>
    <d v="2013-05-29T05:00:00"/>
    <b v="0"/>
    <b v="1"/>
    <s v="theater/plays"/>
    <x v="3"/>
    <s v="plays"/>
  </r>
  <r>
    <n v="501"/>
    <s v="Mccann-Le"/>
    <s v="Focused coherent methodology"/>
    <n v="153600"/>
    <n v="107743"/>
    <n v="0.70145182291666663"/>
    <x v="0"/>
    <n v="1796"/>
    <s v="US"/>
    <s v="USD"/>
    <d v="2013-03-12T05:00:00"/>
    <x v="6"/>
    <x v="2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.2992307692307694"/>
    <x v="1"/>
    <n v="186"/>
    <s v="AU"/>
    <s v="AUD"/>
    <d v="2012-07-27T05:00:00"/>
    <x v="8"/>
    <x v="4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.8032549019607844"/>
    <x v="1"/>
    <n v="460"/>
    <s v="US"/>
    <s v="USD"/>
    <d v="2015-07-01T05:00:00"/>
    <x v="8"/>
    <x v="0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0.92320000000000002"/>
    <x v="0"/>
    <n v="62"/>
    <s v="IT"/>
    <s v="EUR"/>
    <d v="2015-05-18T05:00:00"/>
    <x v="11"/>
    <x v="0"/>
    <d v="2015-05-19T05:00:00"/>
    <b v="0"/>
    <b v="0"/>
    <s v="music/rock"/>
    <x v="1"/>
    <s v="rock"/>
  </r>
  <r>
    <n v="505"/>
    <s v="Jensen-Vargas"/>
    <s v="Ameliorated explicit parallelism"/>
    <n v="89900"/>
    <n v="12497"/>
    <n v="0.13901001112347053"/>
    <x v="0"/>
    <n v="347"/>
    <s v="US"/>
    <s v="USD"/>
    <d v="2013-03-08T06:00:00"/>
    <x v="6"/>
    <x v="2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.2707777777777771"/>
    <x v="1"/>
    <n v="2528"/>
    <s v="US"/>
    <s v="USD"/>
    <d v="2017-11-23T06:00:00"/>
    <x v="0"/>
    <x v="5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0.39857142857142858"/>
    <x v="0"/>
    <n v="19"/>
    <s v="US"/>
    <s v="USD"/>
    <d v="2013-04-09T05:00:00"/>
    <x v="9"/>
    <x v="2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.1222929936305732"/>
    <x v="1"/>
    <n v="3657"/>
    <s v="US"/>
    <s v="USD"/>
    <d v="2018-07-29T05:00:00"/>
    <x v="8"/>
    <x v="9"/>
    <d v="2018-08-19T05:00:00"/>
    <b v="0"/>
    <b v="0"/>
    <s v="theater/plays"/>
    <x v="3"/>
    <s v="plays"/>
  </r>
  <r>
    <n v="509"/>
    <s v="White LLC"/>
    <s v="Robust zero-defect project"/>
    <n v="168500"/>
    <n v="119510"/>
    <n v="0.70925816023738875"/>
    <x v="0"/>
    <n v="1258"/>
    <s v="US"/>
    <s v="USD"/>
    <d v="2012-05-05T05:00:00"/>
    <x v="11"/>
    <x v="4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.1908974358974358"/>
    <x v="1"/>
    <n v="131"/>
    <s v="AU"/>
    <s v="AUD"/>
    <d v="2018-05-31T05:00:00"/>
    <x v="11"/>
    <x v="9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0.24017591339648173"/>
    <x v="0"/>
    <n v="362"/>
    <s v="US"/>
    <s v="USD"/>
    <d v="2019-07-25T05:00:00"/>
    <x v="8"/>
    <x v="3"/>
    <d v="2019-08-04T05:00:00"/>
    <b v="0"/>
    <b v="0"/>
    <s v="theater/plays"/>
    <x v="3"/>
    <s v="plays"/>
  </r>
  <r>
    <n v="512"/>
    <s v="Williams-Walsh"/>
    <s v="Organized explicit core"/>
    <n v="9100"/>
    <n v="12678"/>
    <n v="1.3931868131868133"/>
    <x v="1"/>
    <n v="239"/>
    <s v="US"/>
    <s v="USD"/>
    <d v="2014-07-05T05:00:00"/>
    <x v="8"/>
    <x v="1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0.39277108433734942"/>
    <x v="3"/>
    <n v="35"/>
    <s v="US"/>
    <s v="USD"/>
    <d v="2010-09-09T05:00:00"/>
    <x v="3"/>
    <x v="6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0.22439077144917088"/>
    <x v="3"/>
    <n v="528"/>
    <s v="CH"/>
    <s v="CHF"/>
    <d v="2013-12-06T06:00:00"/>
    <x v="7"/>
    <x v="2"/>
    <d v="2013-12-11T06:00:00"/>
    <b v="0"/>
    <b v="1"/>
    <s v="music/rock"/>
    <x v="1"/>
    <s v="rock"/>
  </r>
  <r>
    <n v="515"/>
    <s v="Cox LLC"/>
    <s v="Phased 24hour flexibility"/>
    <n v="8600"/>
    <n v="4797"/>
    <n v="0.55779069767441858"/>
    <x v="0"/>
    <n v="133"/>
    <s v="CA"/>
    <s v="CAD"/>
    <d v="2011-12-23T06:00:00"/>
    <x v="7"/>
    <x v="8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0.42523125996810207"/>
    <x v="0"/>
    <n v="846"/>
    <s v="US"/>
    <s v="USD"/>
    <d v="2010-08-06T05:00:00"/>
    <x v="1"/>
    <x v="6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.1200000000000001"/>
    <x v="1"/>
    <n v="78"/>
    <s v="US"/>
    <s v="USD"/>
    <d v="2017-05-05T05:00:00"/>
    <x v="11"/>
    <x v="5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79E-2"/>
    <x v="0"/>
    <n v="10"/>
    <s v="US"/>
    <s v="USD"/>
    <d v="2018-02-23T06:00:00"/>
    <x v="10"/>
    <x v="9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.0174563871693867"/>
    <x v="1"/>
    <n v="1773"/>
    <s v="US"/>
    <s v="USD"/>
    <d v="2015-01-08T06:00:00"/>
    <x v="2"/>
    <x v="0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.2575000000000003"/>
    <x v="1"/>
    <n v="32"/>
    <s v="US"/>
    <s v="USD"/>
    <d v="2019-04-19T05:00:00"/>
    <x v="9"/>
    <x v="3"/>
    <d v="2019-04-22T05:00:00"/>
    <b v="0"/>
    <b v="0"/>
    <s v="theater/plays"/>
    <x v="3"/>
    <s v="plays"/>
  </r>
  <r>
    <n v="521"/>
    <s v="Wilson Ltd"/>
    <s v="Function-based multi-state software"/>
    <n v="7600"/>
    <n v="11061"/>
    <n v="1.4553947368421052"/>
    <x v="1"/>
    <n v="369"/>
    <s v="US"/>
    <s v="USD"/>
    <d v="2016-08-23T05:00:00"/>
    <x v="1"/>
    <x v="7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0.32453465346534655"/>
    <x v="0"/>
    <n v="191"/>
    <s v="US"/>
    <s v="USD"/>
    <d v="2012-07-03T05:00:00"/>
    <x v="8"/>
    <x v="4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.003333333333333"/>
    <x v="1"/>
    <n v="89"/>
    <s v="US"/>
    <s v="USD"/>
    <d v="2010-03-04T06:00:00"/>
    <x v="6"/>
    <x v="6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0.83904860392967939"/>
    <x v="0"/>
    <n v="1979"/>
    <s v="US"/>
    <s v="USD"/>
    <d v="2010-04-26T05:00:00"/>
    <x v="9"/>
    <x v="6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0.84190476190476193"/>
    <x v="0"/>
    <n v="63"/>
    <s v="US"/>
    <s v="USD"/>
    <d v="2010-11-23T06:00:00"/>
    <x v="0"/>
    <x v="6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.5595180722891566"/>
    <x v="1"/>
    <n v="147"/>
    <s v="US"/>
    <s v="USD"/>
    <d v="2015-12-26T06:00:00"/>
    <x v="7"/>
    <x v="0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0.99619450317124736"/>
    <x v="0"/>
    <n v="6080"/>
    <s v="CA"/>
    <s v="CAD"/>
    <d v="2016-02-05T06:00:00"/>
    <x v="10"/>
    <x v="7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0.80300000000000005"/>
    <x v="0"/>
    <n v="80"/>
    <s v="GB"/>
    <s v="GBP"/>
    <d v="2013-11-23T06:00:00"/>
    <x v="0"/>
    <x v="2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0.11254901960784314"/>
    <x v="0"/>
    <n v="9"/>
    <s v="US"/>
    <s v="USD"/>
    <d v="2014-05-10T05:00:00"/>
    <x v="11"/>
    <x v="1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0.91740952380952379"/>
    <x v="0"/>
    <n v="1784"/>
    <s v="US"/>
    <s v="USD"/>
    <d v="2010-08-31T05:00:00"/>
    <x v="1"/>
    <x v="6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0.95521156936261387"/>
    <x v="2"/>
    <n v="3640"/>
    <s v="CH"/>
    <s v="CHF"/>
    <d v="2013-11-11T06:00:00"/>
    <x v="0"/>
    <x v="2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.0287499999999996"/>
    <x v="1"/>
    <n v="126"/>
    <s v="CA"/>
    <s v="CAD"/>
    <d v="2018-01-25T06:00:00"/>
    <x v="2"/>
    <x v="9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.5924394463667819"/>
    <x v="1"/>
    <n v="2218"/>
    <s v="GB"/>
    <s v="GBP"/>
    <d v="2013-07-24T05:00:00"/>
    <x v="8"/>
    <x v="2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0.15022446689113356"/>
    <x v="0"/>
    <n v="243"/>
    <s v="US"/>
    <s v="USD"/>
    <d v="2018-08-17T05:00:00"/>
    <x v="1"/>
    <x v="9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.820384615384615"/>
    <x v="1"/>
    <n v="202"/>
    <s v="IT"/>
    <s v="EUR"/>
    <d v="2018-06-08T05:00:00"/>
    <x v="5"/>
    <x v="9"/>
    <d v="2018-06-10T05:00:00"/>
    <b v="0"/>
    <b v="1"/>
    <s v="theater/plays"/>
    <x v="3"/>
    <s v="plays"/>
  </r>
  <r>
    <n v="536"/>
    <s v="Shannon-Olson"/>
    <s v="Enhanced methodical middleware"/>
    <n v="9800"/>
    <n v="14697"/>
    <n v="1.4996938775510205"/>
    <x v="1"/>
    <n v="140"/>
    <s v="IT"/>
    <s v="EUR"/>
    <d v="2010-08-24T05:00:00"/>
    <x v="1"/>
    <x v="6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.1722156398104266"/>
    <x v="1"/>
    <n v="1052"/>
    <s v="DK"/>
    <s v="DKK"/>
    <d v="2018-08-30T05:00:00"/>
    <x v="1"/>
    <x v="9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0.37695968274950431"/>
    <x v="0"/>
    <n v="1296"/>
    <s v="US"/>
    <s v="USD"/>
    <d v="2013-09-22T05:00:00"/>
    <x v="3"/>
    <x v="2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0.72653061224489801"/>
    <x v="0"/>
    <n v="77"/>
    <s v="US"/>
    <s v="USD"/>
    <d v="2019-07-01T05:00:00"/>
    <x v="8"/>
    <x v="3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.6598113207547169"/>
    <x v="1"/>
    <n v="247"/>
    <s v="US"/>
    <s v="USD"/>
    <d v="2018-05-05T05:00:00"/>
    <x v="11"/>
    <x v="9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0.24205617977528091"/>
    <x v="0"/>
    <n v="395"/>
    <s v="IT"/>
    <s v="EUR"/>
    <d v="2015-06-10T05:00:00"/>
    <x v="5"/>
    <x v="0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4E-2"/>
    <x v="0"/>
    <n v="49"/>
    <s v="GB"/>
    <s v="GBP"/>
    <d v="2016-01-22T06:00:00"/>
    <x v="2"/>
    <x v="7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0.1632979976442874"/>
    <x v="0"/>
    <n v="180"/>
    <s v="US"/>
    <s v="USD"/>
    <d v="2013-09-11T05:00:00"/>
    <x v="3"/>
    <x v="2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.7650000000000001"/>
    <x v="1"/>
    <n v="84"/>
    <s v="US"/>
    <s v="USD"/>
    <d v="2016-01-08T06:00:00"/>
    <x v="2"/>
    <x v="7"/>
    <d v="2016-01-21T06:00:00"/>
    <b v="0"/>
    <b v="0"/>
    <s v="music/rock"/>
    <x v="1"/>
    <s v="rock"/>
  </r>
  <r>
    <n v="545"/>
    <s v="Deleon and Sons"/>
    <s v="Organized value-added access"/>
    <n v="184800"/>
    <n v="164109"/>
    <n v="0.88803571428571426"/>
    <x v="0"/>
    <n v="2690"/>
    <s v="US"/>
    <s v="USD"/>
    <d v="2019-12-25T06:00:00"/>
    <x v="7"/>
    <x v="3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.6357142857142857"/>
    <x v="1"/>
    <n v="88"/>
    <s v="US"/>
    <s v="USD"/>
    <d v="2018-09-17T05:00:00"/>
    <x v="3"/>
    <x v="9"/>
    <d v="2018-09-20T05:00:00"/>
    <b v="0"/>
    <b v="1"/>
    <s v="theater/plays"/>
    <x v="3"/>
    <s v="plays"/>
  </r>
  <r>
    <n v="547"/>
    <s v="Hardin-Dixon"/>
    <s v="Focused solution-oriented matrix"/>
    <n v="1300"/>
    <n v="12597"/>
    <n v="9.69"/>
    <x v="1"/>
    <n v="156"/>
    <s v="US"/>
    <s v="USD"/>
    <d v="2015-01-25T06:00:00"/>
    <x v="2"/>
    <x v="0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.7091376701966716"/>
    <x v="1"/>
    <n v="2985"/>
    <s v="US"/>
    <s v="USD"/>
    <d v="2016-04-01T05:00:00"/>
    <x v="9"/>
    <x v="7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.8421355932203389"/>
    <x v="1"/>
    <n v="762"/>
    <s v="US"/>
    <s v="USD"/>
    <d v="2013-05-28T05:00:00"/>
    <x v="11"/>
    <x v="2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0.04"/>
    <x v="3"/>
    <n v="1"/>
    <s v="CH"/>
    <s v="CHF"/>
    <d v="2012-02-29T06:00:00"/>
    <x v="10"/>
    <x v="4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0.58632981676846196"/>
    <x v="0"/>
    <n v="2779"/>
    <s v="AU"/>
    <s v="AUD"/>
    <d v="2014-12-20T06:00:00"/>
    <x v="7"/>
    <x v="1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0.98511111111111116"/>
    <x v="0"/>
    <n v="92"/>
    <s v="US"/>
    <s v="USD"/>
    <d v="2016-11-26T06:00:00"/>
    <x v="0"/>
    <x v="7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0.43975381008206332"/>
    <x v="0"/>
    <n v="1028"/>
    <s v="US"/>
    <s v="USD"/>
    <d v="2011-01-02T06:00:00"/>
    <x v="2"/>
    <x v="8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.5166315789473683"/>
    <x v="1"/>
    <n v="554"/>
    <s v="CA"/>
    <s v="CAD"/>
    <d v="2016-12-19T06:00:00"/>
    <x v="7"/>
    <x v="7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.2363492063492063"/>
    <x v="1"/>
    <n v="135"/>
    <s v="DK"/>
    <s v="DKK"/>
    <d v="2014-04-02T05:00:00"/>
    <x v="9"/>
    <x v="1"/>
    <d v="2014-05-03T05:00:00"/>
    <b v="0"/>
    <b v="0"/>
    <s v="music/rock"/>
    <x v="1"/>
    <s v="rock"/>
  </r>
  <r>
    <n v="556"/>
    <s v="Smith and Sons"/>
    <s v="Grass-roots 24/7 attitude"/>
    <n v="5200"/>
    <n v="12467"/>
    <n v="2.3975"/>
    <x v="1"/>
    <n v="122"/>
    <s v="US"/>
    <s v="USD"/>
    <d v="2011-09-06T05:00:00"/>
    <x v="3"/>
    <x v="8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.9933333333333334"/>
    <x v="1"/>
    <n v="221"/>
    <s v="US"/>
    <s v="USD"/>
    <d v="2015-10-02T05:00:00"/>
    <x v="4"/>
    <x v="0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.373448275862069"/>
    <x v="1"/>
    <n v="126"/>
    <s v="US"/>
    <s v="USD"/>
    <d v="2016-02-24T06:00:00"/>
    <x v="10"/>
    <x v="7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.009696106362773"/>
    <x v="1"/>
    <n v="1022"/>
    <s v="US"/>
    <s v="USD"/>
    <d v="2016-08-02T05:00:00"/>
    <x v="1"/>
    <x v="7"/>
    <d v="2016-08-09T05:00:00"/>
    <b v="0"/>
    <b v="0"/>
    <s v="theater/plays"/>
    <x v="3"/>
    <s v="plays"/>
  </r>
  <r>
    <n v="560"/>
    <s v="Hunt LLC"/>
    <s v="Re-engineered radical policy"/>
    <n v="20000"/>
    <n v="158832"/>
    <n v="7.9416000000000002"/>
    <x v="1"/>
    <n v="3177"/>
    <s v="US"/>
    <s v="USD"/>
    <d v="2011-11-18T06:00:00"/>
    <x v="0"/>
    <x v="8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.6970000000000001"/>
    <x v="1"/>
    <n v="198"/>
    <s v="CH"/>
    <s v="CHF"/>
    <d v="2011-10-17T05:00:00"/>
    <x v="4"/>
    <x v="8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0.12818181818181817"/>
    <x v="0"/>
    <n v="26"/>
    <s v="CH"/>
    <s v="CHF"/>
    <d v="2019-03-12T05:00:00"/>
    <x v="6"/>
    <x v="3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.3802702702702703"/>
    <x v="1"/>
    <n v="85"/>
    <s v="AU"/>
    <s v="AUD"/>
    <d v="2018-11-13T06:00:00"/>
    <x v="0"/>
    <x v="9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0.83813278008298753"/>
    <x v="0"/>
    <n v="1790"/>
    <s v="US"/>
    <s v="USD"/>
    <d v="2015-03-15T05:00:00"/>
    <x v="6"/>
    <x v="0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.0460063224446787"/>
    <x v="1"/>
    <n v="3596"/>
    <s v="US"/>
    <s v="USD"/>
    <d v="2011-11-15T06:00:00"/>
    <x v="0"/>
    <x v="8"/>
    <d v="2011-12-05T06:00:00"/>
    <b v="0"/>
    <b v="0"/>
    <s v="theater/plays"/>
    <x v="3"/>
    <s v="plays"/>
  </r>
  <r>
    <n v="566"/>
    <s v="Webb-Smith"/>
    <s v="Advanced content-based installation"/>
    <n v="9300"/>
    <n v="4124"/>
    <n v="0.44344086021505374"/>
    <x v="0"/>
    <n v="37"/>
    <s v="US"/>
    <s v="USD"/>
    <d v="2016-02-24T06:00:00"/>
    <x v="10"/>
    <x v="7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.1860294117647059"/>
    <x v="1"/>
    <n v="244"/>
    <s v="US"/>
    <s v="USD"/>
    <d v="2014-07-10T05:00:00"/>
    <x v="8"/>
    <x v="1"/>
    <d v="2014-07-12T05:00:00"/>
    <b v="0"/>
    <b v="0"/>
    <s v="music/rock"/>
    <x v="1"/>
    <s v="rock"/>
  </r>
  <r>
    <n v="568"/>
    <s v="Hardin-Foley"/>
    <s v="Synergized zero tolerance help-desk"/>
    <n v="72400"/>
    <n v="134688"/>
    <n v="1.8603314917127072"/>
    <x v="1"/>
    <n v="5180"/>
    <s v="US"/>
    <s v="USD"/>
    <d v="2010-07-15T05:00:00"/>
    <x v="8"/>
    <x v="6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.3733830845771142"/>
    <x v="1"/>
    <n v="589"/>
    <s v="IT"/>
    <s v="EUR"/>
    <d v="2011-01-11T06:00:00"/>
    <x v="2"/>
    <x v="8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.0565384615384614"/>
    <x v="1"/>
    <n v="2725"/>
    <s v="US"/>
    <s v="USD"/>
    <d v="2014-12-20T06:00:00"/>
    <x v="7"/>
    <x v="1"/>
    <d v="2014-12-26T06:00:00"/>
    <b v="0"/>
    <b v="1"/>
    <s v="music/rock"/>
    <x v="1"/>
    <s v="rock"/>
  </r>
  <r>
    <n v="571"/>
    <s v="Wilson and Sons"/>
    <s v="Monitored grid-enabled model"/>
    <n v="3500"/>
    <n v="3295"/>
    <n v="0.94142857142857139"/>
    <x v="0"/>
    <n v="35"/>
    <s v="IT"/>
    <s v="EUR"/>
    <d v="2015-06-19T05:00:00"/>
    <x v="5"/>
    <x v="0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0.54400000000000004"/>
    <x v="3"/>
    <n v="94"/>
    <s v="US"/>
    <s v="USD"/>
    <d v="2015-09-28T05:00:00"/>
    <x v="3"/>
    <x v="0"/>
    <d v="2015-10-14T05:00:00"/>
    <b v="0"/>
    <b v="1"/>
    <s v="music/rock"/>
    <x v="1"/>
    <s v="rock"/>
  </r>
  <r>
    <n v="573"/>
    <s v="Valenzuela-Cook"/>
    <s v="Total incremental productivity"/>
    <n v="6700"/>
    <n v="7496"/>
    <n v="1.1188059701492536"/>
    <x v="1"/>
    <n v="300"/>
    <s v="US"/>
    <s v="USD"/>
    <d v="2014-05-02T05:00:00"/>
    <x v="11"/>
    <x v="1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.6914814814814814"/>
    <x v="1"/>
    <n v="144"/>
    <s v="US"/>
    <s v="USD"/>
    <d v="2019-12-07T06:00:00"/>
    <x v="7"/>
    <x v="3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0.62930372148859548"/>
    <x v="0"/>
    <n v="558"/>
    <s v="US"/>
    <s v="USD"/>
    <d v="2014-05-20T05:00:00"/>
    <x v="11"/>
    <x v="1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0.6492783505154639"/>
    <x v="0"/>
    <n v="64"/>
    <s v="US"/>
    <s v="USD"/>
    <d v="2017-11-01T05:00:00"/>
    <x v="0"/>
    <x v="5"/>
    <d v="2017-11-18T06:00:00"/>
    <b v="0"/>
    <b v="0"/>
    <s v="theater/plays"/>
    <x v="3"/>
    <s v="plays"/>
  </r>
  <r>
    <n v="577"/>
    <s v="Stevens Inc"/>
    <s v="Adaptive 24hour projection"/>
    <n v="8200"/>
    <n v="1546"/>
    <n v="0.18853658536585366"/>
    <x v="3"/>
    <n v="37"/>
    <s v="US"/>
    <s v="USD"/>
    <d v="2011-03-11T06:00:00"/>
    <x v="6"/>
    <x v="8"/>
    <d v="2011-04-06T05:00:00"/>
    <b v="0"/>
    <b v="0"/>
    <s v="music/jazz"/>
    <x v="1"/>
    <s v="jazz"/>
  </r>
  <r>
    <n v="578"/>
    <s v="Martinez-Johnson"/>
    <s v="Sharable radical toolset"/>
    <n v="96500"/>
    <n v="16168"/>
    <n v="0.1675440414507772"/>
    <x v="0"/>
    <n v="245"/>
    <s v="US"/>
    <s v="USD"/>
    <d v="2011-12-01T06:00:00"/>
    <x v="7"/>
    <x v="8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.0111290322580646"/>
    <x v="1"/>
    <n v="87"/>
    <s v="US"/>
    <s v="USD"/>
    <d v="2011-08-07T05:00:00"/>
    <x v="1"/>
    <x v="8"/>
    <d v="2011-08-19T05:00:00"/>
    <b v="0"/>
    <b v="0"/>
    <s v="music/jazz"/>
    <x v="1"/>
    <s v="jazz"/>
  </r>
  <r>
    <n v="580"/>
    <s v="Perez PLC"/>
    <s v="Seamless 6thgeneration extranet"/>
    <n v="43800"/>
    <n v="149578"/>
    <n v="3.4150228310502282"/>
    <x v="1"/>
    <n v="3116"/>
    <s v="US"/>
    <s v="USD"/>
    <d v="2014-02-26T06:00:00"/>
    <x v="10"/>
    <x v="1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0.64016666666666666"/>
    <x v="0"/>
    <n v="71"/>
    <s v="US"/>
    <s v="USD"/>
    <d v="2011-04-29T05:00:00"/>
    <x v="9"/>
    <x v="8"/>
    <d v="2011-05-14T05:00:00"/>
    <b v="0"/>
    <b v="0"/>
    <s v="technology/web"/>
    <x v="2"/>
    <s v="web"/>
  </r>
  <r>
    <n v="582"/>
    <s v="Pineda Ltd"/>
    <s v="Cross-group global system engine"/>
    <n v="8700"/>
    <n v="4531"/>
    <n v="0.5208045977011494"/>
    <x v="0"/>
    <n v="42"/>
    <s v="US"/>
    <s v="USD"/>
    <d v="2015-06-10T05:00:00"/>
    <x v="5"/>
    <x v="0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.2240211640211642"/>
    <x v="1"/>
    <n v="909"/>
    <s v="US"/>
    <s v="USD"/>
    <d v="2012-02-20T06:00:00"/>
    <x v="10"/>
    <x v="4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.1950810185185186"/>
    <x v="1"/>
    <n v="1613"/>
    <s v="US"/>
    <s v="USD"/>
    <d v="2012-04-25T05:00:00"/>
    <x v="9"/>
    <x v="4"/>
    <d v="2012-05-09T05:00:00"/>
    <b v="0"/>
    <b v="0"/>
    <s v="technology/web"/>
    <x v="2"/>
    <s v="web"/>
  </r>
  <r>
    <n v="585"/>
    <s v="Pugh LLC"/>
    <s v="Reactive analyzing function"/>
    <n v="8900"/>
    <n v="13065"/>
    <n v="1.4679775280898877"/>
    <x v="1"/>
    <n v="136"/>
    <s v="US"/>
    <s v="USD"/>
    <d v="2010-03-18T05:00:00"/>
    <x v="6"/>
    <x v="6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.5057142857142853"/>
    <x v="1"/>
    <n v="130"/>
    <s v="US"/>
    <s v="USD"/>
    <d v="2010-11-17T06:00:00"/>
    <x v="0"/>
    <x v="6"/>
    <d v="2010-12-06T06:00:00"/>
    <b v="0"/>
    <b v="0"/>
    <s v="music/rock"/>
    <x v="1"/>
    <s v="rock"/>
  </r>
  <r>
    <n v="587"/>
    <s v="Williams-Santos"/>
    <s v="Open-source analyzing monitoring"/>
    <n v="9400"/>
    <n v="6852"/>
    <n v="0.72893617021276591"/>
    <x v="0"/>
    <n v="156"/>
    <s v="CA"/>
    <s v="CAD"/>
    <d v="2019-01-19T06:00:00"/>
    <x v="2"/>
    <x v="3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0.7900824873096447"/>
    <x v="0"/>
    <n v="1368"/>
    <s v="GB"/>
    <s v="GBP"/>
    <d v="2010-03-25T05:00:00"/>
    <x v="6"/>
    <x v="6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0.64721518987341775"/>
    <x v="0"/>
    <n v="102"/>
    <s v="US"/>
    <s v="USD"/>
    <d v="2015-07-05T05:00:00"/>
    <x v="8"/>
    <x v="0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0.82028169014084507"/>
    <x v="0"/>
    <n v="86"/>
    <s v="AU"/>
    <s v="AUD"/>
    <d v="2014-12-21T06:00:00"/>
    <x v="7"/>
    <x v="1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.376666666666667"/>
    <x v="1"/>
    <n v="102"/>
    <s v="US"/>
    <s v="USD"/>
    <d v="2010-07-14T05:00:00"/>
    <x v="8"/>
    <x v="6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0.12910076530612244"/>
    <x v="0"/>
    <n v="253"/>
    <s v="US"/>
    <s v="USD"/>
    <d v="2014-05-30T05:00:00"/>
    <x v="11"/>
    <x v="1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.5484210526315789"/>
    <x v="1"/>
    <n v="4006"/>
    <s v="US"/>
    <s v="USD"/>
    <d v="2014-03-26T05:00:00"/>
    <x v="6"/>
    <x v="1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4E-2"/>
    <x v="0"/>
    <n v="157"/>
    <s v="US"/>
    <s v="USD"/>
    <d v="2016-06-27T05:00:00"/>
    <x v="5"/>
    <x v="7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.0852773826458035"/>
    <x v="1"/>
    <n v="1629"/>
    <s v="US"/>
    <s v="USD"/>
    <d v="2010-03-16T05:00:00"/>
    <x v="6"/>
    <x v="6"/>
    <d v="2010-04-06T05:00:00"/>
    <b v="0"/>
    <b v="1"/>
    <s v="theater/plays"/>
    <x v="3"/>
    <s v="plays"/>
  </r>
  <r>
    <n v="596"/>
    <s v="Becker-Scott"/>
    <s v="Managed optimizing archive"/>
    <n v="7900"/>
    <n v="7875"/>
    <n v="0.99683544303797467"/>
    <x v="0"/>
    <n v="183"/>
    <s v="US"/>
    <s v="USD"/>
    <d v="2016-03-05T06:00:00"/>
    <x v="6"/>
    <x v="7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.0159756097560977"/>
    <x v="1"/>
    <n v="2188"/>
    <s v="US"/>
    <s v="USD"/>
    <d v="2019-11-17T06:00:00"/>
    <x v="0"/>
    <x v="3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.6209032258064515"/>
    <x v="1"/>
    <n v="2409"/>
    <s v="IT"/>
    <s v="EUR"/>
    <d v="2010-06-15T05:00:00"/>
    <x v="5"/>
    <x v="6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E-2"/>
    <x v="0"/>
    <n v="82"/>
    <s v="DK"/>
    <s v="DKK"/>
    <d v="2015-02-12T06:00:00"/>
    <x v="10"/>
    <x v="0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0.05"/>
    <x v="0"/>
    <n v="1"/>
    <s v="GB"/>
    <s v="GBP"/>
    <d v="2013-07-30T05:00:00"/>
    <x v="8"/>
    <x v="2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.0663492063492064"/>
    <x v="1"/>
    <n v="194"/>
    <s v="US"/>
    <s v="USD"/>
    <d v="2014-05-30T05:00:00"/>
    <x v="11"/>
    <x v="1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.2823628691983122"/>
    <x v="1"/>
    <n v="1140"/>
    <s v="US"/>
    <s v="USD"/>
    <d v="2015-06-05T05:00:00"/>
    <x v="5"/>
    <x v="0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.1966037735849056"/>
    <x v="1"/>
    <n v="102"/>
    <s v="US"/>
    <s v="USD"/>
    <d v="2019-04-18T05:00:00"/>
    <x v="9"/>
    <x v="3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.7073055242390078"/>
    <x v="1"/>
    <n v="2857"/>
    <s v="US"/>
    <s v="USD"/>
    <d v="2011-01-22T06:00:00"/>
    <x v="2"/>
    <x v="8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.8721212121212121"/>
    <x v="1"/>
    <n v="107"/>
    <s v="US"/>
    <s v="USD"/>
    <d v="2015-10-03T05:00:00"/>
    <x v="4"/>
    <x v="0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.8838235294117647"/>
    <x v="1"/>
    <n v="160"/>
    <s v="GB"/>
    <s v="GBP"/>
    <d v="2016-03-07T06:00:00"/>
    <x v="6"/>
    <x v="7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.3129869186046512"/>
    <x v="1"/>
    <n v="2230"/>
    <s v="US"/>
    <s v="USD"/>
    <d v="2014-03-23T05:00:00"/>
    <x v="6"/>
    <x v="1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.8397435897435899"/>
    <x v="1"/>
    <n v="316"/>
    <s v="US"/>
    <s v="USD"/>
    <d v="2019-03-06T06:00:00"/>
    <x v="6"/>
    <x v="3"/>
    <d v="2019-03-10T06:00:00"/>
    <b v="0"/>
    <b v="1"/>
    <s v="music/jazz"/>
    <x v="1"/>
    <s v="jazz"/>
  </r>
  <r>
    <n v="609"/>
    <s v="Rose-Fuller"/>
    <s v="Upgradable holistic system engine"/>
    <n v="10000"/>
    <n v="12042"/>
    <n v="1.2041999999999999"/>
    <x v="1"/>
    <n v="117"/>
    <s v="US"/>
    <s v="USD"/>
    <d v="2019-01-16T06:00:00"/>
    <x v="2"/>
    <x v="3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.1905607476635511"/>
    <x v="1"/>
    <n v="6406"/>
    <s v="US"/>
    <s v="USD"/>
    <d v="2012-12-16T06:00:00"/>
    <x v="7"/>
    <x v="4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0.13853658536585367"/>
    <x v="3"/>
    <n v="15"/>
    <s v="US"/>
    <s v="USD"/>
    <d v="2013-07-25T05:00:00"/>
    <x v="8"/>
    <x v="2"/>
    <d v="2013-08-06T05:00:00"/>
    <b v="0"/>
    <b v="0"/>
    <s v="theater/plays"/>
    <x v="3"/>
    <s v="plays"/>
  </r>
  <r>
    <n v="612"/>
    <s v="Wang, Nguyen and Horton"/>
    <s v="Innovative holistic hub"/>
    <n v="6200"/>
    <n v="8645"/>
    <n v="1.3943548387096774"/>
    <x v="1"/>
    <n v="192"/>
    <s v="US"/>
    <s v="USD"/>
    <d v="2010-10-23T05:00:00"/>
    <x v="4"/>
    <x v="6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.74"/>
    <x v="1"/>
    <n v="26"/>
    <s v="CA"/>
    <s v="CAD"/>
    <d v="2017-08-26T05:00:00"/>
    <x v="1"/>
    <x v="5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.5549056603773586"/>
    <x v="1"/>
    <n v="723"/>
    <s v="US"/>
    <s v="USD"/>
    <d v="2017-01-11T06:00:00"/>
    <x v="2"/>
    <x v="5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.7044705882352942"/>
    <x v="1"/>
    <n v="170"/>
    <s v="IT"/>
    <s v="EUR"/>
    <d v="2016-04-29T05:00:00"/>
    <x v="9"/>
    <x v="7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.8951562500000001"/>
    <x v="1"/>
    <n v="238"/>
    <s v="GB"/>
    <s v="GBP"/>
    <d v="2013-09-20T05:00:00"/>
    <x v="3"/>
    <x v="2"/>
    <d v="2013-09-21T05:00:00"/>
    <b v="0"/>
    <b v="1"/>
    <s v="music/indie rock"/>
    <x v="1"/>
    <s v="indie rock"/>
  </r>
  <r>
    <n v="617"/>
    <s v="King LLC"/>
    <s v="Multi-channeled local intranet"/>
    <n v="1400"/>
    <n v="3496"/>
    <n v="2.4971428571428573"/>
    <x v="1"/>
    <n v="55"/>
    <s v="US"/>
    <s v="USD"/>
    <d v="2014-06-04T05:00:00"/>
    <x v="5"/>
    <x v="1"/>
    <d v="2014-06-14T05:00:00"/>
    <b v="0"/>
    <b v="0"/>
    <s v="theater/plays"/>
    <x v="3"/>
    <s v="plays"/>
  </r>
  <r>
    <n v="618"/>
    <s v="Miller Ltd"/>
    <s v="Open-architected mobile emulation"/>
    <n v="198600"/>
    <n v="97037"/>
    <n v="0.48860523665659616"/>
    <x v="0"/>
    <n v="1198"/>
    <s v="US"/>
    <s v="USD"/>
    <d v="2013-05-02T05:00:00"/>
    <x v="11"/>
    <x v="2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0.28461970393057684"/>
    <x v="0"/>
    <n v="648"/>
    <s v="US"/>
    <s v="USD"/>
    <d v="2011-05-06T05:00:00"/>
    <x v="11"/>
    <x v="8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.6802325581395348"/>
    <x v="1"/>
    <n v="128"/>
    <s v="AU"/>
    <s v="AUD"/>
    <d v="2016-07-08T05:00:00"/>
    <x v="8"/>
    <x v="7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.1980078125000002"/>
    <x v="1"/>
    <n v="2144"/>
    <s v="US"/>
    <s v="USD"/>
    <d v="2016-09-13T05:00:00"/>
    <x v="3"/>
    <x v="7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3E-2"/>
    <x v="0"/>
    <n v="64"/>
    <s v="US"/>
    <s v="USD"/>
    <d v="2018-04-15T05:00:00"/>
    <x v="9"/>
    <x v="9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.5992152704135738"/>
    <x v="1"/>
    <n v="2693"/>
    <s v="GB"/>
    <s v="GBP"/>
    <d v="2015-07-16T05:00:00"/>
    <x v="8"/>
    <x v="0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.793921568627451"/>
    <x v="1"/>
    <n v="432"/>
    <s v="US"/>
    <s v="USD"/>
    <d v="2015-01-25T06:00:00"/>
    <x v="2"/>
    <x v="0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0.77373333333333338"/>
    <x v="0"/>
    <n v="62"/>
    <s v="US"/>
    <s v="USD"/>
    <d v="2020-01-27T06:00:00"/>
    <x v="2"/>
    <x v="10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.0632812500000002"/>
    <x v="1"/>
    <n v="189"/>
    <s v="US"/>
    <s v="USD"/>
    <d v="2010-09-28T05:00:00"/>
    <x v="3"/>
    <x v="6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.9424999999999999"/>
    <x v="1"/>
    <n v="154"/>
    <s v="GB"/>
    <s v="GBP"/>
    <d v="2010-06-16T05:00:00"/>
    <x v="5"/>
    <x v="6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.5178947368421052"/>
    <x v="1"/>
    <n v="96"/>
    <s v="US"/>
    <s v="USD"/>
    <d v="2010-10-04T05:00:00"/>
    <x v="4"/>
    <x v="6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0.64582072176949945"/>
    <x v="0"/>
    <n v="750"/>
    <s v="US"/>
    <s v="USD"/>
    <d v="2016-07-06T05:00:00"/>
    <x v="8"/>
    <x v="7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0.62873684210526315"/>
    <x v="3"/>
    <n v="87"/>
    <s v="US"/>
    <s v="USD"/>
    <d v="2019-05-01T05:00:00"/>
    <x v="11"/>
    <x v="3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.1039864864864866"/>
    <x v="1"/>
    <n v="3063"/>
    <s v="US"/>
    <s v="USD"/>
    <d v="2019-03-26T05:00:00"/>
    <x v="6"/>
    <x v="3"/>
    <d v="2019-03-30T05:00:00"/>
    <b v="0"/>
    <b v="0"/>
    <s v="theater/plays"/>
    <x v="3"/>
    <s v="plays"/>
  </r>
  <r>
    <n v="632"/>
    <s v="Parker PLC"/>
    <s v="Reduced interactive matrix"/>
    <n v="72100"/>
    <n v="30902"/>
    <n v="0.42859916782246882"/>
    <x v="2"/>
    <n v="278"/>
    <s v="US"/>
    <s v="USD"/>
    <d v="2014-11-02T05:00:00"/>
    <x v="0"/>
    <x v="1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0.83119402985074631"/>
    <x v="0"/>
    <n v="105"/>
    <s v="US"/>
    <s v="USD"/>
    <d v="2015-11-07T06:00:00"/>
    <x v="0"/>
    <x v="0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0.78531302876480547"/>
    <x v="3"/>
    <n v="1658"/>
    <s v="US"/>
    <s v="USD"/>
    <d v="2017-03-25T05:00:00"/>
    <x v="6"/>
    <x v="5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.1409352517985611"/>
    <x v="1"/>
    <n v="2266"/>
    <s v="US"/>
    <s v="USD"/>
    <d v="2013-02-09T06:00:00"/>
    <x v="10"/>
    <x v="2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0.64537683358624176"/>
    <x v="0"/>
    <n v="2604"/>
    <s v="DK"/>
    <s v="DKK"/>
    <d v="2012-01-18T06:00:00"/>
    <x v="2"/>
    <x v="4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0.79411764705882348"/>
    <x v="0"/>
    <n v="65"/>
    <s v="US"/>
    <s v="USD"/>
    <d v="2016-11-14T06:00:00"/>
    <x v="0"/>
    <x v="7"/>
    <d v="2016-11-22T06:00:00"/>
    <b v="0"/>
    <b v="0"/>
    <s v="theater/plays"/>
    <x v="3"/>
    <s v="plays"/>
  </r>
  <r>
    <n v="638"/>
    <s v="Weaver Ltd"/>
    <s v="Monitored 24/7 approach"/>
    <n v="81600"/>
    <n v="9318"/>
    <n v="0.11419117647058824"/>
    <x v="0"/>
    <n v="94"/>
    <s v="US"/>
    <s v="USD"/>
    <d v="2010-07-27T05:00:00"/>
    <x v="8"/>
    <x v="6"/>
    <d v="2010-08-08T05:00:00"/>
    <b v="0"/>
    <b v="1"/>
    <s v="theater/plays"/>
    <x v="3"/>
    <s v="plays"/>
  </r>
  <r>
    <n v="639"/>
    <s v="Barnes-Williams"/>
    <s v="Upgradable explicit forecast"/>
    <n v="8600"/>
    <n v="4832"/>
    <n v="0.56186046511627907"/>
    <x v="2"/>
    <n v="45"/>
    <s v="US"/>
    <s v="USD"/>
    <d v="2018-07-28T05:00:00"/>
    <x v="8"/>
    <x v="9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0.16501669449081802"/>
    <x v="0"/>
    <n v="257"/>
    <s v="US"/>
    <s v="USD"/>
    <d v="2016-01-18T06:00:00"/>
    <x v="2"/>
    <x v="7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.1996808510638297"/>
    <x v="1"/>
    <n v="194"/>
    <s v="CH"/>
    <s v="CHF"/>
    <d v="2017-02-20T06:00:00"/>
    <x v="10"/>
    <x v="5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.4545652173913044"/>
    <x v="1"/>
    <n v="129"/>
    <s v="CA"/>
    <s v="CAD"/>
    <d v="2018-12-17T06:00:00"/>
    <x v="7"/>
    <x v="9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.2138255033557046"/>
    <x v="1"/>
    <n v="375"/>
    <s v="US"/>
    <s v="USD"/>
    <d v="2017-03-01T06:00:00"/>
    <x v="6"/>
    <x v="5"/>
    <d v="2017-03-19T05:00:00"/>
    <b v="0"/>
    <b v="0"/>
    <s v="theater/plays"/>
    <x v="3"/>
    <s v="plays"/>
  </r>
  <r>
    <n v="644"/>
    <s v="Peters-Nelson"/>
    <s v="Distributed real-time algorithm"/>
    <n v="169400"/>
    <n v="81984"/>
    <n v="0.48396694214876035"/>
    <x v="0"/>
    <n v="2928"/>
    <s v="CA"/>
    <s v="CAD"/>
    <d v="2018-12-18T06:00:00"/>
    <x v="7"/>
    <x v="9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0.92911504424778757"/>
    <x v="0"/>
    <n v="4697"/>
    <s v="US"/>
    <s v="USD"/>
    <d v="2018-09-26T05:00:00"/>
    <x v="3"/>
    <x v="9"/>
    <d v="2018-10-17T05:00:00"/>
    <b v="0"/>
    <b v="1"/>
    <s v="music/rock"/>
    <x v="1"/>
    <s v="rock"/>
  </r>
  <r>
    <n v="646"/>
    <s v="Robinson Group"/>
    <s v="Switchable reciprocal middleware"/>
    <n v="98700"/>
    <n v="87448"/>
    <n v="0.88599797365754818"/>
    <x v="0"/>
    <n v="2915"/>
    <s v="US"/>
    <s v="USD"/>
    <d v="2013-03-13T05:00:00"/>
    <x v="6"/>
    <x v="2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0.41399999999999998"/>
    <x v="0"/>
    <n v="18"/>
    <s v="US"/>
    <s v="USD"/>
    <d v="2018-04-09T05:00:00"/>
    <x v="9"/>
    <x v="9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0.63056795131845844"/>
    <x v="3"/>
    <n v="723"/>
    <s v="US"/>
    <s v="USD"/>
    <d v="2017-07-06T05:00:00"/>
    <x v="8"/>
    <x v="5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0.48482333607230893"/>
    <x v="0"/>
    <n v="602"/>
    <s v="CH"/>
    <s v="CHF"/>
    <d v="2010-10-20T05:00:00"/>
    <x v="4"/>
    <x v="6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0.02"/>
    <x v="0"/>
    <n v="1"/>
    <s v="US"/>
    <s v="USD"/>
    <d v="2014-07-08T05:00:00"/>
    <x v="8"/>
    <x v="1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0.88479410269445857"/>
    <x v="0"/>
    <n v="3868"/>
    <s v="IT"/>
    <s v="EUR"/>
    <d v="2014-02-22T06:00:00"/>
    <x v="10"/>
    <x v="1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.2684"/>
    <x v="1"/>
    <n v="409"/>
    <s v="US"/>
    <s v="USD"/>
    <d v="2016-08-05T05:00:00"/>
    <x v="1"/>
    <x v="7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.388333333333332"/>
    <x v="1"/>
    <n v="234"/>
    <s v="US"/>
    <s v="USD"/>
    <d v="2016-04-08T05:00:00"/>
    <x v="9"/>
    <x v="7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.0838857142857146"/>
    <x v="1"/>
    <n v="3016"/>
    <s v="US"/>
    <s v="USD"/>
    <d v="2015-08-24T05:00:00"/>
    <x v="1"/>
    <x v="0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.9147826086956521"/>
    <x v="1"/>
    <n v="264"/>
    <s v="US"/>
    <s v="USD"/>
    <d v="2017-03-02T06:00:00"/>
    <x v="6"/>
    <x v="5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0.42127533783783783"/>
    <x v="0"/>
    <n v="504"/>
    <s v="AU"/>
    <s v="AUD"/>
    <d v="2017-12-28T06:00:00"/>
    <x v="7"/>
    <x v="5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00000000000001E-2"/>
    <x v="0"/>
    <n v="14"/>
    <s v="US"/>
    <s v="USD"/>
    <d v="2017-12-27T06:00:00"/>
    <x v="7"/>
    <x v="5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0.60064638783269964"/>
    <x v="3"/>
    <n v="390"/>
    <s v="US"/>
    <s v="USD"/>
    <d v="2015-08-30T05:00:00"/>
    <x v="1"/>
    <x v="0"/>
    <d v="2015-09-22T05:00:00"/>
    <b v="0"/>
    <b v="0"/>
    <s v="music/rock"/>
    <x v="1"/>
    <s v="rock"/>
  </r>
  <r>
    <n v="659"/>
    <s v="Bailey and Sons"/>
    <s v="Grass-roots dynamic emulation"/>
    <n v="120700"/>
    <n v="57010"/>
    <n v="0.47232808616404309"/>
    <x v="0"/>
    <n v="750"/>
    <s v="GB"/>
    <s v="GBP"/>
    <d v="2011-01-27T06:00:00"/>
    <x v="2"/>
    <x v="8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0.81736263736263737"/>
    <x v="0"/>
    <n v="77"/>
    <s v="US"/>
    <s v="USD"/>
    <d v="2015-08-21T05:00:00"/>
    <x v="1"/>
    <x v="0"/>
    <d v="2015-08-30T05:00:00"/>
    <b v="1"/>
    <b v="0"/>
    <s v="theater/plays"/>
    <x v="3"/>
    <s v="plays"/>
  </r>
  <r>
    <n v="661"/>
    <s v="Smith Group"/>
    <s v="Right-sized secondary challenge"/>
    <n v="106800"/>
    <n v="57872"/>
    <n v="0.54187265917603"/>
    <x v="0"/>
    <n v="752"/>
    <s v="DK"/>
    <s v="DKK"/>
    <d v="2012-03-28T05:00:00"/>
    <x v="6"/>
    <x v="4"/>
    <d v="2012-04-27T05:00:00"/>
    <b v="0"/>
    <b v="0"/>
    <s v="music/jazz"/>
    <x v="1"/>
    <s v="jazz"/>
  </r>
  <r>
    <n v="662"/>
    <s v="Murphy-Farrell"/>
    <s v="Implemented exuding software"/>
    <n v="9100"/>
    <n v="8906"/>
    <n v="0.97868131868131869"/>
    <x v="0"/>
    <n v="131"/>
    <s v="US"/>
    <s v="USD"/>
    <d v="2018-12-09T06:00:00"/>
    <x v="7"/>
    <x v="9"/>
    <d v="2018-12-13T06:00:00"/>
    <b v="0"/>
    <b v="0"/>
    <s v="theater/plays"/>
    <x v="3"/>
    <s v="plays"/>
  </r>
  <r>
    <n v="663"/>
    <s v="Everett-Wolfe"/>
    <s v="Total optimizing software"/>
    <n v="10000"/>
    <n v="7724"/>
    <n v="0.77239999999999998"/>
    <x v="0"/>
    <n v="87"/>
    <s v="US"/>
    <s v="USD"/>
    <d v="2010-10-07T05:00:00"/>
    <x v="4"/>
    <x v="6"/>
    <d v="2010-10-30T05:00:00"/>
    <b v="0"/>
    <b v="0"/>
    <s v="theater/plays"/>
    <x v="3"/>
    <s v="plays"/>
  </r>
  <r>
    <n v="664"/>
    <s v="Young PLC"/>
    <s v="Optional maximized attitude"/>
    <n v="79400"/>
    <n v="26571"/>
    <n v="0.33464735516372796"/>
    <x v="0"/>
    <n v="1063"/>
    <s v="US"/>
    <s v="USD"/>
    <d v="2012-02-20T06:00:00"/>
    <x v="10"/>
    <x v="4"/>
    <d v="2012-03-01T06:00:00"/>
    <b v="0"/>
    <b v="0"/>
    <s v="music/jazz"/>
    <x v="1"/>
    <s v="jazz"/>
  </r>
  <r>
    <n v="665"/>
    <s v="Park-Goodman"/>
    <s v="Customer-focused impactful extranet"/>
    <n v="5100"/>
    <n v="12219"/>
    <n v="2.3958823529411766"/>
    <x v="1"/>
    <n v="272"/>
    <s v="US"/>
    <s v="USD"/>
    <d v="2011-07-09T05:00:00"/>
    <x v="8"/>
    <x v="8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0.64032258064516134"/>
    <x v="3"/>
    <n v="25"/>
    <s v="US"/>
    <s v="USD"/>
    <d v="2013-08-30T05:00:00"/>
    <x v="1"/>
    <x v="2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.7615942028985507"/>
    <x v="1"/>
    <n v="419"/>
    <s v="US"/>
    <s v="USD"/>
    <d v="2014-09-10T05:00:00"/>
    <x v="3"/>
    <x v="1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0.20338181818181819"/>
    <x v="0"/>
    <n v="76"/>
    <s v="US"/>
    <s v="USD"/>
    <d v="2012-08-01T05:00:00"/>
    <x v="1"/>
    <x v="4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.5864754098360656"/>
    <x v="1"/>
    <n v="1621"/>
    <s v="IT"/>
    <s v="EUR"/>
    <d v="2017-06-26T05:00:00"/>
    <x v="5"/>
    <x v="5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.6885802469135802"/>
    <x v="1"/>
    <n v="1101"/>
    <s v="US"/>
    <s v="USD"/>
    <d v="2016-02-25T06:00:00"/>
    <x v="10"/>
    <x v="7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.220563524590164"/>
    <x v="1"/>
    <n v="1073"/>
    <s v="US"/>
    <s v="USD"/>
    <d v="2010-07-31T05:00:00"/>
    <x v="8"/>
    <x v="6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0.55931783729156137"/>
    <x v="0"/>
    <n v="4428"/>
    <s v="AU"/>
    <s v="AUD"/>
    <d v="2018-03-21T05:00:00"/>
    <x v="6"/>
    <x v="9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0.43660714285714286"/>
    <x v="0"/>
    <n v="58"/>
    <s v="IT"/>
    <s v="EUR"/>
    <d v="2016-04-15T05:00:00"/>
    <x v="9"/>
    <x v="7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0.33538371411833628"/>
    <x v="3"/>
    <n v="1218"/>
    <s v="US"/>
    <s v="USD"/>
    <d v="2011-08-19T05:00:00"/>
    <x v="1"/>
    <x v="8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.2297938144329896"/>
    <x v="1"/>
    <n v="331"/>
    <s v="US"/>
    <s v="USD"/>
    <d v="2019-09-11T05:00:00"/>
    <x v="3"/>
    <x v="3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.8974959871589085"/>
    <x v="1"/>
    <n v="1170"/>
    <s v="US"/>
    <s v="USD"/>
    <d v="2012-09-26T05:00:00"/>
    <x v="3"/>
    <x v="4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0.83622641509433959"/>
    <x v="0"/>
    <n v="111"/>
    <s v="US"/>
    <s v="USD"/>
    <d v="2016-07-10T05:00:00"/>
    <x v="8"/>
    <x v="7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0.17968844221105529"/>
    <x v="3"/>
    <n v="215"/>
    <s v="US"/>
    <s v="USD"/>
    <d v="2019-01-19T06:00:00"/>
    <x v="2"/>
    <x v="3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.365"/>
    <x v="1"/>
    <n v="363"/>
    <s v="US"/>
    <s v="USD"/>
    <d v="2019-10-18T05:00:00"/>
    <x v="4"/>
    <x v="3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0.97405219780219776"/>
    <x v="0"/>
    <n v="2955"/>
    <s v="US"/>
    <s v="USD"/>
    <d v="2019-12-14T06:00:00"/>
    <x v="7"/>
    <x v="3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0.86386203150461705"/>
    <x v="0"/>
    <n v="1657"/>
    <s v="US"/>
    <s v="USD"/>
    <d v="2011-12-21T06:00:00"/>
    <x v="7"/>
    <x v="8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.5016666666666667"/>
    <x v="1"/>
    <n v="103"/>
    <s v="US"/>
    <s v="USD"/>
    <d v="2013-12-11T06:00:00"/>
    <x v="7"/>
    <x v="2"/>
    <d v="2013-12-20T06:00:00"/>
    <b v="0"/>
    <b v="0"/>
    <s v="theater/plays"/>
    <x v="3"/>
    <s v="plays"/>
  </r>
  <r>
    <n v="683"/>
    <s v="Jones PLC"/>
    <s v="Virtual systemic intranet"/>
    <n v="2300"/>
    <n v="8244"/>
    <n v="3.5843478260869563"/>
    <x v="1"/>
    <n v="147"/>
    <s v="US"/>
    <s v="USD"/>
    <d v="2018-09-16T05:00:00"/>
    <x v="3"/>
    <x v="9"/>
    <d v="2018-09-18T05:00:00"/>
    <b v="0"/>
    <b v="0"/>
    <s v="theater/plays"/>
    <x v="3"/>
    <s v="plays"/>
  </r>
  <r>
    <n v="684"/>
    <s v="Gilmore LLC"/>
    <s v="Optimized systemic algorithm"/>
    <n v="1400"/>
    <n v="7600"/>
    <n v="5.4285714285714288"/>
    <x v="1"/>
    <n v="110"/>
    <s v="CA"/>
    <s v="CAD"/>
    <d v="2010-06-29T05:00:00"/>
    <x v="5"/>
    <x v="6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0.67500714285714281"/>
    <x v="0"/>
    <n v="926"/>
    <s v="CA"/>
    <s v="CAD"/>
    <d v="2015-08-23T05:00:00"/>
    <x v="1"/>
    <x v="0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.9174666666666667"/>
    <x v="1"/>
    <n v="134"/>
    <s v="US"/>
    <s v="USD"/>
    <d v="2018-03-27T05:00:00"/>
    <x v="6"/>
    <x v="9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.32"/>
    <x v="1"/>
    <n v="269"/>
    <s v="US"/>
    <s v="USD"/>
    <d v="2017-03-12T06:00:00"/>
    <x v="6"/>
    <x v="5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.2927586206896553"/>
    <x v="1"/>
    <n v="175"/>
    <s v="US"/>
    <s v="USD"/>
    <d v="2019-01-10T06:00:00"/>
    <x v="2"/>
    <x v="3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.0065753424657535"/>
    <x v="1"/>
    <n v="69"/>
    <s v="US"/>
    <s v="USD"/>
    <d v="2013-10-29T05:00:00"/>
    <x v="4"/>
    <x v="2"/>
    <d v="2013-11-10T06:00:00"/>
    <b v="0"/>
    <b v="0"/>
    <s v="technology/web"/>
    <x v="2"/>
    <s v="web"/>
  </r>
  <r>
    <n v="690"/>
    <s v="Walsh-Watts"/>
    <s v="Polarized actuating implementation"/>
    <n v="3600"/>
    <n v="8158"/>
    <n v="2.266111111111111"/>
    <x v="1"/>
    <n v="190"/>
    <s v="US"/>
    <s v="USD"/>
    <d v="2011-11-27T06:00:00"/>
    <x v="0"/>
    <x v="8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.4238"/>
    <x v="1"/>
    <n v="237"/>
    <s v="US"/>
    <s v="USD"/>
    <d v="2012-10-03T05:00:00"/>
    <x v="4"/>
    <x v="4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0.90633333333333332"/>
    <x v="0"/>
    <n v="77"/>
    <s v="GB"/>
    <s v="GBP"/>
    <d v="2019-07-09T05:00:00"/>
    <x v="8"/>
    <x v="3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0.63966740576496672"/>
    <x v="0"/>
    <n v="1748"/>
    <s v="US"/>
    <s v="USD"/>
    <d v="2017-10-17T05:00:00"/>
    <x v="4"/>
    <x v="5"/>
    <d v="2017-11-03T05:00:00"/>
    <b v="0"/>
    <b v="0"/>
    <s v="theater/plays"/>
    <x v="3"/>
    <s v="plays"/>
  </r>
  <r>
    <n v="694"/>
    <s v="Mora-Bradley"/>
    <s v="Programmable tangible ability"/>
    <n v="9100"/>
    <n v="7656"/>
    <n v="0.84131868131868137"/>
    <x v="0"/>
    <n v="79"/>
    <s v="US"/>
    <s v="USD"/>
    <d v="2017-11-27T06:00:00"/>
    <x v="0"/>
    <x v="5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.3393478260869565"/>
    <x v="1"/>
    <n v="196"/>
    <s v="IT"/>
    <s v="EUR"/>
    <d v="2015-11-14T06:00:00"/>
    <x v="0"/>
    <x v="0"/>
    <d v="2015-11-30T06:00:00"/>
    <b v="1"/>
    <b v="0"/>
    <s v="music/rock"/>
    <x v="1"/>
    <s v="rock"/>
  </r>
  <r>
    <n v="696"/>
    <s v="Lopez, Reid and Johnson"/>
    <s v="Total real-time hardware"/>
    <n v="164100"/>
    <n v="96888"/>
    <n v="0.59042047531992692"/>
    <x v="0"/>
    <n v="889"/>
    <s v="US"/>
    <s v="USD"/>
    <d v="2015-04-20T05:00:00"/>
    <x v="9"/>
    <x v="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.5280062063615205"/>
    <x v="1"/>
    <n v="7295"/>
    <s v="US"/>
    <s v="USD"/>
    <d v="2018-03-31T05:00:00"/>
    <x v="6"/>
    <x v="9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.466912114014252"/>
    <x v="1"/>
    <n v="2893"/>
    <s v="CA"/>
    <s v="CAD"/>
    <d v="2011-11-24T06:00:00"/>
    <x v="0"/>
    <x v="8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0.8439189189189189"/>
    <x v="0"/>
    <n v="56"/>
    <s v="US"/>
    <s v="USD"/>
    <d v="2019-06-25T05:00:00"/>
    <x v="5"/>
    <x v="3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0.03"/>
    <x v="0"/>
    <n v="1"/>
    <s v="US"/>
    <s v="USD"/>
    <d v="2010-01-25T06:00:00"/>
    <x v="2"/>
    <x v="6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.7502692307692307"/>
    <x v="1"/>
    <n v="820"/>
    <s v="US"/>
    <s v="USD"/>
    <d v="2011-03-27T05:00:00"/>
    <x v="6"/>
    <x v="8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0.54137931034482756"/>
    <x v="0"/>
    <n v="83"/>
    <s v="US"/>
    <s v="USD"/>
    <d v="2013-07-22T05:00:00"/>
    <x v="8"/>
    <x v="2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.1187381703470032"/>
    <x v="1"/>
    <n v="2038"/>
    <s v="US"/>
    <s v="USD"/>
    <d v="2012-04-21T05:00:00"/>
    <x v="9"/>
    <x v="4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.2278160919540231"/>
    <x v="1"/>
    <n v="116"/>
    <s v="US"/>
    <s v="USD"/>
    <d v="2016-07-04T05:00:00"/>
    <x v="8"/>
    <x v="7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0.99026517383618151"/>
    <x v="0"/>
    <n v="2025"/>
    <s v="GB"/>
    <s v="GBP"/>
    <d v="2013-12-11T06:00:00"/>
    <x v="7"/>
    <x v="2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.278468634686347"/>
    <x v="1"/>
    <n v="1345"/>
    <s v="AU"/>
    <s v="AUD"/>
    <d v="2019-01-06T06:00:00"/>
    <x v="2"/>
    <x v="3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.5861643835616439"/>
    <x v="1"/>
    <n v="168"/>
    <s v="US"/>
    <s v="USD"/>
    <d v="2018-12-08T06:00:00"/>
    <x v="7"/>
    <x v="9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.0705882352941174"/>
    <x v="1"/>
    <n v="137"/>
    <s v="CH"/>
    <s v="CHF"/>
    <d v="2017-05-22T05:00:00"/>
    <x v="11"/>
    <x v="5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.4238775510204082"/>
    <x v="1"/>
    <n v="186"/>
    <s v="IT"/>
    <s v="EUR"/>
    <d v="2012-04-19T05:00:00"/>
    <x v="9"/>
    <x v="4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.4786046511627906"/>
    <x v="1"/>
    <n v="125"/>
    <s v="US"/>
    <s v="USD"/>
    <d v="2018-07-14T05:00:00"/>
    <x v="8"/>
    <x v="9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0.20322580645161289"/>
    <x v="0"/>
    <n v="14"/>
    <s v="IT"/>
    <s v="EUR"/>
    <d v="2016-01-24T06:00:00"/>
    <x v="2"/>
    <x v="7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.40625"/>
    <x v="1"/>
    <n v="202"/>
    <s v="US"/>
    <s v="USD"/>
    <d v="2016-07-08T05:00:00"/>
    <x v="8"/>
    <x v="7"/>
    <d v="2016-08-18T05:00:00"/>
    <b v="0"/>
    <b v="0"/>
    <s v="theater/plays"/>
    <x v="3"/>
    <s v="plays"/>
  </r>
  <r>
    <n v="713"/>
    <s v="Mays LLC"/>
    <s v="Multi-layered global groupware"/>
    <n v="6900"/>
    <n v="11174"/>
    <n v="1.6194202898550725"/>
    <x v="1"/>
    <n v="103"/>
    <s v="US"/>
    <s v="USD"/>
    <d v="2016-08-22T05:00:00"/>
    <x v="1"/>
    <x v="7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.7282077922077921"/>
    <x v="1"/>
    <n v="1785"/>
    <s v="US"/>
    <s v="USD"/>
    <d v="2014-08-19T05:00:00"/>
    <x v="1"/>
    <x v="1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0.24466101694915254"/>
    <x v="0"/>
    <n v="656"/>
    <s v="US"/>
    <s v="USD"/>
    <d v="2010-08-07T05:00:00"/>
    <x v="1"/>
    <x v="6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.1764999999999999"/>
    <x v="1"/>
    <n v="157"/>
    <s v="US"/>
    <s v="USD"/>
    <d v="2013-07-10T05:00:00"/>
    <x v="8"/>
    <x v="2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.4764285714285714"/>
    <x v="1"/>
    <n v="555"/>
    <s v="US"/>
    <s v="USD"/>
    <d v="2011-08-22T05:00:00"/>
    <x v="1"/>
    <x v="8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.0020481927710843"/>
    <x v="1"/>
    <n v="297"/>
    <s v="US"/>
    <s v="USD"/>
    <d v="2013-06-17T05:00:00"/>
    <x v="5"/>
    <x v="2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.53"/>
    <x v="1"/>
    <n v="123"/>
    <s v="US"/>
    <s v="USD"/>
    <d v="2012-05-29T05:00:00"/>
    <x v="11"/>
    <x v="4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0.37091954022988505"/>
    <x v="3"/>
    <n v="38"/>
    <s v="DK"/>
    <s v="DKK"/>
    <d v="2018-02-21T06:00:00"/>
    <x v="10"/>
    <x v="9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28E-2"/>
    <x v="3"/>
    <n v="60"/>
    <s v="US"/>
    <s v="USD"/>
    <d v="2018-04-04T05:00:00"/>
    <x v="9"/>
    <x v="9"/>
    <d v="2018-04-10T05:00:00"/>
    <b v="0"/>
    <b v="0"/>
    <s v="music/rock"/>
    <x v="1"/>
    <s v="rock"/>
  </r>
  <r>
    <n v="722"/>
    <s v="Thomas-Simmons"/>
    <s v="Proactive 24hour frame"/>
    <n v="48500"/>
    <n v="75906"/>
    <n v="1.5650721649484536"/>
    <x v="1"/>
    <n v="3036"/>
    <s v="US"/>
    <s v="USD"/>
    <d v="2017-11-06T06:00:00"/>
    <x v="0"/>
    <x v="5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.704081632653061"/>
    <x v="1"/>
    <n v="144"/>
    <s v="AU"/>
    <s v="AUD"/>
    <d v="2016-03-02T06:00:00"/>
    <x v="6"/>
    <x v="7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.3405952380952382"/>
    <x v="1"/>
    <n v="121"/>
    <s v="GB"/>
    <s v="GBP"/>
    <d v="2014-10-22T05:00:00"/>
    <x v="4"/>
    <x v="1"/>
    <d v="2014-10-24T05:00:00"/>
    <b v="0"/>
    <b v="1"/>
    <s v="theater/plays"/>
    <x v="3"/>
    <s v="plays"/>
  </r>
  <r>
    <n v="725"/>
    <s v="Dawson-Tyler"/>
    <s v="Optional 6thgeneration access"/>
    <n v="193200"/>
    <n v="97369"/>
    <n v="0.50398033126293995"/>
    <x v="0"/>
    <n v="1596"/>
    <s v="US"/>
    <s v="USD"/>
    <d v="2014-11-15T06:00:00"/>
    <x v="0"/>
    <x v="1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0.88815837937384901"/>
    <x v="3"/>
    <n v="524"/>
    <s v="US"/>
    <s v="USD"/>
    <d v="2010-10-25T05:00:00"/>
    <x v="4"/>
    <x v="6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.65"/>
    <x v="1"/>
    <n v="181"/>
    <s v="US"/>
    <s v="USD"/>
    <d v="2019-01-20T06:00:00"/>
    <x v="2"/>
    <x v="3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0.17499999999999999"/>
    <x v="0"/>
    <n v="10"/>
    <s v="US"/>
    <s v="USD"/>
    <d v="2016-05-25T05:00:00"/>
    <x v="11"/>
    <x v="7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.8566071428571429"/>
    <x v="1"/>
    <n v="122"/>
    <s v="US"/>
    <s v="USD"/>
    <d v="2013-02-04T06:00:00"/>
    <x v="10"/>
    <x v="2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.1266319444444441"/>
    <x v="1"/>
    <n v="1071"/>
    <s v="CA"/>
    <s v="CAD"/>
    <d v="2015-05-23T05:00:00"/>
    <x v="11"/>
    <x v="0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0.90249999999999997"/>
    <x v="3"/>
    <n v="219"/>
    <s v="US"/>
    <s v="USD"/>
    <d v="2017-07-23T05:00:00"/>
    <x v="8"/>
    <x v="5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0.91984615384615387"/>
    <x v="0"/>
    <n v="1121"/>
    <s v="US"/>
    <s v="USD"/>
    <d v="2017-03-22T05:00:00"/>
    <x v="6"/>
    <x v="5"/>
    <d v="2017-04-14T05:00:00"/>
    <b v="0"/>
    <b v="1"/>
    <s v="music/rock"/>
    <x v="1"/>
    <s v="rock"/>
  </r>
  <r>
    <n v="733"/>
    <s v="Marquez-Kerr"/>
    <s v="Automated hybrid orchestration"/>
    <n v="15800"/>
    <n v="83267"/>
    <n v="5.2700632911392402"/>
    <x v="1"/>
    <n v="980"/>
    <s v="US"/>
    <s v="USD"/>
    <d v="2014-07-24T05:00:00"/>
    <x v="8"/>
    <x v="1"/>
    <d v="2014-08-06T05:00:00"/>
    <b v="0"/>
    <b v="0"/>
    <s v="music/metal"/>
    <x v="1"/>
    <s v="metal"/>
  </r>
  <r>
    <n v="734"/>
    <s v="Stone PLC"/>
    <s v="Exclusive 5thgeneration leverage"/>
    <n v="4200"/>
    <n v="13404"/>
    <n v="3.1914285714285713"/>
    <x v="1"/>
    <n v="536"/>
    <s v="US"/>
    <s v="USD"/>
    <d v="2017-01-28T06:00:00"/>
    <x v="2"/>
    <x v="5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.5418867924528303"/>
    <x v="1"/>
    <n v="1991"/>
    <s v="US"/>
    <s v="USD"/>
    <d v="2016-03-30T05:00:00"/>
    <x v="6"/>
    <x v="7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0.32896103896103895"/>
    <x v="3"/>
    <n v="29"/>
    <s v="US"/>
    <s v="USD"/>
    <d v="2015-02-20T06:00:00"/>
    <x v="10"/>
    <x v="0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.358918918918919"/>
    <x v="1"/>
    <n v="180"/>
    <s v="US"/>
    <s v="USD"/>
    <d v="2016-11-11T06:00:00"/>
    <x v="0"/>
    <x v="7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4E-2"/>
    <x v="0"/>
    <n v="15"/>
    <s v="US"/>
    <s v="USD"/>
    <d v="2014-11-16T06:00:00"/>
    <x v="0"/>
    <x v="1"/>
    <d v="2014-12-08T06:00:00"/>
    <b v="0"/>
    <b v="1"/>
    <s v="theater/plays"/>
    <x v="3"/>
    <s v="plays"/>
  </r>
  <r>
    <n v="739"/>
    <s v="Meyer-Avila"/>
    <s v="Multi-tiered discrete support"/>
    <n v="10000"/>
    <n v="6100"/>
    <n v="0.61"/>
    <x v="0"/>
    <n v="191"/>
    <s v="US"/>
    <s v="USD"/>
    <d v="2012-06-29T05:00:00"/>
    <x v="5"/>
    <x v="4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0.30037735849056602"/>
    <x v="0"/>
    <n v="16"/>
    <s v="US"/>
    <s v="USD"/>
    <d v="2017-02-03T06:00:00"/>
    <x v="10"/>
    <x v="5"/>
    <d v="2017-02-06T06:00:00"/>
    <b v="0"/>
    <b v="0"/>
    <s v="theater/plays"/>
    <x v="3"/>
    <s v="plays"/>
  </r>
  <r>
    <n v="741"/>
    <s v="Garcia Ltd"/>
    <s v="Balanced mobile alliance"/>
    <n v="1200"/>
    <n v="14150"/>
    <n v="11.791666666666666"/>
    <x v="1"/>
    <n v="130"/>
    <s v="US"/>
    <s v="USD"/>
    <d v="2010-05-23T05:00:00"/>
    <x v="11"/>
    <x v="6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.260833333333334"/>
    <x v="1"/>
    <n v="122"/>
    <s v="US"/>
    <s v="USD"/>
    <d v="2010-01-19T06:00:00"/>
    <x v="2"/>
    <x v="6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0.12923076923076923"/>
    <x v="0"/>
    <n v="17"/>
    <s v="US"/>
    <s v="USD"/>
    <d v="2015-10-21T05:00:00"/>
    <x v="4"/>
    <x v="0"/>
    <d v="2015-10-27T05:00:00"/>
    <b v="0"/>
    <b v="1"/>
    <s v="theater/plays"/>
    <x v="3"/>
    <s v="plays"/>
  </r>
  <r>
    <n v="744"/>
    <s v="Fitzgerald Group"/>
    <s v="Intuitive exuding initiative"/>
    <n v="2000"/>
    <n v="14240"/>
    <n v="7.12"/>
    <x v="1"/>
    <n v="140"/>
    <s v="US"/>
    <s v="USD"/>
    <d v="2018-08-10T05:00:00"/>
    <x v="1"/>
    <x v="9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0.30304347826086958"/>
    <x v="0"/>
    <n v="34"/>
    <s v="US"/>
    <s v="USD"/>
    <d v="2010-05-30T05:00:00"/>
    <x v="11"/>
    <x v="6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.1250896057347672"/>
    <x v="1"/>
    <n v="3388"/>
    <s v="US"/>
    <s v="USD"/>
    <d v="2011-10-09T05:00:00"/>
    <x v="4"/>
    <x v="8"/>
    <d v="2011-10-14T05:00:00"/>
    <b v="0"/>
    <b v="0"/>
    <s v="technology/web"/>
    <x v="2"/>
    <s v="web"/>
  </r>
  <r>
    <n v="747"/>
    <s v="Greer and Sons"/>
    <s v="Secured clear-thinking intranet"/>
    <n v="4900"/>
    <n v="11214"/>
    <n v="2.2885714285714287"/>
    <x v="1"/>
    <n v="280"/>
    <s v="US"/>
    <s v="USD"/>
    <d v="2010-09-02T05:00:00"/>
    <x v="3"/>
    <x v="6"/>
    <d v="2010-09-13T05:00:00"/>
    <b v="0"/>
    <b v="0"/>
    <s v="theater/plays"/>
    <x v="3"/>
    <s v="plays"/>
  </r>
  <r>
    <n v="748"/>
    <s v="Martinez PLC"/>
    <s v="Cloned actuating architecture"/>
    <n v="194900"/>
    <n v="68137"/>
    <n v="0.34959979476654696"/>
    <x v="3"/>
    <n v="614"/>
    <s v="US"/>
    <s v="USD"/>
    <d v="2010-03-01T06:00:00"/>
    <x v="6"/>
    <x v="6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.5729069767441861"/>
    <x v="1"/>
    <n v="366"/>
    <s v="IT"/>
    <s v="EUR"/>
    <d v="2014-10-08T05:00:00"/>
    <x v="4"/>
    <x v="1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0.01"/>
    <x v="0"/>
    <n v="1"/>
    <s v="GB"/>
    <s v="GBP"/>
    <d v="2010-07-01T05:00:00"/>
    <x v="8"/>
    <x v="6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.3230555555555554"/>
    <x v="1"/>
    <n v="270"/>
    <s v="US"/>
    <s v="USD"/>
    <d v="2016-03-17T05:00:00"/>
    <x v="6"/>
    <x v="7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0.92448275862068963"/>
    <x v="3"/>
    <n v="114"/>
    <s v="US"/>
    <s v="USD"/>
    <d v="2010-08-05T05:00:00"/>
    <x v="1"/>
    <x v="6"/>
    <d v="2010-08-23T05:00:00"/>
    <b v="0"/>
    <b v="1"/>
    <s v="theater/plays"/>
    <x v="3"/>
    <s v="plays"/>
  </r>
  <r>
    <n v="753"/>
    <s v="Guerrero-Griffin"/>
    <s v="Networked web-enabled product"/>
    <n v="4700"/>
    <n v="12065"/>
    <n v="2.5670212765957445"/>
    <x v="1"/>
    <n v="137"/>
    <s v="US"/>
    <s v="USD"/>
    <d v="2010-05-23T05:00:00"/>
    <x v="11"/>
    <x v="6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.6847017045454546"/>
    <x v="1"/>
    <n v="3205"/>
    <s v="US"/>
    <s v="USD"/>
    <d v="2012-10-28T05:00:00"/>
    <x v="4"/>
    <x v="4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.6657777777777778"/>
    <x v="1"/>
    <n v="288"/>
    <s v="DK"/>
    <s v="DKK"/>
    <d v="2017-12-27T06:00:00"/>
    <x v="7"/>
    <x v="5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.7207692307692311"/>
    <x v="1"/>
    <n v="148"/>
    <s v="US"/>
    <s v="USD"/>
    <d v="2015-01-20T06:00:00"/>
    <x v="2"/>
    <x v="0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.0685714285714285"/>
    <x v="1"/>
    <n v="114"/>
    <s v="US"/>
    <s v="USD"/>
    <d v="2011-05-12T05:00:00"/>
    <x v="11"/>
    <x v="8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.6420608108108112"/>
    <x v="1"/>
    <n v="1518"/>
    <s v="CA"/>
    <s v="CAD"/>
    <d v="2014-10-24T05:00:00"/>
    <x v="4"/>
    <x v="1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0.6842686567164179"/>
    <x v="0"/>
    <n v="1274"/>
    <s v="US"/>
    <s v="USD"/>
    <d v="2018-02-05T06:00:00"/>
    <x v="10"/>
    <x v="9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0.34351966873706002"/>
    <x v="0"/>
    <n v="210"/>
    <s v="IT"/>
    <s v="EUR"/>
    <d v="2019-08-01T05:00:00"/>
    <x v="1"/>
    <x v="3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.5545454545454547"/>
    <x v="1"/>
    <n v="166"/>
    <s v="US"/>
    <s v="USD"/>
    <d v="2017-07-22T05:00:00"/>
    <x v="8"/>
    <x v="5"/>
    <d v="2017-07-27T05:00:00"/>
    <b v="0"/>
    <b v="0"/>
    <s v="music/rock"/>
    <x v="1"/>
    <s v="rock"/>
  </r>
  <r>
    <n v="762"/>
    <s v="Davis Ltd"/>
    <s v="Upgradable uniform service-desk"/>
    <n v="3500"/>
    <n v="6204"/>
    <n v="1.7725714285714285"/>
    <x v="1"/>
    <n v="100"/>
    <s v="AU"/>
    <s v="AUD"/>
    <d v="2012-11-28T06:00:00"/>
    <x v="0"/>
    <x v="4"/>
    <d v="2012-12-09T06:00:00"/>
    <b v="0"/>
    <b v="0"/>
    <s v="music/jazz"/>
    <x v="1"/>
    <s v="jazz"/>
  </r>
  <r>
    <n v="763"/>
    <s v="Rowland PLC"/>
    <s v="Inverse client-driven product"/>
    <n v="5600"/>
    <n v="6338"/>
    <n v="1.1317857142857144"/>
    <x v="1"/>
    <n v="235"/>
    <s v="US"/>
    <s v="USD"/>
    <d v="2012-05-08T05:00:00"/>
    <x v="11"/>
    <x v="4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.2818181818181822"/>
    <x v="1"/>
    <n v="148"/>
    <s v="US"/>
    <s v="USD"/>
    <d v="2011-05-13T05:00:00"/>
    <x v="11"/>
    <x v="8"/>
    <d v="2011-05-21T05:00:00"/>
    <b v="0"/>
    <b v="0"/>
    <s v="music/rock"/>
    <x v="1"/>
    <s v="rock"/>
  </r>
  <r>
    <n v="765"/>
    <s v="Matthews LLC"/>
    <s v="Advanced transitional help-desk"/>
    <n v="3900"/>
    <n v="8125"/>
    <n v="2.0833333333333335"/>
    <x v="1"/>
    <n v="198"/>
    <s v="US"/>
    <s v="USD"/>
    <d v="2017-04-15T05:00:00"/>
    <x v="9"/>
    <x v="5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0.31171232876712329"/>
    <x v="0"/>
    <n v="248"/>
    <s v="AU"/>
    <s v="AUD"/>
    <d v="2018-09-19T05:00:00"/>
    <x v="3"/>
    <x v="9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0.56967078189300413"/>
    <x v="0"/>
    <n v="513"/>
    <s v="US"/>
    <s v="USD"/>
    <d v="2015-10-06T05:00:00"/>
    <x v="4"/>
    <x v="0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.31"/>
    <x v="1"/>
    <n v="150"/>
    <s v="US"/>
    <s v="USD"/>
    <d v="2013-12-11T06:00:00"/>
    <x v="7"/>
    <x v="2"/>
    <d v="2013-12-26T06:00:00"/>
    <b v="0"/>
    <b v="0"/>
    <s v="theater/plays"/>
    <x v="3"/>
    <s v="plays"/>
  </r>
  <r>
    <n v="769"/>
    <s v="Johnson-Morales"/>
    <s v="Devolved 24hour forecast"/>
    <n v="125600"/>
    <n v="109106"/>
    <n v="0.86867834394904464"/>
    <x v="0"/>
    <n v="3410"/>
    <s v="US"/>
    <s v="USD"/>
    <d v="2013-08-15T05:00:00"/>
    <x v="1"/>
    <x v="2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.7074418604651163"/>
    <x v="1"/>
    <n v="216"/>
    <s v="IT"/>
    <s v="EUR"/>
    <d v="2014-04-14T05:00:00"/>
    <x v="9"/>
    <x v="1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0.49446428571428569"/>
    <x v="3"/>
    <n v="26"/>
    <s v="US"/>
    <s v="USD"/>
    <d v="2019-01-26T06:00:00"/>
    <x v="2"/>
    <x v="3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.1335962566844919"/>
    <x v="1"/>
    <n v="5139"/>
    <s v="US"/>
    <s v="USD"/>
    <d v="2019-02-09T06:00:00"/>
    <x v="10"/>
    <x v="3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.9055555555555554"/>
    <x v="1"/>
    <n v="2353"/>
    <s v="US"/>
    <s v="USD"/>
    <d v="2017-04-13T05:00:00"/>
    <x v="9"/>
    <x v="5"/>
    <d v="2017-04-23T05:00:00"/>
    <b v="0"/>
    <b v="0"/>
    <s v="theater/plays"/>
    <x v="3"/>
    <s v="plays"/>
  </r>
  <r>
    <n v="774"/>
    <s v="Gonzalez-Snow"/>
    <s v="Polarized user-facing interface"/>
    <n v="5000"/>
    <n v="6775"/>
    <n v="1.355"/>
    <x v="1"/>
    <n v="78"/>
    <s v="IT"/>
    <s v="EUR"/>
    <d v="2016-05-23T05:00:00"/>
    <x v="11"/>
    <x v="7"/>
    <d v="2016-07-03T05:00:00"/>
    <b v="0"/>
    <b v="0"/>
    <s v="technology/web"/>
    <x v="2"/>
    <s v="web"/>
  </r>
  <r>
    <n v="775"/>
    <s v="Murphy LLC"/>
    <s v="Customer-focused non-volatile framework"/>
    <n v="9400"/>
    <n v="968"/>
    <n v="0.10297872340425532"/>
    <x v="0"/>
    <n v="10"/>
    <s v="US"/>
    <s v="USD"/>
    <d v="2014-11-06T06:00:00"/>
    <x v="0"/>
    <x v="1"/>
    <d v="2014-11-16T06:00:00"/>
    <b v="0"/>
    <b v="0"/>
    <s v="music/rock"/>
    <x v="1"/>
    <s v="rock"/>
  </r>
  <r>
    <n v="776"/>
    <s v="Taylor-Rowe"/>
    <s v="Synchronized multimedia frame"/>
    <n v="110800"/>
    <n v="72623"/>
    <n v="0.65544223826714798"/>
    <x v="0"/>
    <n v="2201"/>
    <s v="US"/>
    <s v="USD"/>
    <d v="2019-07-04T05:00:00"/>
    <x v="8"/>
    <x v="3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0.49026652452025588"/>
    <x v="0"/>
    <n v="676"/>
    <s v="US"/>
    <s v="USD"/>
    <d v="2011-09-23T05:00:00"/>
    <x v="3"/>
    <x v="8"/>
    <d v="2011-10-22T05:00:00"/>
    <b v="0"/>
    <b v="0"/>
    <s v="theater/plays"/>
    <x v="3"/>
    <s v="plays"/>
  </r>
  <r>
    <n v="778"/>
    <s v="Moss-Guzman"/>
    <s v="Cross-platform optimizing website"/>
    <n v="1300"/>
    <n v="10243"/>
    <n v="7.8792307692307695"/>
    <x v="1"/>
    <n v="174"/>
    <s v="CH"/>
    <s v="CHF"/>
    <d v="2011-08-13T05:00:00"/>
    <x v="1"/>
    <x v="8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0.80306347746090156"/>
    <x v="0"/>
    <n v="831"/>
    <s v="US"/>
    <s v="USD"/>
    <d v="2015-08-14T05:00:00"/>
    <x v="1"/>
    <x v="0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.0629411764705883"/>
    <x v="1"/>
    <n v="164"/>
    <s v="US"/>
    <s v="USD"/>
    <d v="2016-07-22T05:00:00"/>
    <x v="8"/>
    <x v="7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0.50735632183908042"/>
    <x v="3"/>
    <n v="56"/>
    <s v="CH"/>
    <s v="CHF"/>
    <d v="2010-10-31T05:00:00"/>
    <x v="4"/>
    <x v="6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.153137254901961"/>
    <x v="1"/>
    <n v="161"/>
    <s v="US"/>
    <s v="USD"/>
    <d v="2011-03-01T06:00:00"/>
    <x v="6"/>
    <x v="8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.4122972972972974"/>
    <x v="1"/>
    <n v="138"/>
    <s v="US"/>
    <s v="USD"/>
    <d v="2013-12-17T06:00:00"/>
    <x v="7"/>
    <x v="2"/>
    <d v="2013-12-24T06:00:00"/>
    <b v="0"/>
    <b v="0"/>
    <s v="music/rock"/>
    <x v="1"/>
    <s v="rock"/>
  </r>
  <r>
    <n v="784"/>
    <s v="Byrd Group"/>
    <s v="Profound fault-tolerant model"/>
    <n v="88900"/>
    <n v="102535"/>
    <n v="1.1533745781777278"/>
    <x v="1"/>
    <n v="3308"/>
    <s v="US"/>
    <s v="USD"/>
    <d v="2016-03-06T06:00:00"/>
    <x v="6"/>
    <x v="7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.9311940298507462"/>
    <x v="1"/>
    <n v="127"/>
    <s v="AU"/>
    <s v="AUD"/>
    <d v="2019-04-27T05:00:00"/>
    <x v="9"/>
    <x v="3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.2973333333333334"/>
    <x v="1"/>
    <n v="207"/>
    <s v="IT"/>
    <s v="EUR"/>
    <d v="2018-03-27T05:00:00"/>
    <x v="6"/>
    <x v="9"/>
    <d v="2018-04-03T05:00:00"/>
    <b v="0"/>
    <b v="1"/>
    <s v="music/jazz"/>
    <x v="1"/>
    <s v="jazz"/>
  </r>
  <r>
    <n v="787"/>
    <s v="Vance-Glover"/>
    <s v="Progressive coherent secured line"/>
    <n v="61200"/>
    <n v="60994"/>
    <n v="0.99663398692810456"/>
    <x v="0"/>
    <n v="859"/>
    <s v="CA"/>
    <s v="CAD"/>
    <d v="2011-05-21T05:00:00"/>
    <x v="11"/>
    <x v="8"/>
    <d v="2011-05-30T05:00:00"/>
    <b v="0"/>
    <b v="0"/>
    <s v="music/rock"/>
    <x v="1"/>
    <s v="rock"/>
  </r>
  <r>
    <n v="788"/>
    <s v="Joyce PLC"/>
    <s v="Synchronized directional capability"/>
    <n v="3600"/>
    <n v="3174"/>
    <n v="0.88166666666666671"/>
    <x v="2"/>
    <n v="31"/>
    <s v="US"/>
    <s v="USD"/>
    <d v="2012-10-20T05:00:00"/>
    <x v="4"/>
    <x v="4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0.37233333333333335"/>
    <x v="0"/>
    <n v="45"/>
    <s v="US"/>
    <s v="USD"/>
    <d v="2014-05-27T05:00:00"/>
    <x v="11"/>
    <x v="1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0.30540075309306081"/>
    <x v="3"/>
    <n v="1113"/>
    <s v="US"/>
    <s v="USD"/>
    <d v="2010-02-14T06:00:00"/>
    <x v="10"/>
    <x v="6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0.25714285714285712"/>
    <x v="0"/>
    <n v="6"/>
    <s v="US"/>
    <s v="USD"/>
    <d v="2016-12-11T06:00:00"/>
    <x v="7"/>
    <x v="7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0.34"/>
    <x v="0"/>
    <n v="7"/>
    <s v="US"/>
    <s v="USD"/>
    <d v="2013-06-26T05:00:00"/>
    <x v="5"/>
    <x v="2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.859090909090909"/>
    <x v="1"/>
    <n v="181"/>
    <s v="CH"/>
    <s v="CHF"/>
    <d v="2013-06-25T05:00:00"/>
    <x v="5"/>
    <x v="2"/>
    <d v="2013-06-29T05:00:00"/>
    <b v="0"/>
    <b v="0"/>
    <s v="publishing/nonfiction"/>
    <x v="5"/>
    <s v="nonfiction"/>
  </r>
  <r>
    <n v="794"/>
    <s v="Welch Inc"/>
    <s v="Optional optimal website"/>
    <n v="6600"/>
    <n v="8276"/>
    <n v="1.2539393939393939"/>
    <x v="1"/>
    <n v="110"/>
    <s v="US"/>
    <s v="USD"/>
    <d v="2017-12-22T06:00:00"/>
    <x v="7"/>
    <x v="5"/>
    <d v="2018-01-03T06:00:00"/>
    <b v="0"/>
    <b v="0"/>
    <s v="music/rock"/>
    <x v="1"/>
    <s v="rock"/>
  </r>
  <r>
    <n v="795"/>
    <s v="Vasquez Inc"/>
    <s v="Stand-alone asynchronous functionalities"/>
    <n v="7100"/>
    <n v="1022"/>
    <n v="0.14394366197183098"/>
    <x v="0"/>
    <n v="31"/>
    <s v="US"/>
    <s v="USD"/>
    <d v="2016-11-01T05:00:00"/>
    <x v="0"/>
    <x v="7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0.54807692307692313"/>
    <x v="0"/>
    <n v="78"/>
    <s v="US"/>
    <s v="USD"/>
    <d v="2014-08-08T05:00:00"/>
    <x v="1"/>
    <x v="1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.0963157894736841"/>
    <x v="1"/>
    <n v="185"/>
    <s v="US"/>
    <s v="USD"/>
    <d v="2018-12-30T06:00:00"/>
    <x v="7"/>
    <x v="9"/>
    <d v="2019-01-22T06:00:00"/>
    <b v="0"/>
    <b v="0"/>
    <s v="technology/web"/>
    <x v="2"/>
    <s v="web"/>
  </r>
  <r>
    <n v="798"/>
    <s v="Small-Fuentes"/>
    <s v="Seamless maximized product"/>
    <n v="3400"/>
    <n v="6408"/>
    <n v="1.8847058823529412"/>
    <x v="1"/>
    <n v="121"/>
    <s v="US"/>
    <s v="USD"/>
    <d v="2012-05-31T05:00:00"/>
    <x v="11"/>
    <x v="4"/>
    <d v="2012-06-28T05:00:00"/>
    <b v="0"/>
    <b v="1"/>
    <s v="theater/plays"/>
    <x v="3"/>
    <s v="plays"/>
  </r>
  <r>
    <n v="799"/>
    <s v="Reid-Day"/>
    <s v="Devolved tertiary time-frame"/>
    <n v="84500"/>
    <n v="73522"/>
    <n v="0.87008284023668636"/>
    <x v="0"/>
    <n v="1225"/>
    <s v="GB"/>
    <s v="GBP"/>
    <d v="2016-01-30T06:00:00"/>
    <x v="2"/>
    <x v="7"/>
    <d v="2016-02-03T06:00:00"/>
    <b v="0"/>
    <b v="0"/>
    <s v="theater/plays"/>
    <x v="3"/>
    <s v="plays"/>
  </r>
  <r>
    <n v="800"/>
    <s v="Wallace LLC"/>
    <s v="Centralized regional function"/>
    <n v="100"/>
    <n v="1"/>
    <n v="0.01"/>
    <x v="0"/>
    <n v="1"/>
    <s v="CH"/>
    <s v="CHF"/>
    <d v="2015-06-12T05:00:00"/>
    <x v="5"/>
    <x v="0"/>
    <d v="2015-06-16T05:00:00"/>
    <b v="0"/>
    <b v="0"/>
    <s v="music/rock"/>
    <x v="1"/>
    <s v="rock"/>
  </r>
  <r>
    <n v="801"/>
    <s v="Olson-Bishop"/>
    <s v="User-friendly high-level initiative"/>
    <n v="2300"/>
    <n v="4667"/>
    <n v="2.0291304347826089"/>
    <x v="1"/>
    <n v="106"/>
    <s v="US"/>
    <s v="USD"/>
    <d v="2019-12-31T06:00:00"/>
    <x v="7"/>
    <x v="3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.9703225806451612"/>
    <x v="1"/>
    <n v="142"/>
    <s v="US"/>
    <s v="USD"/>
    <d v="2019-07-04T05:00:00"/>
    <x v="8"/>
    <x v="3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.07"/>
    <x v="1"/>
    <n v="233"/>
    <s v="US"/>
    <s v="USD"/>
    <d v="2019-01-27T06:00:00"/>
    <x v="2"/>
    <x v="3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.6873076923076922"/>
    <x v="1"/>
    <n v="218"/>
    <s v="US"/>
    <s v="USD"/>
    <d v="2018-01-02T06:00:00"/>
    <x v="2"/>
    <x v="9"/>
    <d v="2018-01-22T06:00:00"/>
    <b v="0"/>
    <b v="0"/>
    <s v="music/rock"/>
    <x v="1"/>
    <s v="rock"/>
  </r>
  <r>
    <n v="805"/>
    <s v="Smith-Nguyen"/>
    <s v="Advanced intermediate Graphic Interface"/>
    <n v="9700"/>
    <n v="4932"/>
    <n v="0.50845360824742269"/>
    <x v="0"/>
    <n v="67"/>
    <s v="AU"/>
    <s v="AUD"/>
    <d v="2014-11-15T06:00:00"/>
    <x v="0"/>
    <x v="1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.802857142857142"/>
    <x v="1"/>
    <n v="76"/>
    <s v="US"/>
    <s v="USD"/>
    <d v="2012-03-05T06:00:00"/>
    <x v="6"/>
    <x v="4"/>
    <d v="2012-03-29T05:00:00"/>
    <b v="0"/>
    <b v="1"/>
    <s v="film &amp; video/drama"/>
    <x v="4"/>
    <s v="drama"/>
  </r>
  <r>
    <n v="807"/>
    <s v="Walker-Taylor"/>
    <s v="Automated uniform concept"/>
    <n v="700"/>
    <n v="1848"/>
    <n v="2.64"/>
    <x v="1"/>
    <n v="43"/>
    <s v="US"/>
    <s v="USD"/>
    <d v="2019-10-15T05:00:00"/>
    <x v="4"/>
    <x v="3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0.30442307692307691"/>
    <x v="0"/>
    <n v="19"/>
    <s v="US"/>
    <s v="USD"/>
    <d v="2016-05-17T05:00:00"/>
    <x v="11"/>
    <x v="7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0.62880681818181816"/>
    <x v="0"/>
    <n v="2108"/>
    <s v="CH"/>
    <s v="CHF"/>
    <d v="2012-08-14T05:00:00"/>
    <x v="1"/>
    <x v="4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.9312499999999999"/>
    <x v="1"/>
    <n v="221"/>
    <s v="US"/>
    <s v="USD"/>
    <d v="2017-11-28T06:00:00"/>
    <x v="0"/>
    <x v="5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0.77102702702702708"/>
    <x v="0"/>
    <n v="679"/>
    <s v="US"/>
    <s v="USD"/>
    <d v="2016-01-09T06:00:00"/>
    <x v="2"/>
    <x v="7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.2552763819095478"/>
    <x v="1"/>
    <n v="2805"/>
    <s v="CA"/>
    <s v="CAD"/>
    <d v="2018-04-16T05:00:00"/>
    <x v="9"/>
    <x v="9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.3940625"/>
    <x v="1"/>
    <n v="68"/>
    <s v="US"/>
    <s v="USD"/>
    <d v="2012-08-27T05:00:00"/>
    <x v="1"/>
    <x v="4"/>
    <d v="2012-09-06T05:00:00"/>
    <b v="0"/>
    <b v="0"/>
    <s v="games/video games"/>
    <x v="6"/>
    <s v="video games"/>
  </r>
  <r>
    <n v="814"/>
    <s v="Vincent PLC"/>
    <s v="Visionary 24hour analyzer"/>
    <n v="3200"/>
    <n v="2950"/>
    <n v="0.921875"/>
    <x v="0"/>
    <n v="36"/>
    <s v="DK"/>
    <s v="DKK"/>
    <d v="2016-05-27T05:00:00"/>
    <x v="11"/>
    <x v="7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.3023333333333333"/>
    <x v="1"/>
    <n v="183"/>
    <s v="CA"/>
    <s v="CAD"/>
    <d v="2017-11-29T06:00:00"/>
    <x v="0"/>
    <x v="5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.1521739130434785"/>
    <x v="1"/>
    <n v="133"/>
    <s v="US"/>
    <s v="USD"/>
    <d v="2014-02-10T06:00:00"/>
    <x v="10"/>
    <x v="1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.687953216374269"/>
    <x v="1"/>
    <n v="2489"/>
    <s v="IT"/>
    <s v="EUR"/>
    <d v="2019-05-04T05:00:00"/>
    <x v="11"/>
    <x v="3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.948571428571428"/>
    <x v="1"/>
    <n v="69"/>
    <s v="US"/>
    <s v="USD"/>
    <d v="2019-01-21T06:00:00"/>
    <x v="2"/>
    <x v="3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0.50662921348314605"/>
    <x v="0"/>
    <n v="47"/>
    <s v="US"/>
    <s v="USD"/>
    <d v="2012-11-24T06:00:00"/>
    <x v="0"/>
    <x v="4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.0060000000000002"/>
    <x v="1"/>
    <n v="279"/>
    <s v="GB"/>
    <s v="GBP"/>
    <d v="2018-07-29T05:00:00"/>
    <x v="8"/>
    <x v="9"/>
    <d v="2018-08-11T05:00:00"/>
    <b v="0"/>
    <b v="1"/>
    <s v="music/rock"/>
    <x v="1"/>
    <s v="rock"/>
  </r>
  <r>
    <n v="821"/>
    <s v="Alvarez-Andrews"/>
    <s v="Extended impactful secured line"/>
    <n v="4900"/>
    <n v="14273"/>
    <n v="2.9128571428571428"/>
    <x v="1"/>
    <n v="210"/>
    <s v="US"/>
    <s v="USD"/>
    <d v="2017-02-28T06:00:00"/>
    <x v="10"/>
    <x v="5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.4996666666666667"/>
    <x v="1"/>
    <n v="2100"/>
    <s v="US"/>
    <s v="USD"/>
    <d v="2014-02-28T06:00:00"/>
    <x v="10"/>
    <x v="1"/>
    <d v="2014-03-17T05:00:00"/>
    <b v="0"/>
    <b v="0"/>
    <s v="music/rock"/>
    <x v="1"/>
    <s v="rock"/>
  </r>
  <r>
    <n v="823"/>
    <s v="Dyer Inc"/>
    <s v="Secured well-modulated system engine"/>
    <n v="4100"/>
    <n v="14640"/>
    <n v="3.5707317073170732"/>
    <x v="1"/>
    <n v="252"/>
    <s v="US"/>
    <s v="USD"/>
    <d v="2014-09-10T05:00:00"/>
    <x v="3"/>
    <x v="1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.2648941176470587"/>
    <x v="1"/>
    <n v="1280"/>
    <s v="US"/>
    <s v="USD"/>
    <d v="2010-06-19T05:00:00"/>
    <x v="5"/>
    <x v="6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.875"/>
    <x v="1"/>
    <n v="157"/>
    <s v="GB"/>
    <s v="GBP"/>
    <d v="2017-07-25T05:00:00"/>
    <x v="8"/>
    <x v="5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.5703571428571426"/>
    <x v="1"/>
    <n v="194"/>
    <s v="US"/>
    <s v="USD"/>
    <d v="2010-12-13T06:00:00"/>
    <x v="7"/>
    <x v="6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.6669565217391304"/>
    <x v="1"/>
    <n v="82"/>
    <s v="AU"/>
    <s v="AUD"/>
    <d v="2011-05-03T05:00:00"/>
    <x v="11"/>
    <x v="8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0.69"/>
    <x v="0"/>
    <n v="70"/>
    <s v="US"/>
    <s v="USD"/>
    <d v="2018-08-28T05:00:00"/>
    <x v="1"/>
    <x v="9"/>
    <d v="2018-09-22T05:00:00"/>
    <b v="0"/>
    <b v="0"/>
    <s v="theater/plays"/>
    <x v="3"/>
    <s v="plays"/>
  </r>
  <r>
    <n v="829"/>
    <s v="Baker-Higgins"/>
    <s v="Vision-oriented scalable portal"/>
    <n v="9600"/>
    <n v="4929"/>
    <n v="0.51343749999999999"/>
    <x v="0"/>
    <n v="154"/>
    <s v="US"/>
    <s v="USD"/>
    <d v="2015-06-09T05:00:00"/>
    <x v="5"/>
    <x v="0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E-2"/>
    <x v="0"/>
    <n v="22"/>
    <s v="US"/>
    <s v="USD"/>
    <d v="2018-01-03T06:00:00"/>
    <x v="2"/>
    <x v="9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.089773429454171"/>
    <x v="1"/>
    <n v="4233"/>
    <s v="US"/>
    <s v="USD"/>
    <d v="2012-03-26T05:00:00"/>
    <x v="6"/>
    <x v="4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.1517592592592591"/>
    <x v="1"/>
    <n v="1297"/>
    <s v="DK"/>
    <s v="DKK"/>
    <d v="2015-10-22T05:00:00"/>
    <x v="4"/>
    <x v="0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.5769117647058823"/>
    <x v="1"/>
    <n v="165"/>
    <s v="DK"/>
    <s v="DKK"/>
    <d v="2011-02-14T06:00:00"/>
    <x v="10"/>
    <x v="8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.5380821917808218"/>
    <x v="1"/>
    <n v="119"/>
    <s v="US"/>
    <s v="USD"/>
    <d v="2013-06-23T05:00:00"/>
    <x v="5"/>
    <x v="2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0.89738979118329465"/>
    <x v="0"/>
    <n v="1758"/>
    <s v="US"/>
    <s v="USD"/>
    <d v="2015-02-28T06:00:00"/>
    <x v="10"/>
    <x v="0"/>
    <d v="2015-03-06T06:00:00"/>
    <b v="0"/>
    <b v="0"/>
    <s v="technology/web"/>
    <x v="2"/>
    <s v="web"/>
  </r>
  <r>
    <n v="836"/>
    <s v="Macias Inc"/>
    <s v="Optimized didactic intranet"/>
    <n v="8100"/>
    <n v="6086"/>
    <n v="0.75135802469135804"/>
    <x v="0"/>
    <n v="94"/>
    <s v="US"/>
    <s v="USD"/>
    <d v="2010-02-05T06:00:00"/>
    <x v="10"/>
    <x v="6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.5288135593220336"/>
    <x v="1"/>
    <n v="1797"/>
    <s v="US"/>
    <s v="USD"/>
    <d v="2011-03-27T05:00:00"/>
    <x v="6"/>
    <x v="8"/>
    <d v="2011-05-20T05:00:00"/>
    <b v="0"/>
    <b v="0"/>
    <s v="music/jazz"/>
    <x v="1"/>
    <s v="jazz"/>
  </r>
  <r>
    <n v="838"/>
    <s v="Jordan-Fischer"/>
    <s v="Vision-oriented high-level extranet"/>
    <n v="6400"/>
    <n v="8890"/>
    <n v="1.3890625000000001"/>
    <x v="1"/>
    <n v="261"/>
    <s v="US"/>
    <s v="USD"/>
    <d v="2018-09-27T05:00:00"/>
    <x v="3"/>
    <x v="9"/>
    <d v="2018-10-06T05:00:00"/>
    <b v="0"/>
    <b v="0"/>
    <s v="theater/plays"/>
    <x v="3"/>
    <s v="plays"/>
  </r>
  <r>
    <n v="839"/>
    <s v="Pierce-Ramirez"/>
    <s v="Organized scalable initiative"/>
    <n v="7700"/>
    <n v="14644"/>
    <n v="1.9018181818181819"/>
    <x v="1"/>
    <n v="157"/>
    <s v="US"/>
    <s v="USD"/>
    <d v="2014-03-17T05:00:00"/>
    <x v="6"/>
    <x v="1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.0024333619948409"/>
    <x v="1"/>
    <n v="3533"/>
    <s v="US"/>
    <s v="USD"/>
    <d v="2014-07-16T05:00:00"/>
    <x v="8"/>
    <x v="1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.4275824175824177"/>
    <x v="1"/>
    <n v="155"/>
    <s v="US"/>
    <s v="USD"/>
    <d v="2016-02-19T06:00:00"/>
    <x v="10"/>
    <x v="7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.6313333333333331"/>
    <x v="1"/>
    <n v="132"/>
    <s v="IT"/>
    <s v="EUR"/>
    <d v="2018-06-15T05:00:00"/>
    <x v="5"/>
    <x v="9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0.30715909090909088"/>
    <x v="0"/>
    <n v="33"/>
    <s v="US"/>
    <s v="USD"/>
    <d v="2018-08-26T05:00:00"/>
    <x v="1"/>
    <x v="9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0.99397727272727276"/>
    <x v="3"/>
    <n v="94"/>
    <s v="US"/>
    <s v="USD"/>
    <d v="2012-01-22T06:00:00"/>
    <x v="2"/>
    <x v="4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.9754935622317598"/>
    <x v="1"/>
    <n v="1354"/>
    <s v="GB"/>
    <s v="GBP"/>
    <d v="2018-05-15T05:00:00"/>
    <x v="11"/>
    <x v="9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.085"/>
    <x v="1"/>
    <n v="48"/>
    <s v="US"/>
    <s v="USD"/>
    <d v="2018-07-21T05:00:00"/>
    <x v="8"/>
    <x v="9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.3774468085106384"/>
    <x v="1"/>
    <n v="110"/>
    <s v="US"/>
    <s v="USD"/>
    <d v="2018-01-07T06:00:00"/>
    <x v="2"/>
    <x v="9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.3846875000000001"/>
    <x v="1"/>
    <n v="172"/>
    <s v="US"/>
    <s v="USD"/>
    <d v="2010-06-12T05:00:00"/>
    <x v="5"/>
    <x v="6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.3308955223880596"/>
    <x v="1"/>
    <n v="307"/>
    <s v="US"/>
    <s v="USD"/>
    <d v="2012-02-09T06:00:00"/>
    <x v="10"/>
    <x v="4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0.01"/>
    <x v="0"/>
    <n v="1"/>
    <s v="US"/>
    <s v="USD"/>
    <d v="2011-11-19T06:00:00"/>
    <x v="0"/>
    <x v="8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.0779999999999998"/>
    <x v="1"/>
    <n v="160"/>
    <s v="US"/>
    <s v="USD"/>
    <d v="2012-05-02T05:00:00"/>
    <x v="11"/>
    <x v="4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0.51122448979591839"/>
    <x v="0"/>
    <n v="31"/>
    <s v="US"/>
    <s v="USD"/>
    <d v="2011-07-16T05:00:00"/>
    <x v="8"/>
    <x v="8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.5205847953216374"/>
    <x v="1"/>
    <n v="1467"/>
    <s v="CA"/>
    <s v="CAD"/>
    <d v="2011-06-20T05:00:00"/>
    <x v="5"/>
    <x v="8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.1363099415204678"/>
    <x v="1"/>
    <n v="2662"/>
    <s v="CA"/>
    <s v="CAD"/>
    <d v="2019-11-18T06:00:00"/>
    <x v="0"/>
    <x v="3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.0237606837606839"/>
    <x v="1"/>
    <n v="452"/>
    <s v="AU"/>
    <s v="AUD"/>
    <d v="2011-06-18T05:00:00"/>
    <x v="5"/>
    <x v="8"/>
    <d v="2011-07-19T05:00:00"/>
    <b v="0"/>
    <b v="0"/>
    <s v="theater/plays"/>
    <x v="3"/>
    <s v="plays"/>
  </r>
  <r>
    <n v="856"/>
    <s v="Williams and Sons"/>
    <s v="Profound composite core"/>
    <n v="2400"/>
    <n v="8558"/>
    <n v="3.5658333333333334"/>
    <x v="1"/>
    <n v="158"/>
    <s v="US"/>
    <s v="USD"/>
    <d v="2012-04-24T05:00:00"/>
    <x v="9"/>
    <x v="4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.3986792452830188"/>
    <x v="1"/>
    <n v="225"/>
    <s v="CH"/>
    <s v="CHF"/>
    <d v="2012-02-05T06:00:00"/>
    <x v="10"/>
    <x v="4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0.69450000000000001"/>
    <x v="0"/>
    <n v="35"/>
    <s v="US"/>
    <s v="USD"/>
    <d v="2018-04-21T05:00:00"/>
    <x v="9"/>
    <x v="9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0.35534246575342465"/>
    <x v="0"/>
    <n v="63"/>
    <s v="US"/>
    <s v="USD"/>
    <d v="2013-03-01T06:00:00"/>
    <x v="6"/>
    <x v="2"/>
    <d v="2013-03-19T05:00:00"/>
    <b v="0"/>
    <b v="1"/>
    <s v="theater/plays"/>
    <x v="3"/>
    <s v="plays"/>
  </r>
  <r>
    <n v="860"/>
    <s v="Lee PLC"/>
    <s v="Re-contextualized leadingedge firmware"/>
    <n v="2000"/>
    <n v="5033"/>
    <n v="2.5165000000000002"/>
    <x v="1"/>
    <n v="65"/>
    <s v="US"/>
    <s v="USD"/>
    <d v="2019-02-19T06:00:00"/>
    <x v="10"/>
    <x v="3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.0587500000000001"/>
    <x v="1"/>
    <n v="163"/>
    <s v="US"/>
    <s v="USD"/>
    <d v="2010-03-21T05:00:00"/>
    <x v="6"/>
    <x v="6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.8742857142857143"/>
    <x v="1"/>
    <n v="85"/>
    <s v="US"/>
    <s v="USD"/>
    <d v="2011-08-01T05:00:00"/>
    <x v="1"/>
    <x v="8"/>
    <d v="2011-08-05T05:00:00"/>
    <b v="0"/>
    <b v="0"/>
    <s v="theater/plays"/>
    <x v="3"/>
    <s v="plays"/>
  </r>
  <r>
    <n v="863"/>
    <s v="Davis-Johnson"/>
    <s v="Automated reciprocal protocol"/>
    <n v="1400"/>
    <n v="5415"/>
    <n v="3.8678571428571429"/>
    <x v="1"/>
    <n v="217"/>
    <s v="US"/>
    <s v="USD"/>
    <d v="2015-06-17T05:00:00"/>
    <x v="5"/>
    <x v="0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.4707142857142856"/>
    <x v="1"/>
    <n v="150"/>
    <s v="US"/>
    <s v="USD"/>
    <d v="2016-08-19T05:00:00"/>
    <x v="1"/>
    <x v="7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.8582098765432098"/>
    <x v="1"/>
    <n v="3272"/>
    <s v="US"/>
    <s v="USD"/>
    <d v="2014-09-15T05:00:00"/>
    <x v="3"/>
    <x v="1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0.43241247264770238"/>
    <x v="3"/>
    <n v="898"/>
    <s v="US"/>
    <s v="USD"/>
    <d v="2011-05-08T05:00:00"/>
    <x v="11"/>
    <x v="8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.6243749999999999"/>
    <x v="1"/>
    <n v="300"/>
    <s v="US"/>
    <s v="USD"/>
    <d v="2018-10-09T05:00:00"/>
    <x v="4"/>
    <x v="9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.8484285714285715"/>
    <x v="1"/>
    <n v="126"/>
    <s v="US"/>
    <s v="USD"/>
    <d v="2013-10-12T05:00:00"/>
    <x v="4"/>
    <x v="2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0.23703520691785052"/>
    <x v="0"/>
    <n v="526"/>
    <s v="US"/>
    <s v="USD"/>
    <d v="2010-06-21T05:00:00"/>
    <x v="5"/>
    <x v="6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0.89870129870129867"/>
    <x v="0"/>
    <n v="121"/>
    <s v="US"/>
    <s v="USD"/>
    <d v="2015-08-24T05:00:00"/>
    <x v="1"/>
    <x v="0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.7260419580419581"/>
    <x v="1"/>
    <n v="2320"/>
    <s v="US"/>
    <s v="USD"/>
    <d v="2017-11-01T05:00:00"/>
    <x v="0"/>
    <x v="5"/>
    <d v="2017-11-19T06:00:00"/>
    <b v="0"/>
    <b v="1"/>
    <s v="theater/plays"/>
    <x v="3"/>
    <s v="plays"/>
  </r>
  <r>
    <n v="872"/>
    <s v="Davis LLC"/>
    <s v="Compatible logistical paradigm"/>
    <n v="4700"/>
    <n v="7992"/>
    <n v="1.7004255319148935"/>
    <x v="1"/>
    <n v="81"/>
    <s v="AU"/>
    <s v="AUD"/>
    <d v="2018-09-03T05:00:00"/>
    <x v="3"/>
    <x v="9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.8828503562945369"/>
    <x v="1"/>
    <n v="1887"/>
    <s v="US"/>
    <s v="USD"/>
    <d v="2014-01-08T06:00:00"/>
    <x v="2"/>
    <x v="1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.4693532338308457"/>
    <x v="1"/>
    <n v="4358"/>
    <s v="US"/>
    <s v="USD"/>
    <d v="2010-04-23T05:00:00"/>
    <x v="9"/>
    <x v="6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0.6917721518987342"/>
    <x v="0"/>
    <n v="67"/>
    <s v="US"/>
    <s v="USD"/>
    <d v="2011-01-13T06:00:00"/>
    <x v="2"/>
    <x v="8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0.25433734939759034"/>
    <x v="0"/>
    <n v="57"/>
    <s v="CA"/>
    <s v="CAD"/>
    <d v="2019-06-08T05:00:00"/>
    <x v="5"/>
    <x v="3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0.77400977995110021"/>
    <x v="0"/>
    <n v="1229"/>
    <s v="US"/>
    <s v="USD"/>
    <d v="2016-07-26T05:00:00"/>
    <x v="8"/>
    <x v="7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0.37481481481481482"/>
    <x v="0"/>
    <n v="12"/>
    <s v="IT"/>
    <s v="EUR"/>
    <d v="2020-01-15T06:00:00"/>
    <x v="2"/>
    <x v="10"/>
    <d v="2020-02-08T06:00:00"/>
    <b v="0"/>
    <b v="0"/>
    <s v="music/metal"/>
    <x v="1"/>
    <s v="metal"/>
  </r>
  <r>
    <n v="879"/>
    <s v="Ortiz Inc"/>
    <s v="Stand-alone incremental parallelism"/>
    <n v="1000"/>
    <n v="5438"/>
    <n v="5.4379999999999997"/>
    <x v="1"/>
    <n v="53"/>
    <s v="US"/>
    <s v="USD"/>
    <d v="2017-02-22T06:00:00"/>
    <x v="10"/>
    <x v="5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.2852189349112426"/>
    <x v="1"/>
    <n v="2414"/>
    <s v="US"/>
    <s v="USD"/>
    <d v="2019-07-21T05:00:00"/>
    <x v="8"/>
    <x v="3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0.38948339483394834"/>
    <x v="0"/>
    <n v="452"/>
    <s v="US"/>
    <s v="USD"/>
    <d v="2015-07-09T05:00:00"/>
    <x v="8"/>
    <x v="0"/>
    <d v="2015-08-07T05:00:00"/>
    <b v="0"/>
    <b v="1"/>
    <s v="theater/plays"/>
    <x v="3"/>
    <s v="plays"/>
  </r>
  <r>
    <n v="882"/>
    <s v="White-Rosario"/>
    <s v="Balanced demand-driven definition"/>
    <n v="800"/>
    <n v="2960"/>
    <n v="3.7"/>
    <x v="1"/>
    <n v="80"/>
    <s v="US"/>
    <s v="USD"/>
    <d v="2015-01-21T06:00:00"/>
    <x v="2"/>
    <x v="0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.3791176470588233"/>
    <x v="1"/>
    <n v="193"/>
    <s v="US"/>
    <s v="USD"/>
    <d v="2010-05-25T05:00:00"/>
    <x v="11"/>
    <x v="6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0.64036299765807958"/>
    <x v="0"/>
    <n v="1886"/>
    <s v="US"/>
    <s v="USD"/>
    <d v="2014-05-04T05:00:00"/>
    <x v="11"/>
    <x v="1"/>
    <d v="2014-05-06T05:00:00"/>
    <b v="0"/>
    <b v="1"/>
    <s v="theater/plays"/>
    <x v="3"/>
    <s v="plays"/>
  </r>
  <r>
    <n v="885"/>
    <s v="Lynch Ltd"/>
    <s v="Virtual analyzing collaboration"/>
    <n v="1800"/>
    <n v="2129"/>
    <n v="1.1827777777777777"/>
    <x v="1"/>
    <n v="52"/>
    <s v="US"/>
    <s v="USD"/>
    <d v="2010-06-06T05:00:00"/>
    <x v="5"/>
    <x v="6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0.84824037184594958"/>
    <x v="0"/>
    <n v="1825"/>
    <s v="US"/>
    <s v="USD"/>
    <d v="2010-08-26T05:00:00"/>
    <x v="1"/>
    <x v="6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0.29346153846153844"/>
    <x v="0"/>
    <n v="31"/>
    <s v="US"/>
    <s v="USD"/>
    <d v="2015-07-17T05:00:00"/>
    <x v="8"/>
    <x v="0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.0989655172413793"/>
    <x v="1"/>
    <n v="290"/>
    <s v="US"/>
    <s v="USD"/>
    <d v="2017-04-11T05:00:00"/>
    <x v="9"/>
    <x v="5"/>
    <d v="2017-04-30T05:00:00"/>
    <b v="0"/>
    <b v="0"/>
    <s v="theater/plays"/>
    <x v="3"/>
    <s v="plays"/>
  </r>
  <r>
    <n v="889"/>
    <s v="Santos Group"/>
    <s v="Secured dynamic capacity"/>
    <n v="5600"/>
    <n v="9508"/>
    <n v="1.697857142857143"/>
    <x v="1"/>
    <n v="122"/>
    <s v="US"/>
    <s v="USD"/>
    <d v="2014-03-12T05:00:00"/>
    <x v="6"/>
    <x v="1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.1595907738095239"/>
    <x v="1"/>
    <n v="1470"/>
    <s v="US"/>
    <s v="USD"/>
    <d v="2019-06-24T05:00:00"/>
    <x v="5"/>
    <x v="3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.5859999999999999"/>
    <x v="1"/>
    <n v="165"/>
    <s v="CA"/>
    <s v="CAD"/>
    <d v="2011-12-03T06:00:00"/>
    <x v="7"/>
    <x v="8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.3058333333333332"/>
    <x v="1"/>
    <n v="182"/>
    <s v="US"/>
    <s v="USD"/>
    <d v="2010-05-21T05:00:00"/>
    <x v="11"/>
    <x v="6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.2821428571428573"/>
    <x v="1"/>
    <n v="199"/>
    <s v="IT"/>
    <s v="EUR"/>
    <d v="2015-06-15T05:00:00"/>
    <x v="5"/>
    <x v="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.8870588235294117"/>
    <x v="1"/>
    <n v="56"/>
    <s v="GB"/>
    <s v="GBP"/>
    <d v="2013-07-11T05:00:00"/>
    <x v="8"/>
    <x v="2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11E-2"/>
    <x v="0"/>
    <n v="107"/>
    <s v="US"/>
    <s v="USD"/>
    <d v="2018-02-03T06:00:00"/>
    <x v="10"/>
    <x v="9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.7443434343434348"/>
    <x v="1"/>
    <n v="1460"/>
    <s v="AU"/>
    <s v="AUD"/>
    <d v="2011-07-14T05:00:00"/>
    <x v="8"/>
    <x v="8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0.27693181818181817"/>
    <x v="0"/>
    <n v="27"/>
    <s v="US"/>
    <s v="USD"/>
    <d v="2019-04-28T05:00:00"/>
    <x v="9"/>
    <x v="3"/>
    <d v="2019-04-30T05:00:00"/>
    <b v="0"/>
    <b v="0"/>
    <s v="theater/plays"/>
    <x v="3"/>
    <s v="plays"/>
  </r>
  <r>
    <n v="898"/>
    <s v="Davis-Gonzalez"/>
    <s v="Balanced regional flexibility"/>
    <n v="179100"/>
    <n v="93991"/>
    <n v="0.52479620323841425"/>
    <x v="0"/>
    <n v="1221"/>
    <s v="US"/>
    <s v="USD"/>
    <d v="2019-12-16T06:00:00"/>
    <x v="7"/>
    <x v="3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.0709677419354842"/>
    <x v="1"/>
    <n v="123"/>
    <s v="CH"/>
    <s v="CHF"/>
    <d v="2013-10-07T05:00:00"/>
    <x v="4"/>
    <x v="2"/>
    <d v="2013-10-25T05:00:00"/>
    <b v="0"/>
    <b v="0"/>
    <s v="music/jazz"/>
    <x v="1"/>
    <s v="jazz"/>
  </r>
  <r>
    <n v="900"/>
    <s v="Powers, Smith and Deleon"/>
    <s v="Enhanced uniform service-desk"/>
    <n v="100"/>
    <n v="2"/>
    <n v="0.02"/>
    <x v="0"/>
    <n v="1"/>
    <s v="US"/>
    <s v="USD"/>
    <d v="2014-09-19T05:00:00"/>
    <x v="3"/>
    <x v="1"/>
    <d v="2014-09-20T05:00:00"/>
    <b v="0"/>
    <b v="1"/>
    <s v="technology/web"/>
    <x v="2"/>
    <s v="web"/>
  </r>
  <r>
    <n v="901"/>
    <s v="Hogan Group"/>
    <s v="Versatile bottom-line definition"/>
    <n v="5600"/>
    <n v="8746"/>
    <n v="1.5617857142857143"/>
    <x v="1"/>
    <n v="159"/>
    <s v="US"/>
    <s v="USD"/>
    <d v="2018-07-17T05:00:00"/>
    <x v="8"/>
    <x v="9"/>
    <d v="2018-08-19T05:00:00"/>
    <b v="0"/>
    <b v="1"/>
    <s v="music/rock"/>
    <x v="1"/>
    <s v="rock"/>
  </r>
  <r>
    <n v="902"/>
    <s v="Wang, Silva and Byrd"/>
    <s v="Integrated bifurcated software"/>
    <n v="1400"/>
    <n v="3534"/>
    <n v="2.5242857142857145"/>
    <x v="1"/>
    <n v="110"/>
    <s v="US"/>
    <s v="USD"/>
    <d v="2016-01-30T06:00:00"/>
    <x v="2"/>
    <x v="7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E-2"/>
    <x v="2"/>
    <n v="14"/>
    <s v="US"/>
    <s v="USD"/>
    <d v="2012-05-05T05:00:00"/>
    <x v="11"/>
    <x v="4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0.12230769230769231"/>
    <x v="0"/>
    <n v="16"/>
    <s v="US"/>
    <s v="USD"/>
    <d v="2012-10-04T05:00:00"/>
    <x v="4"/>
    <x v="4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.6398734177215191"/>
    <x v="1"/>
    <n v="236"/>
    <s v="US"/>
    <s v="USD"/>
    <d v="2013-09-19T05:00:00"/>
    <x v="3"/>
    <x v="2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.6298181818181818"/>
    <x v="1"/>
    <n v="191"/>
    <s v="US"/>
    <s v="USD"/>
    <d v="2017-05-13T05:00:00"/>
    <x v="11"/>
    <x v="5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0.20252747252747252"/>
    <x v="0"/>
    <n v="41"/>
    <s v="US"/>
    <s v="USD"/>
    <d v="2011-04-27T05:00:00"/>
    <x v="9"/>
    <x v="8"/>
    <d v="2011-05-04T05:00:00"/>
    <b v="0"/>
    <b v="0"/>
    <s v="theater/plays"/>
    <x v="3"/>
    <s v="plays"/>
  </r>
  <r>
    <n v="908"/>
    <s v="Bryant-Pope"/>
    <s v="Networked intangible help-desk"/>
    <n v="38200"/>
    <n v="121950"/>
    <n v="3.1924083769633507"/>
    <x v="1"/>
    <n v="3934"/>
    <s v="US"/>
    <s v="USD"/>
    <d v="2012-05-02T05:00:00"/>
    <x v="11"/>
    <x v="4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.7894444444444444"/>
    <x v="1"/>
    <n v="80"/>
    <s v="CA"/>
    <s v="CAD"/>
    <d v="2018-06-04T05:00:00"/>
    <x v="5"/>
    <x v="9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0.19556634304207121"/>
    <x v="3"/>
    <n v="296"/>
    <s v="US"/>
    <s v="USD"/>
    <d v="2015-01-22T06:00:00"/>
    <x v="2"/>
    <x v="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.9894827586206896"/>
    <x v="1"/>
    <n v="462"/>
    <s v="US"/>
    <s v="USD"/>
    <d v="2019-09-09T05:00:00"/>
    <x v="3"/>
    <x v="3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.95"/>
    <x v="1"/>
    <n v="179"/>
    <s v="US"/>
    <s v="USD"/>
    <d v="2012-09-05T05:00:00"/>
    <x v="3"/>
    <x v="4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0.50621082621082625"/>
    <x v="0"/>
    <n v="523"/>
    <s v="AU"/>
    <s v="AUD"/>
    <d v="2019-05-12T05:00:00"/>
    <x v="11"/>
    <x v="3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0.57437499999999997"/>
    <x v="0"/>
    <n v="141"/>
    <s v="GB"/>
    <s v="GBP"/>
    <d v="2013-08-04T05:00:00"/>
    <x v="1"/>
    <x v="2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.5562827640984909"/>
    <x v="1"/>
    <n v="1866"/>
    <s v="GB"/>
    <s v="GBP"/>
    <d v="2017-08-29T05:00:00"/>
    <x v="1"/>
    <x v="5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0.36297297297297298"/>
    <x v="0"/>
    <n v="52"/>
    <s v="US"/>
    <s v="USD"/>
    <d v="2014-12-18T06:00:00"/>
    <x v="7"/>
    <x v="1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0.58250000000000002"/>
    <x v="2"/>
    <n v="27"/>
    <s v="GB"/>
    <s v="GBP"/>
    <d v="2011-06-28T05:00:00"/>
    <x v="5"/>
    <x v="8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.3739473684210526"/>
    <x v="1"/>
    <n v="156"/>
    <s v="CH"/>
    <s v="CHF"/>
    <d v="2012-07-27T05:00:00"/>
    <x v="8"/>
    <x v="4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0.58750000000000002"/>
    <x v="0"/>
    <n v="225"/>
    <s v="AU"/>
    <s v="AUD"/>
    <d v="2017-10-14T05:00:00"/>
    <x v="4"/>
    <x v="5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.8256603773584905"/>
    <x v="1"/>
    <n v="255"/>
    <s v="US"/>
    <s v="USD"/>
    <d v="2019-02-07T06:00:00"/>
    <x v="10"/>
    <x v="3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7.5436408977556111E-3"/>
    <x v="0"/>
    <n v="38"/>
    <s v="US"/>
    <s v="USD"/>
    <d v="2012-02-12T06:00:00"/>
    <x v="10"/>
    <x v="4"/>
    <d v="2012-02-26T06:00:00"/>
    <b v="0"/>
    <b v="0"/>
    <s v="technology/web"/>
    <x v="2"/>
    <s v="web"/>
  </r>
  <r>
    <n v="922"/>
    <s v="Soto-Anthony"/>
    <s v="Ameliorated logistical capability"/>
    <n v="51400"/>
    <n v="90440"/>
    <n v="1.7595330739299611"/>
    <x v="1"/>
    <n v="2261"/>
    <s v="US"/>
    <s v="USD"/>
    <d v="2018-12-09T06:00:00"/>
    <x v="7"/>
    <x v="9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.3788235294117648"/>
    <x v="1"/>
    <n v="40"/>
    <s v="US"/>
    <s v="USD"/>
    <d v="2010-07-14T05:00:00"/>
    <x v="8"/>
    <x v="6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.8805076142131982"/>
    <x v="1"/>
    <n v="2289"/>
    <s v="IT"/>
    <s v="EUR"/>
    <d v="2019-10-31T05:00:00"/>
    <x v="4"/>
    <x v="3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.2406666666666668"/>
    <x v="1"/>
    <n v="65"/>
    <s v="US"/>
    <s v="USD"/>
    <d v="2017-09-22T05:00:00"/>
    <x v="3"/>
    <x v="5"/>
    <d v="2017-10-04T05:00:00"/>
    <b v="0"/>
    <b v="0"/>
    <s v="theater/plays"/>
    <x v="3"/>
    <s v="plays"/>
  </r>
  <r>
    <n v="926"/>
    <s v="Brown-Oliver"/>
    <s v="Synchronized cohesive encoding"/>
    <n v="8700"/>
    <n v="1577"/>
    <n v="0.18126436781609195"/>
    <x v="0"/>
    <n v="15"/>
    <s v="US"/>
    <s v="USD"/>
    <d v="2016-05-12T05:00:00"/>
    <x v="11"/>
    <x v="7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0.45847222222222223"/>
    <x v="0"/>
    <n v="37"/>
    <s v="US"/>
    <s v="USD"/>
    <d v="2012-07-12T05:00:00"/>
    <x v="8"/>
    <x v="4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.1731541218637993"/>
    <x v="1"/>
    <n v="3777"/>
    <s v="IT"/>
    <s v="EUR"/>
    <d v="2013-12-29T06:00:00"/>
    <x v="7"/>
    <x v="2"/>
    <d v="2014-01-07T06:00:00"/>
    <b v="0"/>
    <b v="0"/>
    <s v="technology/web"/>
    <x v="2"/>
    <s v="web"/>
  </r>
  <r>
    <n v="929"/>
    <s v="Turner-Terrell"/>
    <s v="Polarized tertiary function"/>
    <n v="5500"/>
    <n v="11952"/>
    <n v="2.173090909090909"/>
    <x v="1"/>
    <n v="184"/>
    <s v="GB"/>
    <s v="GBP"/>
    <d v="2017-05-03T05:00:00"/>
    <x v="11"/>
    <x v="5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.1228571428571428"/>
    <x v="1"/>
    <n v="85"/>
    <s v="US"/>
    <s v="USD"/>
    <d v="2015-02-25T06:00:00"/>
    <x v="10"/>
    <x v="0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0.72518987341772156"/>
    <x v="0"/>
    <n v="112"/>
    <s v="US"/>
    <s v="USD"/>
    <d v="2014-06-28T05:00:00"/>
    <x v="5"/>
    <x v="1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.1230434782608696"/>
    <x v="1"/>
    <n v="144"/>
    <s v="US"/>
    <s v="USD"/>
    <d v="2014-03-11T05:00:00"/>
    <x v="6"/>
    <x v="1"/>
    <d v="2014-03-14T05:00:00"/>
    <b v="0"/>
    <b v="0"/>
    <s v="music/rock"/>
    <x v="1"/>
    <s v="rock"/>
  </r>
  <r>
    <n v="933"/>
    <s v="Espinoza Group"/>
    <s v="Implemented tangible support"/>
    <n v="73000"/>
    <n v="175015"/>
    <n v="2.3974657534246577"/>
    <x v="1"/>
    <n v="1902"/>
    <s v="US"/>
    <s v="USD"/>
    <d v="2013-04-08T05:00:00"/>
    <x v="9"/>
    <x v="2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.8193548387096774"/>
    <x v="1"/>
    <n v="105"/>
    <s v="US"/>
    <s v="USD"/>
    <d v="2016-02-22T06:00:00"/>
    <x v="10"/>
    <x v="7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.6413114754098361"/>
    <x v="1"/>
    <n v="132"/>
    <s v="US"/>
    <s v="USD"/>
    <d v="2015-07-24T05:00:00"/>
    <x v="8"/>
    <x v="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3E-2"/>
    <x v="0"/>
    <n v="21"/>
    <s v="US"/>
    <s v="USD"/>
    <d v="2019-07-22T05:00:00"/>
    <x v="8"/>
    <x v="3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0.49643859649122807"/>
    <x v="3"/>
    <n v="976"/>
    <s v="US"/>
    <s v="USD"/>
    <d v="2015-11-26T06:00:00"/>
    <x v="0"/>
    <x v="0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.0970652173913042"/>
    <x v="1"/>
    <n v="96"/>
    <s v="US"/>
    <s v="USD"/>
    <d v="2018-06-12T05:00:00"/>
    <x v="5"/>
    <x v="9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0.49217948717948717"/>
    <x v="0"/>
    <n v="67"/>
    <s v="US"/>
    <s v="USD"/>
    <d v="2011-05-07T05:00:00"/>
    <x v="11"/>
    <x v="8"/>
    <d v="2011-05-24T05:00:00"/>
    <b v="0"/>
    <b v="1"/>
    <s v="games/video games"/>
    <x v="6"/>
    <s v="video games"/>
  </r>
  <r>
    <n v="940"/>
    <s v="Wiggins Ltd"/>
    <s v="Upgradable analyzing core"/>
    <n v="9900"/>
    <n v="6161"/>
    <n v="0.62232323232323228"/>
    <x v="2"/>
    <n v="66"/>
    <s v="CA"/>
    <s v="CAD"/>
    <d v="2012-12-01T06:00:00"/>
    <x v="7"/>
    <x v="4"/>
    <d v="2012-12-23T06:00:00"/>
    <b v="0"/>
    <b v="0"/>
    <s v="technology/web"/>
    <x v="2"/>
    <s v="web"/>
  </r>
  <r>
    <n v="941"/>
    <s v="Luna-Horne"/>
    <s v="Profound exuding pricing structure"/>
    <n v="43000"/>
    <n v="5615"/>
    <n v="0.1305813953488372"/>
    <x v="0"/>
    <n v="78"/>
    <s v="US"/>
    <s v="USD"/>
    <d v="2011-01-09T06:00:00"/>
    <x v="2"/>
    <x v="8"/>
    <d v="2011-02-13T06:00:00"/>
    <b v="1"/>
    <b v="0"/>
    <s v="theater/plays"/>
    <x v="3"/>
    <s v="plays"/>
  </r>
  <r>
    <n v="942"/>
    <s v="Allen Inc"/>
    <s v="Horizontal optimizing model"/>
    <n v="9600"/>
    <n v="6205"/>
    <n v="0.64635416666666667"/>
    <x v="0"/>
    <n v="67"/>
    <s v="AU"/>
    <s v="AUD"/>
    <d v="2011-01-25T06:00:00"/>
    <x v="2"/>
    <x v="8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.5958666666666668"/>
    <x v="1"/>
    <n v="114"/>
    <s v="US"/>
    <s v="USD"/>
    <d v="2014-09-24T05:00:00"/>
    <x v="3"/>
    <x v="1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0.81420000000000003"/>
    <x v="0"/>
    <n v="263"/>
    <s v="AU"/>
    <s v="AUD"/>
    <d v="2017-02-10T06:00:00"/>
    <x v="10"/>
    <x v="5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0.32444767441860467"/>
    <x v="0"/>
    <n v="1691"/>
    <s v="US"/>
    <s v="USD"/>
    <d v="2012-04-05T05:00:00"/>
    <x v="9"/>
    <x v="4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E-2"/>
    <x v="0"/>
    <n v="181"/>
    <s v="US"/>
    <s v="USD"/>
    <d v="2011-06-16T05:00:00"/>
    <x v="5"/>
    <x v="8"/>
    <d v="2011-06-18T05:00:00"/>
    <b v="0"/>
    <b v="0"/>
    <s v="theater/plays"/>
    <x v="3"/>
    <s v="plays"/>
  </r>
  <r>
    <n v="947"/>
    <s v="Smith-Powell"/>
    <s v="Upgradable clear-thinking hardware"/>
    <n v="3600"/>
    <n v="961"/>
    <n v="0.26694444444444443"/>
    <x v="0"/>
    <n v="13"/>
    <s v="US"/>
    <s v="USD"/>
    <d v="2014-09-26T05:00:00"/>
    <x v="3"/>
    <x v="1"/>
    <d v="2014-10-03T05:00:00"/>
    <b v="0"/>
    <b v="0"/>
    <s v="theater/plays"/>
    <x v="3"/>
    <s v="plays"/>
  </r>
  <r>
    <n v="948"/>
    <s v="Smith-Hill"/>
    <s v="Integrated holistic paradigm"/>
    <n v="9400"/>
    <n v="5918"/>
    <n v="0.62957446808510642"/>
    <x v="3"/>
    <n v="160"/>
    <s v="US"/>
    <s v="USD"/>
    <d v="2014-12-12T06:00:00"/>
    <x v="7"/>
    <x v="1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.6135593220338984"/>
    <x v="1"/>
    <n v="203"/>
    <s v="US"/>
    <s v="USD"/>
    <d v="2015-04-18T05:00:00"/>
    <x v="9"/>
    <x v="0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0.05"/>
    <x v="0"/>
    <n v="1"/>
    <s v="US"/>
    <s v="USD"/>
    <d v="2019-04-16T05:00:00"/>
    <x v="9"/>
    <x v="3"/>
    <d v="2019-04-21T05:00:00"/>
    <b v="0"/>
    <b v="1"/>
    <s v="theater/plays"/>
    <x v="3"/>
    <s v="plays"/>
  </r>
  <r>
    <n v="951"/>
    <s v="Peterson Ltd"/>
    <s v="Re-engineered 24hour matrix"/>
    <n v="14500"/>
    <n v="159056"/>
    <n v="10.969379310344827"/>
    <x v="1"/>
    <n v="1559"/>
    <s v="US"/>
    <s v="USD"/>
    <d v="2016-12-26T06:00:00"/>
    <x v="7"/>
    <x v="7"/>
    <d v="2016-12-27T06:00:00"/>
    <b v="0"/>
    <b v="1"/>
    <s v="music/rock"/>
    <x v="1"/>
    <s v="rock"/>
  </r>
  <r>
    <n v="952"/>
    <s v="Cummings-Hayes"/>
    <s v="Virtual multi-tasking core"/>
    <n v="145500"/>
    <n v="101987"/>
    <n v="0.70094158075601376"/>
    <x v="3"/>
    <n v="2266"/>
    <s v="US"/>
    <s v="USD"/>
    <d v="2016-08-09T05:00:00"/>
    <x v="1"/>
    <x v="7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0.6"/>
    <x v="0"/>
    <n v="21"/>
    <s v="US"/>
    <s v="USD"/>
    <d v="2015-12-20T06:00:00"/>
    <x v="7"/>
    <x v="0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.6709859154929578"/>
    <x v="1"/>
    <n v="1548"/>
    <s v="AU"/>
    <s v="AUD"/>
    <d v="2012-09-22T05:00:00"/>
    <x v="3"/>
    <x v="4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.09"/>
    <x v="1"/>
    <n v="80"/>
    <s v="US"/>
    <s v="USD"/>
    <d v="2012-11-25T06:00:00"/>
    <x v="0"/>
    <x v="4"/>
    <d v="2012-11-27T06:00:00"/>
    <b v="0"/>
    <b v="0"/>
    <s v="theater/plays"/>
    <x v="3"/>
    <s v="plays"/>
  </r>
  <r>
    <n v="956"/>
    <s v="Wood Inc"/>
    <s v="Re-engineered composite focus group"/>
    <n v="187600"/>
    <n v="35698"/>
    <n v="0.19028784648187633"/>
    <x v="0"/>
    <n v="830"/>
    <s v="US"/>
    <s v="USD"/>
    <d v="2015-12-22T06:00:00"/>
    <x v="7"/>
    <x v="0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.2687755102040816"/>
    <x v="1"/>
    <n v="131"/>
    <s v="US"/>
    <s v="USD"/>
    <d v="2012-02-16T06:00:00"/>
    <x v="10"/>
    <x v="4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.3463636363636367"/>
    <x v="1"/>
    <n v="112"/>
    <s v="US"/>
    <s v="USD"/>
    <d v="2010-06-21T05:00:00"/>
    <x v="5"/>
    <x v="6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2E-2"/>
    <x v="0"/>
    <n v="130"/>
    <s v="US"/>
    <s v="USD"/>
    <d v="2010-06-28T05:00:00"/>
    <x v="5"/>
    <x v="6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0.85054545454545449"/>
    <x v="0"/>
    <n v="55"/>
    <s v="US"/>
    <s v="USD"/>
    <d v="2016-02-08T06:00:00"/>
    <x v="10"/>
    <x v="7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.1929824561403508"/>
    <x v="1"/>
    <n v="155"/>
    <s v="US"/>
    <s v="USD"/>
    <d v="2011-02-17T06:00:00"/>
    <x v="10"/>
    <x v="8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.9602777777777778"/>
    <x v="1"/>
    <n v="266"/>
    <s v="US"/>
    <s v="USD"/>
    <d v="2013-11-14T06:00:00"/>
    <x v="0"/>
    <x v="2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0.84694915254237291"/>
    <x v="0"/>
    <n v="114"/>
    <s v="IT"/>
    <s v="EUR"/>
    <d v="2011-03-05T06:00:00"/>
    <x v="6"/>
    <x v="8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.5578378378378379"/>
    <x v="1"/>
    <n v="155"/>
    <s v="US"/>
    <s v="USD"/>
    <d v="2015-05-11T05:00:00"/>
    <x v="11"/>
    <x v="0"/>
    <d v="2015-05-16T05:00:00"/>
    <b v="0"/>
    <b v="0"/>
    <s v="theater/plays"/>
    <x v="3"/>
    <s v="plays"/>
  </r>
  <r>
    <n v="965"/>
    <s v="Nunez-King"/>
    <s v="Phased clear-thinking policy"/>
    <n v="2200"/>
    <n v="8501"/>
    <n v="3.8640909090909092"/>
    <x v="1"/>
    <n v="207"/>
    <s v="GB"/>
    <s v="GBP"/>
    <d v="2010-01-25T06:00:00"/>
    <x v="2"/>
    <x v="6"/>
    <d v="2010-03-06T06:00:00"/>
    <b v="0"/>
    <b v="0"/>
    <s v="music/rock"/>
    <x v="1"/>
    <s v="rock"/>
  </r>
  <r>
    <n v="966"/>
    <s v="Davis and Sons"/>
    <s v="Seamless solution-oriented capacity"/>
    <n v="1700"/>
    <n v="13468"/>
    <n v="7.9223529411764702"/>
    <x v="1"/>
    <n v="245"/>
    <s v="US"/>
    <s v="USD"/>
    <d v="2017-06-15T05:00:00"/>
    <x v="5"/>
    <x v="5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.3703393665158372"/>
    <x v="1"/>
    <n v="1573"/>
    <s v="US"/>
    <s v="USD"/>
    <d v="2012-04-06T05:00:00"/>
    <x v="9"/>
    <x v="4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.3820833333333336"/>
    <x v="1"/>
    <n v="114"/>
    <s v="US"/>
    <s v="USD"/>
    <d v="2011-01-01T06:00:00"/>
    <x v="2"/>
    <x v="8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.0822784810126582"/>
    <x v="1"/>
    <n v="93"/>
    <s v="US"/>
    <s v="USD"/>
    <d v="2019-12-22T06:00:00"/>
    <x v="7"/>
    <x v="3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0.60757639620653314"/>
    <x v="0"/>
    <n v="594"/>
    <s v="US"/>
    <s v="USD"/>
    <d v="2011-05-09T05:00:00"/>
    <x v="11"/>
    <x v="8"/>
    <d v="2011-05-10T05:00:00"/>
    <b v="0"/>
    <b v="0"/>
    <s v="theater/plays"/>
    <x v="3"/>
    <s v="plays"/>
  </r>
  <r>
    <n v="971"/>
    <s v="Garner and Sons"/>
    <s v="Versatile neutral workforce"/>
    <n v="5100"/>
    <n v="1414"/>
    <n v="0.27725490196078434"/>
    <x v="0"/>
    <n v="24"/>
    <s v="US"/>
    <s v="USD"/>
    <d v="2013-10-08T05:00:00"/>
    <x v="4"/>
    <x v="2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.283934426229508"/>
    <x v="1"/>
    <n v="1681"/>
    <s v="US"/>
    <s v="USD"/>
    <d v="2014-06-02T05:00:00"/>
    <x v="5"/>
    <x v="1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0.21615194054500414"/>
    <x v="0"/>
    <n v="252"/>
    <s v="US"/>
    <s v="USD"/>
    <d v="2010-12-10T06:00:00"/>
    <x v="7"/>
    <x v="6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.73875"/>
    <x v="1"/>
    <n v="32"/>
    <s v="US"/>
    <s v="USD"/>
    <d v="2013-05-18T05:00:00"/>
    <x v="11"/>
    <x v="2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.5492592592592593"/>
    <x v="1"/>
    <n v="135"/>
    <s v="US"/>
    <s v="USD"/>
    <d v="2015-11-29T06:00:00"/>
    <x v="0"/>
    <x v="0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.2214999999999998"/>
    <x v="1"/>
    <n v="140"/>
    <s v="US"/>
    <s v="USD"/>
    <d v="2011-01-28T06:00:00"/>
    <x v="2"/>
    <x v="8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0.73957142857142855"/>
    <x v="0"/>
    <n v="67"/>
    <s v="US"/>
    <s v="USD"/>
    <d v="2018-02-07T06:00:00"/>
    <x v="10"/>
    <x v="9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.641"/>
    <x v="1"/>
    <n v="92"/>
    <s v="US"/>
    <s v="USD"/>
    <d v="2016-11-12T06:00:00"/>
    <x v="0"/>
    <x v="7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.432624584717608"/>
    <x v="1"/>
    <n v="1015"/>
    <s v="GB"/>
    <s v="GBP"/>
    <d v="2015-03-15T05:00:00"/>
    <x v="6"/>
    <x v="0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0.40281762295081969"/>
    <x v="0"/>
    <n v="742"/>
    <s v="US"/>
    <s v="USD"/>
    <d v="2015-10-30T05:00:00"/>
    <x v="4"/>
    <x v="0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.7822388059701493"/>
    <x v="1"/>
    <n v="323"/>
    <s v="US"/>
    <s v="USD"/>
    <d v="2017-12-25T06:00:00"/>
    <x v="7"/>
    <x v="5"/>
    <d v="2018-01-27T06:00:00"/>
    <b v="0"/>
    <b v="0"/>
    <s v="technology/web"/>
    <x v="2"/>
    <s v="web"/>
  </r>
  <r>
    <n v="982"/>
    <s v="Freeman-French"/>
    <s v="Multi-layered optimal application"/>
    <n v="7200"/>
    <n v="6115"/>
    <n v="0.84930555555555554"/>
    <x v="0"/>
    <n v="75"/>
    <s v="US"/>
    <s v="USD"/>
    <d v="2011-07-19T05:00:00"/>
    <x v="8"/>
    <x v="8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.4593648334624323"/>
    <x v="1"/>
    <n v="2326"/>
    <s v="US"/>
    <s v="USD"/>
    <d v="2019-08-04T05:00:00"/>
    <x v="1"/>
    <x v="3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.5246153846153847"/>
    <x v="1"/>
    <n v="381"/>
    <s v="US"/>
    <s v="USD"/>
    <d v="2019-09-08T05:00:00"/>
    <x v="3"/>
    <x v="3"/>
    <d v="2019-10-04T05:00:00"/>
    <b v="0"/>
    <b v="0"/>
    <s v="theater/plays"/>
    <x v="3"/>
    <s v="plays"/>
  </r>
  <r>
    <n v="985"/>
    <s v="Logan-Curtis"/>
    <s v="Enhanced optimal ability"/>
    <n v="170600"/>
    <n v="114523"/>
    <n v="0.67129542790152408"/>
    <x v="0"/>
    <n v="4405"/>
    <s v="US"/>
    <s v="USD"/>
    <d v="2013-12-06T06:00:00"/>
    <x v="7"/>
    <x v="2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0.40307692307692305"/>
    <x v="0"/>
    <n v="92"/>
    <s v="US"/>
    <s v="USD"/>
    <d v="2011-04-05T05:00:00"/>
    <x v="9"/>
    <x v="8"/>
    <d v="2011-04-19T05:00:00"/>
    <b v="0"/>
    <b v="0"/>
    <s v="music/rock"/>
    <x v="1"/>
    <s v="rock"/>
  </r>
  <r>
    <n v="987"/>
    <s v="Wilson Group"/>
    <s v="Ameliorated foreground focus group"/>
    <n v="6200"/>
    <n v="13441"/>
    <n v="2.1679032258064517"/>
    <x v="1"/>
    <n v="480"/>
    <s v="US"/>
    <s v="USD"/>
    <d v="2017-04-27T05:00:00"/>
    <x v="9"/>
    <x v="5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0.52117021276595743"/>
    <x v="0"/>
    <n v="64"/>
    <s v="US"/>
    <s v="USD"/>
    <d v="2016-11-12T06:00:00"/>
    <x v="0"/>
    <x v="7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.9958333333333336"/>
    <x v="1"/>
    <n v="226"/>
    <s v="US"/>
    <s v="USD"/>
    <d v="2019-04-16T05:00:00"/>
    <x v="9"/>
    <x v="3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0.87679487179487181"/>
    <x v="0"/>
    <n v="64"/>
    <s v="US"/>
    <s v="USD"/>
    <d v="2016-03-03T06:00:00"/>
    <x v="6"/>
    <x v="7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.131734693877551"/>
    <x v="1"/>
    <n v="241"/>
    <s v="US"/>
    <s v="USD"/>
    <d v="2014-09-25T05:00:00"/>
    <x v="3"/>
    <x v="1"/>
    <d v="2014-09-29T05:00:00"/>
    <b v="0"/>
    <b v="1"/>
    <s v="music/rock"/>
    <x v="1"/>
    <s v="rock"/>
  </r>
  <r>
    <n v="992"/>
    <s v="Morrow Inc"/>
    <s v="Networked global migration"/>
    <n v="3100"/>
    <n v="13223"/>
    <n v="4.2654838709677421"/>
    <x v="1"/>
    <n v="132"/>
    <s v="US"/>
    <s v="USD"/>
    <d v="2018-05-07T05:00:00"/>
    <x v="11"/>
    <x v="9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0.77632653061224488"/>
    <x v="3"/>
    <n v="75"/>
    <s v="IT"/>
    <s v="EUR"/>
    <d v="2015-12-24T06:00:00"/>
    <x v="7"/>
    <x v="0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0.52496810772501767"/>
    <x v="0"/>
    <n v="842"/>
    <s v="US"/>
    <s v="USD"/>
    <d v="2014-10-17T05:00:00"/>
    <x v="4"/>
    <x v="1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.5746762589928058"/>
    <x v="1"/>
    <n v="2043"/>
    <s v="US"/>
    <s v="USD"/>
    <d v="2018-11-04T05:00:00"/>
    <x v="0"/>
    <x v="9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0.72939393939393937"/>
    <x v="0"/>
    <n v="112"/>
    <s v="US"/>
    <s v="USD"/>
    <d v="2013-01-02T06:00:00"/>
    <x v="2"/>
    <x v="2"/>
    <d v="2013-02-01T06:00:00"/>
    <b v="0"/>
    <b v="0"/>
    <s v="theater/plays"/>
    <x v="3"/>
    <s v="plays"/>
  </r>
  <r>
    <n v="997"/>
    <s v="Ball LLC"/>
    <s v="Right-sized full-range throughput"/>
    <n v="7600"/>
    <n v="4603"/>
    <n v="0.60565789473684206"/>
    <x v="3"/>
    <n v="139"/>
    <s v="IT"/>
    <s v="EUR"/>
    <d v="2014-01-20T06:00:00"/>
    <x v="2"/>
    <x v="1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0.5679129129129129"/>
    <x v="0"/>
    <n v="374"/>
    <s v="US"/>
    <s v="USD"/>
    <d v="2010-02-11T06:00:00"/>
    <x v="10"/>
    <x v="6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0.56542754275427543"/>
    <x v="3"/>
    <n v="1122"/>
    <s v="US"/>
    <s v="USD"/>
    <d v="2016-06-29T05:00:00"/>
    <x v="5"/>
    <x v="7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060FAE-338C-48C5-88FC-365AC2ABC91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F14" firstHeaderRow="1" firstDataRow="2" firstDataCol="1" rowPageCount="1" colPageCount="1"/>
  <pivotFields count="17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axis="axisCol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axis="axisPage" compact="0" outline="0" showAll="0">
      <items count="8">
        <item x="2"/>
        <item x="0"/>
        <item x="5"/>
        <item x="3"/>
        <item x="4"/>
        <item x="6"/>
        <item x="1"/>
        <item t="default"/>
      </items>
    </pivotField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compact="0" outline="0"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id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824157-587E-446C-BBB4-DF4DA054B25D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F29" firstHeaderRow="1" firstDataRow="2" firstDataCol="1" rowPageCount="1" colPageCount="1"/>
  <pivotFields count="17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axis="axisCol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axis="axisPage" compact="0" outline="0" multipleItemSelectionAllowed="1" showAll="0">
      <items count="8">
        <item x="2"/>
        <item x="0"/>
        <item x="5"/>
        <item x="3"/>
        <item x="4"/>
        <item x="6"/>
        <item x="1"/>
        <item t="default"/>
      </items>
    </pivotField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id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DC36F-60D0-4394-98E4-D7F587B311F1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5:F19" firstHeaderRow="1" firstDataRow="2" firstDataCol="1" rowPageCount="2" colPageCount="1"/>
  <pivotFields count="19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axis="axisCol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axis="axisRow" compact="0" outline="0" showAll="0">
      <items count="13">
        <item x="2"/>
        <item x="10"/>
        <item x="6"/>
        <item x="9"/>
        <item x="11"/>
        <item x="5"/>
        <item x="8"/>
        <item x="1"/>
        <item x="3"/>
        <item x="4"/>
        <item x="0"/>
        <item x="7"/>
        <item t="default"/>
      </items>
    </pivotField>
    <pivotField axis="axisPage" compact="0" outline="0" showAll="0">
      <items count="12">
        <item x="6"/>
        <item x="8"/>
        <item x="4"/>
        <item x="2"/>
        <item x="1"/>
        <item x="0"/>
        <item x="7"/>
        <item x="5"/>
        <item x="9"/>
        <item x="3"/>
        <item x="10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compact="0" outline="0" showAll="0"/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12" hier="-1"/>
  </pageFields>
  <dataFields count="1">
    <dataField name="Count of id" fld="0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E3F30-18CF-496C-B422-D1905B06291E}">
  <dimension ref="A1:R30"/>
  <sheetViews>
    <sheetView workbookViewId="0">
      <selection activeCell="R27" sqref="R27"/>
    </sheetView>
  </sheetViews>
  <sheetFormatPr baseColWidth="10" defaultColWidth="8.83203125" defaultRowHeight="16" x14ac:dyDescent="0.2"/>
  <cols>
    <col min="1" max="1" width="17.1640625" bestFit="1" customWidth="1"/>
    <col min="2" max="2" width="11.1640625" bestFit="1" customWidth="1"/>
    <col min="3" max="3" width="5.6640625" bestFit="1" customWidth="1"/>
    <col min="4" max="4" width="3.83203125" bestFit="1" customWidth="1"/>
    <col min="5" max="5" width="9.33203125" bestFit="1" customWidth="1"/>
    <col min="6" max="6" width="10.6640625" bestFit="1" customWidth="1"/>
  </cols>
  <sheetData>
    <row r="1" spans="1:6" x14ac:dyDescent="0.2">
      <c r="A1" s="6" t="s">
        <v>0</v>
      </c>
      <c r="B1" t="s">
        <v>1</v>
      </c>
    </row>
    <row r="3" spans="1:6" x14ac:dyDescent="0.2">
      <c r="A3" s="6" t="s">
        <v>2</v>
      </c>
      <c r="B3" s="6" t="s">
        <v>3</v>
      </c>
    </row>
    <row r="4" spans="1:6" x14ac:dyDescent="0.2">
      <c r="A4" s="6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</row>
    <row r="5" spans="1:6" x14ac:dyDescent="0.2">
      <c r="A5" t="s">
        <v>10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t="s">
        <v>11</v>
      </c>
      <c r="B6">
        <v>4</v>
      </c>
      <c r="C6">
        <v>20</v>
      </c>
      <c r="E6">
        <v>22</v>
      </c>
      <c r="F6">
        <v>46</v>
      </c>
    </row>
    <row r="7" spans="1:6" x14ac:dyDescent="0.2">
      <c r="A7" t="s">
        <v>12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t="s">
        <v>13</v>
      </c>
      <c r="E8">
        <v>4</v>
      </c>
      <c r="F8">
        <v>4</v>
      </c>
    </row>
    <row r="9" spans="1:6" x14ac:dyDescent="0.2">
      <c r="A9" t="s">
        <v>14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t="s">
        <v>15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t="s">
        <v>16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t="s">
        <v>17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t="s">
        <v>18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t="s">
        <v>9</v>
      </c>
      <c r="B14">
        <v>57</v>
      </c>
      <c r="C14">
        <v>364</v>
      </c>
      <c r="D14">
        <v>14</v>
      </c>
      <c r="E14">
        <v>565</v>
      </c>
      <c r="F14">
        <v>1000</v>
      </c>
    </row>
    <row r="18" spans="17:18" x14ac:dyDescent="0.2">
      <c r="R18">
        <f>(E5+E9+E13)/(F5+F9+F13)</f>
        <v>0.55667144906743182</v>
      </c>
    </row>
    <row r="22" spans="17:18" x14ac:dyDescent="0.2">
      <c r="Q22" t="str">
        <f>A5</f>
        <v>film &amp; video</v>
      </c>
      <c r="R22">
        <f>E5/F5</f>
        <v>0.5730337078651685</v>
      </c>
    </row>
    <row r="23" spans="17:18" x14ac:dyDescent="0.2">
      <c r="Q23" t="str">
        <f t="shared" ref="Q23:Q30" si="0">A6</f>
        <v>food</v>
      </c>
      <c r="R23">
        <f t="shared" ref="R23:R29" si="1">E6/F6</f>
        <v>0.47826086956521741</v>
      </c>
    </row>
    <row r="24" spans="17:18" x14ac:dyDescent="0.2">
      <c r="Q24" t="str">
        <f t="shared" si="0"/>
        <v>games</v>
      </c>
      <c r="R24">
        <f t="shared" si="1"/>
        <v>0.4375</v>
      </c>
    </row>
    <row r="25" spans="17:18" x14ac:dyDescent="0.2">
      <c r="Q25" t="str">
        <f t="shared" si="0"/>
        <v>journalism</v>
      </c>
      <c r="R25">
        <f t="shared" si="1"/>
        <v>1</v>
      </c>
    </row>
    <row r="26" spans="17:18" x14ac:dyDescent="0.2">
      <c r="Q26" t="str">
        <f t="shared" si="0"/>
        <v>music</v>
      </c>
      <c r="R26">
        <f t="shared" si="1"/>
        <v>0.56571428571428573</v>
      </c>
    </row>
    <row r="27" spans="17:18" x14ac:dyDescent="0.2">
      <c r="Q27" t="str">
        <f t="shared" si="0"/>
        <v>photography</v>
      </c>
      <c r="R27">
        <f t="shared" si="1"/>
        <v>0.61904761904761907</v>
      </c>
    </row>
    <row r="28" spans="17:18" x14ac:dyDescent="0.2">
      <c r="Q28" t="str">
        <f t="shared" si="0"/>
        <v>publishing</v>
      </c>
      <c r="R28">
        <f t="shared" si="1"/>
        <v>0.59701492537313428</v>
      </c>
    </row>
    <row r="29" spans="17:18" x14ac:dyDescent="0.2">
      <c r="Q29" t="str">
        <f t="shared" si="0"/>
        <v>technology</v>
      </c>
      <c r="R29">
        <f t="shared" si="1"/>
        <v>0.66666666666666663</v>
      </c>
    </row>
    <row r="30" spans="17:18" x14ac:dyDescent="0.2">
      <c r="Q30" t="str">
        <f t="shared" si="0"/>
        <v>theater</v>
      </c>
      <c r="R30">
        <f>E13/F13</f>
        <v>0.54360465116279066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4849E-922F-40F0-B408-1CDCBB019F1C}">
  <dimension ref="A1:U29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6.83203125" bestFit="1" customWidth="1"/>
    <col min="2" max="2" width="11.1640625" bestFit="1" customWidth="1"/>
    <col min="3" max="3" width="5.6640625" bestFit="1" customWidth="1"/>
    <col min="4" max="4" width="3.83203125" bestFit="1" customWidth="1"/>
    <col min="5" max="5" width="9.33203125" bestFit="1" customWidth="1"/>
    <col min="6" max="6" width="10.6640625" bestFit="1" customWidth="1"/>
  </cols>
  <sheetData>
    <row r="1" spans="1:19" x14ac:dyDescent="0.2">
      <c r="A1" s="6" t="s">
        <v>0</v>
      </c>
      <c r="B1" t="s">
        <v>1</v>
      </c>
    </row>
    <row r="3" spans="1:19" x14ac:dyDescent="0.2">
      <c r="A3" s="6" t="s">
        <v>2</v>
      </c>
      <c r="B3" s="6" t="s">
        <v>3</v>
      </c>
    </row>
    <row r="4" spans="1:19" x14ac:dyDescent="0.2">
      <c r="A4" s="6" t="s">
        <v>19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S4" t="s">
        <v>20</v>
      </c>
    </row>
    <row r="5" spans="1:19" x14ac:dyDescent="0.2">
      <c r="A5" t="s">
        <v>21</v>
      </c>
      <c r="B5">
        <v>1</v>
      </c>
      <c r="C5">
        <v>10</v>
      </c>
      <c r="D5">
        <v>2</v>
      </c>
      <c r="E5">
        <v>21</v>
      </c>
      <c r="F5">
        <v>34</v>
      </c>
      <c r="R5" t="s">
        <v>21</v>
      </c>
      <c r="S5">
        <f>E5/F5</f>
        <v>0.61764705882352944</v>
      </c>
    </row>
    <row r="6" spans="1:19" x14ac:dyDescent="0.2">
      <c r="A6" t="s">
        <v>22</v>
      </c>
      <c r="E6">
        <v>4</v>
      </c>
      <c r="F6">
        <v>4</v>
      </c>
      <c r="R6" t="s">
        <v>22</v>
      </c>
      <c r="S6">
        <f t="shared" ref="S6:S28" si="0">E6/F6</f>
        <v>1</v>
      </c>
    </row>
    <row r="7" spans="1:19" x14ac:dyDescent="0.2">
      <c r="A7" t="s">
        <v>23</v>
      </c>
      <c r="B7">
        <v>4</v>
      </c>
      <c r="C7">
        <v>21</v>
      </c>
      <c r="D7">
        <v>1</v>
      </c>
      <c r="E7">
        <v>34</v>
      </c>
      <c r="F7">
        <v>60</v>
      </c>
      <c r="R7" t="s">
        <v>23</v>
      </c>
      <c r="S7">
        <f t="shared" si="0"/>
        <v>0.56666666666666665</v>
      </c>
    </row>
    <row r="8" spans="1:19" x14ac:dyDescent="0.2">
      <c r="A8" t="s">
        <v>24</v>
      </c>
      <c r="B8">
        <v>2</v>
      </c>
      <c r="C8">
        <v>12</v>
      </c>
      <c r="D8">
        <v>1</v>
      </c>
      <c r="E8">
        <v>22</v>
      </c>
      <c r="F8">
        <v>37</v>
      </c>
      <c r="R8" t="s">
        <v>24</v>
      </c>
      <c r="S8">
        <f t="shared" si="0"/>
        <v>0.59459459459459463</v>
      </c>
    </row>
    <row r="9" spans="1:19" x14ac:dyDescent="0.2">
      <c r="A9" t="s">
        <v>25</v>
      </c>
      <c r="C9">
        <v>8</v>
      </c>
      <c r="E9">
        <v>10</v>
      </c>
      <c r="F9">
        <v>18</v>
      </c>
      <c r="R9" t="s">
        <v>25</v>
      </c>
      <c r="S9">
        <f t="shared" si="0"/>
        <v>0.55555555555555558</v>
      </c>
    </row>
    <row r="10" spans="1:19" x14ac:dyDescent="0.2">
      <c r="A10" t="s">
        <v>26</v>
      </c>
      <c r="B10">
        <v>1</v>
      </c>
      <c r="C10">
        <v>7</v>
      </c>
      <c r="E10">
        <v>9</v>
      </c>
      <c r="F10">
        <v>17</v>
      </c>
      <c r="R10" t="s">
        <v>26</v>
      </c>
      <c r="S10">
        <f t="shared" si="0"/>
        <v>0.52941176470588236</v>
      </c>
    </row>
    <row r="11" spans="1:19" x14ac:dyDescent="0.2">
      <c r="A11" t="s">
        <v>27</v>
      </c>
      <c r="B11">
        <v>4</v>
      </c>
      <c r="C11">
        <v>20</v>
      </c>
      <c r="E11">
        <v>22</v>
      </c>
      <c r="F11">
        <v>46</v>
      </c>
      <c r="R11" t="s">
        <v>27</v>
      </c>
      <c r="S11">
        <f t="shared" si="0"/>
        <v>0.47826086956521741</v>
      </c>
    </row>
    <row r="12" spans="1:19" x14ac:dyDescent="0.2">
      <c r="A12" t="s">
        <v>28</v>
      </c>
      <c r="B12">
        <v>3</v>
      </c>
      <c r="C12">
        <v>19</v>
      </c>
      <c r="E12">
        <v>23</v>
      </c>
      <c r="F12">
        <v>45</v>
      </c>
      <c r="R12" t="s">
        <v>28</v>
      </c>
      <c r="S12">
        <f t="shared" si="0"/>
        <v>0.51111111111111107</v>
      </c>
    </row>
    <row r="13" spans="1:19" x14ac:dyDescent="0.2">
      <c r="A13" t="s">
        <v>29</v>
      </c>
      <c r="B13">
        <v>1</v>
      </c>
      <c r="C13">
        <v>6</v>
      </c>
      <c r="E13">
        <v>10</v>
      </c>
      <c r="F13">
        <v>17</v>
      </c>
      <c r="R13" t="s">
        <v>29</v>
      </c>
      <c r="S13">
        <f t="shared" si="0"/>
        <v>0.58823529411764708</v>
      </c>
    </row>
    <row r="14" spans="1:19" x14ac:dyDescent="0.2">
      <c r="A14" t="s">
        <v>30</v>
      </c>
      <c r="C14">
        <v>3</v>
      </c>
      <c r="E14">
        <v>4</v>
      </c>
      <c r="F14">
        <v>7</v>
      </c>
      <c r="R14" t="s">
        <v>30</v>
      </c>
      <c r="S14">
        <f t="shared" si="0"/>
        <v>0.5714285714285714</v>
      </c>
    </row>
    <row r="15" spans="1:19" x14ac:dyDescent="0.2">
      <c r="A15" t="s">
        <v>31</v>
      </c>
      <c r="C15">
        <v>8</v>
      </c>
      <c r="D15">
        <v>1</v>
      </c>
      <c r="E15">
        <v>4</v>
      </c>
      <c r="F15">
        <v>13</v>
      </c>
      <c r="R15" t="s">
        <v>31</v>
      </c>
      <c r="S15">
        <f t="shared" si="0"/>
        <v>0.30769230769230771</v>
      </c>
    </row>
    <row r="16" spans="1:19" x14ac:dyDescent="0.2">
      <c r="A16" t="s">
        <v>32</v>
      </c>
      <c r="B16">
        <v>1</v>
      </c>
      <c r="C16">
        <v>6</v>
      </c>
      <c r="D16">
        <v>1</v>
      </c>
      <c r="E16">
        <v>13</v>
      </c>
      <c r="F16">
        <v>21</v>
      </c>
      <c r="R16" t="s">
        <v>32</v>
      </c>
      <c r="S16">
        <f t="shared" si="0"/>
        <v>0.61904761904761907</v>
      </c>
    </row>
    <row r="17" spans="1:21" x14ac:dyDescent="0.2">
      <c r="A17" t="s">
        <v>33</v>
      </c>
      <c r="B17">
        <v>4</v>
      </c>
      <c r="C17">
        <v>11</v>
      </c>
      <c r="D17">
        <v>1</v>
      </c>
      <c r="E17">
        <v>26</v>
      </c>
      <c r="F17">
        <v>42</v>
      </c>
      <c r="R17" t="s">
        <v>33</v>
      </c>
      <c r="S17">
        <f t="shared" si="0"/>
        <v>0.61904761904761907</v>
      </c>
    </row>
    <row r="18" spans="1:21" x14ac:dyDescent="0.2">
      <c r="A18" t="s">
        <v>34</v>
      </c>
      <c r="B18">
        <v>23</v>
      </c>
      <c r="C18">
        <v>132</v>
      </c>
      <c r="D18">
        <v>2</v>
      </c>
      <c r="E18">
        <v>187</v>
      </c>
      <c r="F18">
        <v>344</v>
      </c>
      <c r="R18" t="s">
        <v>34</v>
      </c>
      <c r="S18">
        <f t="shared" si="0"/>
        <v>0.54360465116279066</v>
      </c>
    </row>
    <row r="19" spans="1:21" x14ac:dyDescent="0.2">
      <c r="A19" t="s">
        <v>35</v>
      </c>
      <c r="C19">
        <v>4</v>
      </c>
      <c r="E19">
        <v>4</v>
      </c>
      <c r="F19">
        <v>8</v>
      </c>
      <c r="R19" t="s">
        <v>35</v>
      </c>
      <c r="S19">
        <f t="shared" si="0"/>
        <v>0.5</v>
      </c>
    </row>
    <row r="20" spans="1:21" x14ac:dyDescent="0.2">
      <c r="A20" t="s">
        <v>36</v>
      </c>
      <c r="B20">
        <v>6</v>
      </c>
      <c r="C20">
        <v>30</v>
      </c>
      <c r="E20">
        <v>49</v>
      </c>
      <c r="F20">
        <v>85</v>
      </c>
      <c r="R20" t="s">
        <v>36</v>
      </c>
      <c r="S20">
        <f t="shared" si="0"/>
        <v>0.57647058823529407</v>
      </c>
    </row>
    <row r="21" spans="1:21" x14ac:dyDescent="0.2">
      <c r="A21" t="s">
        <v>37</v>
      </c>
      <c r="C21">
        <v>9</v>
      </c>
      <c r="E21">
        <v>5</v>
      </c>
      <c r="F21">
        <v>14</v>
      </c>
      <c r="R21" t="s">
        <v>37</v>
      </c>
      <c r="S21">
        <f t="shared" si="0"/>
        <v>0.35714285714285715</v>
      </c>
    </row>
    <row r="22" spans="1:21" x14ac:dyDescent="0.2">
      <c r="A22" t="s">
        <v>38</v>
      </c>
      <c r="B22">
        <v>1</v>
      </c>
      <c r="C22">
        <v>5</v>
      </c>
      <c r="D22">
        <v>1</v>
      </c>
      <c r="E22">
        <v>9</v>
      </c>
      <c r="F22">
        <v>16</v>
      </c>
      <c r="R22" t="s">
        <v>38</v>
      </c>
      <c r="S22">
        <f t="shared" si="0"/>
        <v>0.5625</v>
      </c>
    </row>
    <row r="23" spans="1:21" x14ac:dyDescent="0.2">
      <c r="A23" t="s">
        <v>39</v>
      </c>
      <c r="B23">
        <v>3</v>
      </c>
      <c r="C23">
        <v>3</v>
      </c>
      <c r="E23">
        <v>11</v>
      </c>
      <c r="F23">
        <v>17</v>
      </c>
      <c r="R23" t="s">
        <v>39</v>
      </c>
      <c r="S23">
        <f t="shared" si="0"/>
        <v>0.6470588235294118</v>
      </c>
      <c r="U23">
        <f>MIN(S5:S28)</f>
        <v>0.30769230769230771</v>
      </c>
    </row>
    <row r="24" spans="1:21" x14ac:dyDescent="0.2">
      <c r="A24" t="s">
        <v>40</v>
      </c>
      <c r="C24">
        <v>7</v>
      </c>
      <c r="E24">
        <v>14</v>
      </c>
      <c r="F24">
        <v>21</v>
      </c>
      <c r="R24" t="s">
        <v>40</v>
      </c>
      <c r="S24">
        <f t="shared" si="0"/>
        <v>0.66666666666666663</v>
      </c>
      <c r="U24">
        <f>MAX(S5:S27)</f>
        <v>1</v>
      </c>
    </row>
    <row r="25" spans="1:21" x14ac:dyDescent="0.2">
      <c r="A25" t="s">
        <v>41</v>
      </c>
      <c r="B25">
        <v>1</v>
      </c>
      <c r="C25">
        <v>15</v>
      </c>
      <c r="D25">
        <v>2</v>
      </c>
      <c r="E25">
        <v>17</v>
      </c>
      <c r="F25">
        <v>35</v>
      </c>
      <c r="R25" t="s">
        <v>41</v>
      </c>
      <c r="S25">
        <f t="shared" si="0"/>
        <v>0.48571428571428571</v>
      </c>
    </row>
    <row r="26" spans="1:21" x14ac:dyDescent="0.2">
      <c r="A26" t="s">
        <v>42</v>
      </c>
      <c r="C26">
        <v>16</v>
      </c>
      <c r="D26">
        <v>1</v>
      </c>
      <c r="E26">
        <v>28</v>
      </c>
      <c r="F26">
        <v>45</v>
      </c>
      <c r="R26" t="s">
        <v>42</v>
      </c>
      <c r="S26">
        <f t="shared" si="0"/>
        <v>0.62222222222222223</v>
      </c>
    </row>
    <row r="27" spans="1:21" x14ac:dyDescent="0.2">
      <c r="A27" t="s">
        <v>43</v>
      </c>
      <c r="B27">
        <v>2</v>
      </c>
      <c r="C27">
        <v>12</v>
      </c>
      <c r="D27">
        <v>1</v>
      </c>
      <c r="E27">
        <v>36</v>
      </c>
      <c r="F27">
        <v>51</v>
      </c>
      <c r="R27" t="s">
        <v>43</v>
      </c>
      <c r="S27">
        <f t="shared" si="0"/>
        <v>0.70588235294117652</v>
      </c>
    </row>
    <row r="28" spans="1:21" x14ac:dyDescent="0.2">
      <c r="A28" t="s">
        <v>44</v>
      </c>
      <c r="E28">
        <v>3</v>
      </c>
      <c r="F28">
        <v>3</v>
      </c>
      <c r="R28" t="s">
        <v>44</v>
      </c>
      <c r="S28">
        <f t="shared" si="0"/>
        <v>1</v>
      </c>
    </row>
    <row r="29" spans="1:21" x14ac:dyDescent="0.2">
      <c r="A29" t="s">
        <v>9</v>
      </c>
      <c r="B29">
        <v>57</v>
      </c>
      <c r="C29">
        <v>364</v>
      </c>
      <c r="D29">
        <v>14</v>
      </c>
      <c r="E29">
        <v>565</v>
      </c>
      <c r="F2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22AAB-C899-4565-AB49-C2BC9530BD7E}">
  <dimension ref="A2:F19"/>
  <sheetViews>
    <sheetView workbookViewId="0">
      <selection activeCell="F28" sqref="F28"/>
    </sheetView>
  </sheetViews>
  <sheetFormatPr baseColWidth="10" defaultColWidth="8.83203125" defaultRowHeight="16" x14ac:dyDescent="0.2"/>
  <cols>
    <col min="1" max="1" width="21" bestFit="1" customWidth="1"/>
    <col min="2" max="2" width="11.1640625" bestFit="1" customWidth="1"/>
    <col min="3" max="3" width="5.6640625" bestFit="1" customWidth="1"/>
    <col min="4" max="4" width="3.83203125" bestFit="1" customWidth="1"/>
    <col min="5" max="5" width="9.33203125" bestFit="1" customWidth="1"/>
    <col min="6" max="6" width="10.6640625" bestFit="1" customWidth="1"/>
  </cols>
  <sheetData>
    <row r="2" spans="1:6" x14ac:dyDescent="0.2">
      <c r="A2" s="6" t="s">
        <v>4</v>
      </c>
      <c r="B2" t="s">
        <v>1</v>
      </c>
    </row>
    <row r="3" spans="1:6" x14ac:dyDescent="0.2">
      <c r="A3" s="6" t="s">
        <v>45</v>
      </c>
      <c r="B3" t="s">
        <v>1</v>
      </c>
    </row>
    <row r="5" spans="1:6" x14ac:dyDescent="0.2">
      <c r="A5" s="6" t="s">
        <v>2</v>
      </c>
      <c r="B5" s="6" t="s">
        <v>3</v>
      </c>
    </row>
    <row r="6" spans="1:6" x14ac:dyDescent="0.2">
      <c r="A6" s="6" t="s">
        <v>46</v>
      </c>
      <c r="B6" t="s">
        <v>5</v>
      </c>
      <c r="C6" t="s">
        <v>6</v>
      </c>
      <c r="D6" t="s">
        <v>7</v>
      </c>
      <c r="E6" t="s">
        <v>8</v>
      </c>
      <c r="F6" t="s">
        <v>9</v>
      </c>
    </row>
    <row r="7" spans="1:6" x14ac:dyDescent="0.2">
      <c r="A7" t="s">
        <v>47</v>
      </c>
      <c r="B7">
        <v>6</v>
      </c>
      <c r="C7">
        <v>36</v>
      </c>
      <c r="D7">
        <v>1</v>
      </c>
      <c r="E7">
        <v>49</v>
      </c>
      <c r="F7">
        <v>92</v>
      </c>
    </row>
    <row r="8" spans="1:6" x14ac:dyDescent="0.2">
      <c r="A8" t="s">
        <v>48</v>
      </c>
      <c r="B8">
        <v>7</v>
      </c>
      <c r="C8">
        <v>28</v>
      </c>
      <c r="E8">
        <v>44</v>
      </c>
      <c r="F8">
        <v>79</v>
      </c>
    </row>
    <row r="9" spans="1:6" x14ac:dyDescent="0.2">
      <c r="A9" t="s">
        <v>49</v>
      </c>
      <c r="B9">
        <v>4</v>
      </c>
      <c r="C9">
        <v>33</v>
      </c>
      <c r="E9">
        <v>49</v>
      </c>
      <c r="F9">
        <v>86</v>
      </c>
    </row>
    <row r="10" spans="1:6" x14ac:dyDescent="0.2">
      <c r="A10" t="s">
        <v>50</v>
      </c>
      <c r="B10">
        <v>1</v>
      </c>
      <c r="C10">
        <v>30</v>
      </c>
      <c r="D10">
        <v>1</v>
      </c>
      <c r="E10">
        <v>46</v>
      </c>
      <c r="F10">
        <v>78</v>
      </c>
    </row>
    <row r="11" spans="1:6" x14ac:dyDescent="0.2">
      <c r="A11" t="s">
        <v>51</v>
      </c>
      <c r="B11">
        <v>3</v>
      </c>
      <c r="C11">
        <v>35</v>
      </c>
      <c r="D11">
        <v>2</v>
      </c>
      <c r="E11">
        <v>46</v>
      </c>
      <c r="F11">
        <v>86</v>
      </c>
    </row>
    <row r="12" spans="1:6" x14ac:dyDescent="0.2">
      <c r="A12" t="s">
        <v>52</v>
      </c>
      <c r="B12">
        <v>3</v>
      </c>
      <c r="C12">
        <v>28</v>
      </c>
      <c r="D12">
        <v>1</v>
      </c>
      <c r="E12">
        <v>55</v>
      </c>
      <c r="F12">
        <v>87</v>
      </c>
    </row>
    <row r="13" spans="1:6" x14ac:dyDescent="0.2">
      <c r="A13" t="s">
        <v>53</v>
      </c>
      <c r="B13">
        <v>4</v>
      </c>
      <c r="C13">
        <v>31</v>
      </c>
      <c r="D13">
        <v>1</v>
      </c>
      <c r="E13">
        <v>58</v>
      </c>
      <c r="F13">
        <v>94</v>
      </c>
    </row>
    <row r="14" spans="1:6" x14ac:dyDescent="0.2">
      <c r="A14" t="s">
        <v>54</v>
      </c>
      <c r="B14">
        <v>8</v>
      </c>
      <c r="C14">
        <v>35</v>
      </c>
      <c r="D14">
        <v>1</v>
      </c>
      <c r="E14">
        <v>41</v>
      </c>
      <c r="F14">
        <v>85</v>
      </c>
    </row>
    <row r="15" spans="1:6" x14ac:dyDescent="0.2">
      <c r="A15" t="s">
        <v>55</v>
      </c>
      <c r="B15">
        <v>5</v>
      </c>
      <c r="C15">
        <v>23</v>
      </c>
      <c r="E15">
        <v>45</v>
      </c>
      <c r="F15">
        <v>73</v>
      </c>
    </row>
    <row r="16" spans="1:6" x14ac:dyDescent="0.2">
      <c r="A16" t="s">
        <v>56</v>
      </c>
      <c r="B16">
        <v>6</v>
      </c>
      <c r="C16">
        <v>26</v>
      </c>
      <c r="D16">
        <v>1</v>
      </c>
      <c r="E16">
        <v>45</v>
      </c>
      <c r="F16">
        <v>78</v>
      </c>
    </row>
    <row r="17" spans="1:6" x14ac:dyDescent="0.2">
      <c r="A17" t="s">
        <v>57</v>
      </c>
      <c r="B17">
        <v>3</v>
      </c>
      <c r="C17">
        <v>27</v>
      </c>
      <c r="D17">
        <v>3</v>
      </c>
      <c r="E17">
        <v>45</v>
      </c>
      <c r="F17">
        <v>78</v>
      </c>
    </row>
    <row r="18" spans="1:6" x14ac:dyDescent="0.2">
      <c r="A18" t="s">
        <v>58</v>
      </c>
      <c r="B18">
        <v>7</v>
      </c>
      <c r="C18">
        <v>32</v>
      </c>
      <c r="D18">
        <v>3</v>
      </c>
      <c r="E18">
        <v>42</v>
      </c>
      <c r="F18">
        <v>84</v>
      </c>
    </row>
    <row r="19" spans="1:6" x14ac:dyDescent="0.2">
      <c r="A19" t="s">
        <v>9</v>
      </c>
      <c r="B19">
        <v>57</v>
      </c>
      <c r="C19">
        <v>364</v>
      </c>
      <c r="D19">
        <v>14</v>
      </c>
      <c r="E19">
        <v>565</v>
      </c>
      <c r="F1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70BA0-1912-4606-8949-B48E4DC1356A}">
  <sheetPr filterMode="1"/>
  <dimension ref="A1:H566"/>
  <sheetViews>
    <sheetView tabSelected="1" workbookViewId="0">
      <selection activeCell="H11" sqref="H11"/>
    </sheetView>
  </sheetViews>
  <sheetFormatPr baseColWidth="10" defaultColWidth="11" defaultRowHeight="15.75" customHeight="1" x14ac:dyDescent="0.2"/>
  <cols>
    <col min="1" max="1" width="9"/>
    <col min="2" max="2" width="13.1640625" bestFit="1" customWidth="1"/>
    <col min="3" max="4" width="9"/>
    <col min="8" max="8" width="13.1640625" bestFit="1" customWidth="1"/>
  </cols>
  <sheetData>
    <row r="1" spans="1:8" s="1" customFormat="1" ht="16" x14ac:dyDescent="0.2">
      <c r="A1" s="1" t="s">
        <v>3</v>
      </c>
      <c r="B1" s="1" t="s">
        <v>59</v>
      </c>
      <c r="D1" t="s">
        <v>3</v>
      </c>
      <c r="E1" t="s">
        <v>59</v>
      </c>
    </row>
    <row r="2" spans="1:8" ht="16" x14ac:dyDescent="0.2">
      <c r="A2" t="s">
        <v>6</v>
      </c>
      <c r="B2">
        <v>0</v>
      </c>
      <c r="D2" t="s">
        <v>8</v>
      </c>
      <c r="E2">
        <v>158</v>
      </c>
    </row>
    <row r="3" spans="1:8" ht="16" x14ac:dyDescent="0.2">
      <c r="A3" t="s">
        <v>6</v>
      </c>
      <c r="B3">
        <v>24</v>
      </c>
      <c r="D3" t="s">
        <v>8</v>
      </c>
      <c r="E3">
        <v>1425</v>
      </c>
    </row>
    <row r="4" spans="1:8" ht="16" x14ac:dyDescent="0.2">
      <c r="A4" t="s">
        <v>6</v>
      </c>
      <c r="B4">
        <v>53</v>
      </c>
      <c r="D4" t="s">
        <v>8</v>
      </c>
      <c r="E4">
        <v>174</v>
      </c>
    </row>
    <row r="5" spans="1:8" ht="16" x14ac:dyDescent="0.2">
      <c r="A5" t="s">
        <v>6</v>
      </c>
      <c r="B5">
        <v>18</v>
      </c>
      <c r="D5" t="s">
        <v>8</v>
      </c>
      <c r="E5">
        <v>227</v>
      </c>
      <c r="G5" s="11" t="s">
        <v>60</v>
      </c>
    </row>
    <row r="6" spans="1:8" ht="16" hidden="1" x14ac:dyDescent="0.2">
      <c r="A6" t="s">
        <v>7</v>
      </c>
      <c r="B6">
        <v>708</v>
      </c>
      <c r="D6" t="s">
        <v>8</v>
      </c>
      <c r="E6">
        <v>220</v>
      </c>
    </row>
    <row r="7" spans="1:8" ht="16" x14ac:dyDescent="0.2">
      <c r="A7" t="s">
        <v>6</v>
      </c>
      <c r="B7">
        <v>44</v>
      </c>
      <c r="D7" t="s">
        <v>8</v>
      </c>
      <c r="E7">
        <v>98</v>
      </c>
      <c r="G7" t="s">
        <v>61</v>
      </c>
      <c r="H7">
        <f>AVERAGE(E2:E566)</f>
        <v>851.14690265486729</v>
      </c>
    </row>
    <row r="8" spans="1:8" ht="16" x14ac:dyDescent="0.2">
      <c r="A8" t="s">
        <v>6</v>
      </c>
      <c r="B8">
        <v>27</v>
      </c>
      <c r="D8" t="s">
        <v>8</v>
      </c>
      <c r="E8">
        <v>100</v>
      </c>
      <c r="G8" t="s">
        <v>62</v>
      </c>
      <c r="H8">
        <f>AVERAGE(B2:B435)</f>
        <v>564.4815668202765</v>
      </c>
    </row>
    <row r="9" spans="1:8" ht="16" x14ac:dyDescent="0.2">
      <c r="A9" t="s">
        <v>6</v>
      </c>
      <c r="B9">
        <v>55</v>
      </c>
      <c r="D9" t="s">
        <v>8</v>
      </c>
      <c r="E9">
        <v>1249</v>
      </c>
      <c r="G9" s="11" t="s">
        <v>63</v>
      </c>
    </row>
    <row r="10" spans="1:8" ht="16" x14ac:dyDescent="0.2">
      <c r="A10" t="s">
        <v>6</v>
      </c>
      <c r="B10">
        <v>200</v>
      </c>
      <c r="D10" t="s">
        <v>8</v>
      </c>
      <c r="E10">
        <v>1396</v>
      </c>
      <c r="G10" t="s">
        <v>61</v>
      </c>
      <c r="H10">
        <f>MEDIAN(E2:E566)</f>
        <v>201</v>
      </c>
    </row>
    <row r="11" spans="1:8" ht="16" x14ac:dyDescent="0.2">
      <c r="A11" t="s">
        <v>6</v>
      </c>
      <c r="B11">
        <v>452</v>
      </c>
      <c r="D11" t="s">
        <v>8</v>
      </c>
      <c r="E11">
        <v>890</v>
      </c>
      <c r="G11" t="s">
        <v>62</v>
      </c>
      <c r="H11">
        <f>MEDIAN(B2:B435)</f>
        <v>116</v>
      </c>
    </row>
    <row r="12" spans="1:8" ht="16" hidden="1" x14ac:dyDescent="0.2">
      <c r="A12" t="s">
        <v>5</v>
      </c>
      <c r="B12">
        <v>135</v>
      </c>
      <c r="D12" t="s">
        <v>8</v>
      </c>
      <c r="E12">
        <v>142</v>
      </c>
    </row>
    <row r="13" spans="1:8" ht="16" x14ac:dyDescent="0.2">
      <c r="A13" t="s">
        <v>6</v>
      </c>
      <c r="B13">
        <v>674</v>
      </c>
      <c r="D13" t="s">
        <v>8</v>
      </c>
      <c r="E13">
        <v>2673</v>
      </c>
      <c r="G13" s="11" t="s">
        <v>64</v>
      </c>
    </row>
    <row r="14" spans="1:8" ht="16" x14ac:dyDescent="0.2">
      <c r="A14" t="s">
        <v>6</v>
      </c>
      <c r="B14">
        <v>558</v>
      </c>
      <c r="D14" t="s">
        <v>8</v>
      </c>
      <c r="E14">
        <v>163</v>
      </c>
      <c r="G14" t="s">
        <v>61</v>
      </c>
      <c r="H14" cm="1">
        <f t="array" ref="H14:H15">_xlfn.MODE.MULT(E2:E566)</f>
        <v>85</v>
      </c>
    </row>
    <row r="15" spans="1:8" ht="16" hidden="1" x14ac:dyDescent="0.2">
      <c r="A15" t="s">
        <v>5</v>
      </c>
      <c r="B15">
        <v>1480</v>
      </c>
      <c r="D15" t="s">
        <v>8</v>
      </c>
      <c r="E15">
        <v>2220</v>
      </c>
      <c r="G15" t="s">
        <v>62</v>
      </c>
      <c r="H15">
        <v>80</v>
      </c>
    </row>
    <row r="16" spans="1:8" ht="16" x14ac:dyDescent="0.2">
      <c r="A16" t="s">
        <v>6</v>
      </c>
      <c r="B16">
        <v>15</v>
      </c>
      <c r="D16" t="s">
        <v>8</v>
      </c>
      <c r="E16">
        <v>1606</v>
      </c>
      <c r="G16" t="s">
        <v>62</v>
      </c>
      <c r="H16" cm="1">
        <f t="array" ref="H16">_xlfn.MODE.MULT(B2:B435)</f>
        <v>1</v>
      </c>
    </row>
    <row r="17" spans="1:8" ht="16" x14ac:dyDescent="0.2">
      <c r="A17" t="s">
        <v>6</v>
      </c>
      <c r="B17">
        <v>2307</v>
      </c>
      <c r="D17" t="s">
        <v>8</v>
      </c>
      <c r="E17">
        <v>129</v>
      </c>
      <c r="G17" s="11" t="s">
        <v>65</v>
      </c>
    </row>
    <row r="18" spans="1:8" ht="16" x14ac:dyDescent="0.2">
      <c r="A18" t="s">
        <v>6</v>
      </c>
      <c r="B18">
        <v>88</v>
      </c>
      <c r="D18" t="s">
        <v>8</v>
      </c>
      <c r="E18">
        <v>226</v>
      </c>
      <c r="G18" t="s">
        <v>61</v>
      </c>
      <c r="H18">
        <f>MIN(B2:B435)</f>
        <v>0</v>
      </c>
    </row>
    <row r="19" spans="1:8" ht="16" x14ac:dyDescent="0.2">
      <c r="A19" t="s">
        <v>6</v>
      </c>
      <c r="B19">
        <v>48</v>
      </c>
      <c r="D19" t="s">
        <v>8</v>
      </c>
      <c r="E19">
        <v>5419</v>
      </c>
      <c r="G19" t="s">
        <v>62</v>
      </c>
      <c r="H19">
        <f>MIN(E2:E566)</f>
        <v>16</v>
      </c>
    </row>
    <row r="20" spans="1:8" ht="16" x14ac:dyDescent="0.2">
      <c r="A20" t="s">
        <v>6</v>
      </c>
      <c r="B20">
        <v>1</v>
      </c>
      <c r="D20" t="s">
        <v>8</v>
      </c>
      <c r="E20">
        <v>165</v>
      </c>
      <c r="G20" s="11" t="s">
        <v>66</v>
      </c>
    </row>
    <row r="21" spans="1:8" ht="16" x14ac:dyDescent="0.2">
      <c r="A21" t="s">
        <v>6</v>
      </c>
      <c r="B21">
        <v>1467</v>
      </c>
      <c r="D21" t="s">
        <v>8</v>
      </c>
      <c r="E21">
        <v>1965</v>
      </c>
      <c r="G21" t="s">
        <v>61</v>
      </c>
      <c r="H21">
        <f>MAX(E2:E566)</f>
        <v>7295</v>
      </c>
    </row>
    <row r="22" spans="1:8" ht="16" x14ac:dyDescent="0.2">
      <c r="A22" t="s">
        <v>6</v>
      </c>
      <c r="B22">
        <v>75</v>
      </c>
      <c r="D22" t="s">
        <v>8</v>
      </c>
      <c r="E22">
        <v>16</v>
      </c>
      <c r="G22" t="s">
        <v>62</v>
      </c>
      <c r="H22">
        <f>MAX(B2:B435)</f>
        <v>6080</v>
      </c>
    </row>
    <row r="23" spans="1:8" ht="16" x14ac:dyDescent="0.2">
      <c r="A23" t="s">
        <v>6</v>
      </c>
      <c r="B23">
        <v>120</v>
      </c>
      <c r="D23" t="s">
        <v>8</v>
      </c>
      <c r="E23">
        <v>107</v>
      </c>
      <c r="G23" s="11" t="s">
        <v>67</v>
      </c>
    </row>
    <row r="24" spans="1:8" ht="19" x14ac:dyDescent="0.25">
      <c r="A24" t="s">
        <v>6</v>
      </c>
      <c r="B24">
        <v>2253</v>
      </c>
      <c r="D24" t="s">
        <v>8</v>
      </c>
      <c r="E24">
        <v>134</v>
      </c>
      <c r="G24" t="s">
        <v>61</v>
      </c>
      <c r="H24" s="9">
        <v>1606216.6</v>
      </c>
    </row>
    <row r="25" spans="1:8" ht="16" x14ac:dyDescent="0.2">
      <c r="A25" t="s">
        <v>6</v>
      </c>
      <c r="B25">
        <v>5</v>
      </c>
      <c r="D25" t="s">
        <v>8</v>
      </c>
      <c r="E25">
        <v>198</v>
      </c>
      <c r="G25" t="s">
        <v>62</v>
      </c>
      <c r="H25" s="10">
        <v>847312.67</v>
      </c>
    </row>
    <row r="26" spans="1:8" ht="16" x14ac:dyDescent="0.2">
      <c r="A26" t="s">
        <v>6</v>
      </c>
      <c r="B26">
        <v>38</v>
      </c>
      <c r="D26" t="s">
        <v>8</v>
      </c>
      <c r="E26">
        <v>111</v>
      </c>
      <c r="G26" s="11" t="s">
        <v>68</v>
      </c>
    </row>
    <row r="27" spans="1:8" ht="16" x14ac:dyDescent="0.2">
      <c r="A27" t="s">
        <v>6</v>
      </c>
      <c r="B27">
        <v>12</v>
      </c>
      <c r="D27" t="s">
        <v>8</v>
      </c>
      <c r="E27">
        <v>222</v>
      </c>
      <c r="G27" t="s">
        <v>61</v>
      </c>
      <c r="H27">
        <f>STDEV(E2:E566)</f>
        <v>1267.366006183523</v>
      </c>
    </row>
    <row r="28" spans="1:8" ht="16" hidden="1" x14ac:dyDescent="0.2">
      <c r="A28" t="s">
        <v>5</v>
      </c>
      <c r="B28">
        <v>17</v>
      </c>
      <c r="D28" t="s">
        <v>8</v>
      </c>
      <c r="E28">
        <v>6212</v>
      </c>
    </row>
    <row r="29" spans="1:8" ht="16" x14ac:dyDescent="0.2">
      <c r="A29" t="s">
        <v>6</v>
      </c>
      <c r="B29">
        <v>1684</v>
      </c>
      <c r="D29" t="s">
        <v>8</v>
      </c>
      <c r="E29">
        <v>98</v>
      </c>
      <c r="G29" t="s">
        <v>62</v>
      </c>
      <c r="H29">
        <f>STDEV(B2:B435)</f>
        <v>920.4958829675046</v>
      </c>
    </row>
    <row r="30" spans="1:8" ht="16" x14ac:dyDescent="0.2">
      <c r="A30" t="s">
        <v>6</v>
      </c>
      <c r="B30">
        <v>56</v>
      </c>
      <c r="D30" t="s">
        <v>8</v>
      </c>
      <c r="E30">
        <v>92</v>
      </c>
    </row>
    <row r="31" spans="1:8" ht="16" x14ac:dyDescent="0.2">
      <c r="A31" t="s">
        <v>6</v>
      </c>
      <c r="B31">
        <v>838</v>
      </c>
      <c r="D31" t="s">
        <v>8</v>
      </c>
      <c r="E31">
        <v>149</v>
      </c>
    </row>
    <row r="32" spans="1:8" ht="16" x14ac:dyDescent="0.2">
      <c r="A32" t="s">
        <v>6</v>
      </c>
      <c r="B32">
        <v>1000</v>
      </c>
      <c r="D32" t="s">
        <v>8</v>
      </c>
      <c r="E32">
        <v>2431</v>
      </c>
    </row>
    <row r="33" spans="1:5" ht="16" x14ac:dyDescent="0.2">
      <c r="A33" t="s">
        <v>6</v>
      </c>
      <c r="B33">
        <v>1482</v>
      </c>
      <c r="D33" t="s">
        <v>8</v>
      </c>
      <c r="E33">
        <v>303</v>
      </c>
    </row>
    <row r="34" spans="1:5" ht="16" x14ac:dyDescent="0.2">
      <c r="A34" t="s">
        <v>6</v>
      </c>
      <c r="B34">
        <v>106</v>
      </c>
      <c r="D34" t="s">
        <v>8</v>
      </c>
      <c r="E34">
        <v>209</v>
      </c>
    </row>
    <row r="35" spans="1:5" ht="16" x14ac:dyDescent="0.2">
      <c r="A35" t="s">
        <v>6</v>
      </c>
      <c r="B35">
        <v>679</v>
      </c>
      <c r="D35" t="s">
        <v>8</v>
      </c>
      <c r="E35">
        <v>131</v>
      </c>
    </row>
    <row r="36" spans="1:5" ht="16" hidden="1" x14ac:dyDescent="0.2">
      <c r="A36" t="s">
        <v>5</v>
      </c>
      <c r="B36">
        <v>610</v>
      </c>
      <c r="D36" t="s">
        <v>8</v>
      </c>
      <c r="E36">
        <v>164</v>
      </c>
    </row>
    <row r="37" spans="1:5" ht="16" x14ac:dyDescent="0.2">
      <c r="A37" t="s">
        <v>6</v>
      </c>
      <c r="B37">
        <v>1220</v>
      </c>
      <c r="D37" t="s">
        <v>8</v>
      </c>
      <c r="E37">
        <v>201</v>
      </c>
    </row>
    <row r="38" spans="1:5" ht="16" x14ac:dyDescent="0.2">
      <c r="A38" t="s">
        <v>6</v>
      </c>
      <c r="B38">
        <v>1</v>
      </c>
      <c r="D38" t="s">
        <v>8</v>
      </c>
      <c r="E38">
        <v>211</v>
      </c>
    </row>
    <row r="39" spans="1:5" ht="16" x14ac:dyDescent="0.2">
      <c r="A39" t="s">
        <v>6</v>
      </c>
      <c r="B39">
        <v>37</v>
      </c>
      <c r="D39" t="s">
        <v>8</v>
      </c>
      <c r="E39">
        <v>128</v>
      </c>
    </row>
    <row r="40" spans="1:5" ht="16" x14ac:dyDescent="0.2">
      <c r="A40" t="s">
        <v>6</v>
      </c>
      <c r="B40">
        <v>60</v>
      </c>
      <c r="D40" t="s">
        <v>8</v>
      </c>
      <c r="E40">
        <v>1600</v>
      </c>
    </row>
    <row r="41" spans="1:5" ht="16" x14ac:dyDescent="0.2">
      <c r="A41" t="s">
        <v>6</v>
      </c>
      <c r="B41">
        <v>296</v>
      </c>
      <c r="D41" t="s">
        <v>8</v>
      </c>
      <c r="E41">
        <v>249</v>
      </c>
    </row>
    <row r="42" spans="1:5" ht="16" x14ac:dyDescent="0.2">
      <c r="A42" t="s">
        <v>6</v>
      </c>
      <c r="B42">
        <v>3304</v>
      </c>
      <c r="D42" t="s">
        <v>8</v>
      </c>
      <c r="E42">
        <v>236</v>
      </c>
    </row>
    <row r="43" spans="1:5" ht="16" x14ac:dyDescent="0.2">
      <c r="A43" t="s">
        <v>6</v>
      </c>
      <c r="B43">
        <v>73</v>
      </c>
      <c r="D43" t="s">
        <v>8</v>
      </c>
      <c r="E43">
        <v>4065</v>
      </c>
    </row>
    <row r="44" spans="1:5" ht="16" x14ac:dyDescent="0.2">
      <c r="A44" t="s">
        <v>6</v>
      </c>
      <c r="B44">
        <v>3387</v>
      </c>
      <c r="D44" t="s">
        <v>8</v>
      </c>
      <c r="E44">
        <v>246</v>
      </c>
    </row>
    <row r="45" spans="1:5" ht="16" x14ac:dyDescent="0.2">
      <c r="A45" t="s">
        <v>6</v>
      </c>
      <c r="B45">
        <v>662</v>
      </c>
      <c r="D45" t="s">
        <v>8</v>
      </c>
      <c r="E45">
        <v>2475</v>
      </c>
    </row>
    <row r="46" spans="1:5" ht="16" x14ac:dyDescent="0.2">
      <c r="A46" t="s">
        <v>6</v>
      </c>
      <c r="B46">
        <v>774</v>
      </c>
      <c r="D46" t="s">
        <v>8</v>
      </c>
      <c r="E46">
        <v>76</v>
      </c>
    </row>
    <row r="47" spans="1:5" ht="16" x14ac:dyDescent="0.2">
      <c r="A47" t="s">
        <v>6</v>
      </c>
      <c r="B47">
        <v>672</v>
      </c>
      <c r="D47" t="s">
        <v>8</v>
      </c>
      <c r="E47">
        <v>54</v>
      </c>
    </row>
    <row r="48" spans="1:5" ht="16" hidden="1" x14ac:dyDescent="0.2">
      <c r="A48" t="s">
        <v>5</v>
      </c>
      <c r="B48">
        <v>532</v>
      </c>
      <c r="D48" t="s">
        <v>8</v>
      </c>
      <c r="E48">
        <v>88</v>
      </c>
    </row>
    <row r="49" spans="1:5" ht="16" hidden="1" x14ac:dyDescent="0.2">
      <c r="A49" t="s">
        <v>5</v>
      </c>
      <c r="B49">
        <v>55</v>
      </c>
      <c r="D49" t="s">
        <v>8</v>
      </c>
      <c r="E49">
        <v>85</v>
      </c>
    </row>
    <row r="50" spans="1:5" ht="16" x14ac:dyDescent="0.2">
      <c r="A50" t="s">
        <v>6</v>
      </c>
      <c r="B50">
        <v>940</v>
      </c>
      <c r="D50" t="s">
        <v>8</v>
      </c>
      <c r="E50">
        <v>170</v>
      </c>
    </row>
    <row r="51" spans="1:5" ht="16" x14ac:dyDescent="0.2">
      <c r="A51" t="s">
        <v>6</v>
      </c>
      <c r="B51">
        <v>117</v>
      </c>
      <c r="D51" t="s">
        <v>8</v>
      </c>
      <c r="E51">
        <v>330</v>
      </c>
    </row>
    <row r="52" spans="1:5" ht="16" hidden="1" x14ac:dyDescent="0.2">
      <c r="A52" t="s">
        <v>5</v>
      </c>
      <c r="B52">
        <v>58</v>
      </c>
      <c r="D52" t="s">
        <v>8</v>
      </c>
      <c r="E52">
        <v>127</v>
      </c>
    </row>
    <row r="53" spans="1:5" ht="16" x14ac:dyDescent="0.2">
      <c r="A53" t="s">
        <v>6</v>
      </c>
      <c r="B53">
        <v>115</v>
      </c>
      <c r="D53" t="s">
        <v>8</v>
      </c>
      <c r="E53">
        <v>411</v>
      </c>
    </row>
    <row r="54" spans="1:5" ht="16" x14ac:dyDescent="0.2">
      <c r="A54" t="s">
        <v>6</v>
      </c>
      <c r="B54">
        <v>326</v>
      </c>
      <c r="D54" t="s">
        <v>8</v>
      </c>
      <c r="E54">
        <v>180</v>
      </c>
    </row>
    <row r="55" spans="1:5" ht="16" hidden="1" x14ac:dyDescent="0.2">
      <c r="A55" t="s">
        <v>5</v>
      </c>
      <c r="B55">
        <v>51</v>
      </c>
      <c r="D55" t="s">
        <v>8</v>
      </c>
      <c r="E55">
        <v>374</v>
      </c>
    </row>
    <row r="56" spans="1:5" ht="16" x14ac:dyDescent="0.2">
      <c r="A56" t="s">
        <v>6</v>
      </c>
      <c r="B56">
        <v>1</v>
      </c>
      <c r="D56" t="s">
        <v>8</v>
      </c>
      <c r="E56">
        <v>71</v>
      </c>
    </row>
    <row r="57" spans="1:5" ht="16" x14ac:dyDescent="0.2">
      <c r="A57" t="s">
        <v>6</v>
      </c>
      <c r="B57">
        <v>1467</v>
      </c>
      <c r="D57" t="s">
        <v>8</v>
      </c>
      <c r="E57">
        <v>203</v>
      </c>
    </row>
    <row r="58" spans="1:5" ht="16" x14ac:dyDescent="0.2">
      <c r="A58" t="s">
        <v>6</v>
      </c>
      <c r="B58">
        <v>5681</v>
      </c>
      <c r="D58" t="s">
        <v>8</v>
      </c>
      <c r="E58">
        <v>113</v>
      </c>
    </row>
    <row r="59" spans="1:5" ht="16" x14ac:dyDescent="0.2">
      <c r="A59" t="s">
        <v>6</v>
      </c>
      <c r="B59">
        <v>1059</v>
      </c>
      <c r="D59" t="s">
        <v>8</v>
      </c>
      <c r="E59">
        <v>96</v>
      </c>
    </row>
    <row r="60" spans="1:5" ht="16" x14ac:dyDescent="0.2">
      <c r="A60" t="s">
        <v>6</v>
      </c>
      <c r="B60">
        <v>1194</v>
      </c>
      <c r="D60" t="s">
        <v>8</v>
      </c>
      <c r="E60">
        <v>498</v>
      </c>
    </row>
    <row r="61" spans="1:5" ht="16" hidden="1" x14ac:dyDescent="0.2">
      <c r="A61" t="s">
        <v>5</v>
      </c>
      <c r="B61">
        <v>379</v>
      </c>
      <c r="D61" t="s">
        <v>8</v>
      </c>
      <c r="E61">
        <v>180</v>
      </c>
    </row>
    <row r="62" spans="1:5" ht="16" x14ac:dyDescent="0.2">
      <c r="A62" t="s">
        <v>6</v>
      </c>
      <c r="B62">
        <v>30</v>
      </c>
      <c r="D62" t="s">
        <v>8</v>
      </c>
      <c r="E62">
        <v>27</v>
      </c>
    </row>
    <row r="63" spans="1:5" ht="16" x14ac:dyDescent="0.2">
      <c r="A63" t="s">
        <v>6</v>
      </c>
      <c r="B63">
        <v>75</v>
      </c>
      <c r="D63" t="s">
        <v>8</v>
      </c>
      <c r="E63">
        <v>2331</v>
      </c>
    </row>
    <row r="64" spans="1:5" ht="16" x14ac:dyDescent="0.2">
      <c r="A64" t="s">
        <v>6</v>
      </c>
      <c r="B64">
        <v>955</v>
      </c>
      <c r="D64" t="s">
        <v>8</v>
      </c>
      <c r="E64">
        <v>113</v>
      </c>
    </row>
    <row r="65" spans="1:5" ht="16" x14ac:dyDescent="0.2">
      <c r="A65" t="s">
        <v>6</v>
      </c>
      <c r="B65">
        <v>67</v>
      </c>
      <c r="D65" t="s">
        <v>8</v>
      </c>
      <c r="E65">
        <v>164</v>
      </c>
    </row>
    <row r="66" spans="1:5" ht="16" x14ac:dyDescent="0.2">
      <c r="A66" t="s">
        <v>6</v>
      </c>
      <c r="B66">
        <v>5</v>
      </c>
      <c r="D66" t="s">
        <v>8</v>
      </c>
      <c r="E66">
        <v>164</v>
      </c>
    </row>
    <row r="67" spans="1:5" ht="16" x14ac:dyDescent="0.2">
      <c r="A67" t="s">
        <v>6</v>
      </c>
      <c r="B67">
        <v>26</v>
      </c>
      <c r="D67" t="s">
        <v>8</v>
      </c>
      <c r="E67">
        <v>336</v>
      </c>
    </row>
    <row r="68" spans="1:5" ht="16" x14ac:dyDescent="0.2">
      <c r="A68" t="s">
        <v>6</v>
      </c>
      <c r="B68">
        <v>1130</v>
      </c>
      <c r="D68" t="s">
        <v>8</v>
      </c>
      <c r="E68">
        <v>1917</v>
      </c>
    </row>
    <row r="69" spans="1:5" ht="16" x14ac:dyDescent="0.2">
      <c r="A69" t="s">
        <v>6</v>
      </c>
      <c r="B69">
        <v>782</v>
      </c>
      <c r="D69" t="s">
        <v>8</v>
      </c>
      <c r="E69">
        <v>95</v>
      </c>
    </row>
    <row r="70" spans="1:5" ht="16" x14ac:dyDescent="0.2">
      <c r="A70" t="s">
        <v>6</v>
      </c>
      <c r="B70">
        <v>210</v>
      </c>
      <c r="D70" t="s">
        <v>8</v>
      </c>
      <c r="E70">
        <v>147</v>
      </c>
    </row>
    <row r="71" spans="1:5" ht="16" x14ac:dyDescent="0.2">
      <c r="A71" t="s">
        <v>6</v>
      </c>
      <c r="B71">
        <v>136</v>
      </c>
      <c r="D71" t="s">
        <v>8</v>
      </c>
      <c r="E71">
        <v>86</v>
      </c>
    </row>
    <row r="72" spans="1:5" ht="16" x14ac:dyDescent="0.2">
      <c r="A72" t="s">
        <v>6</v>
      </c>
      <c r="B72">
        <v>86</v>
      </c>
      <c r="D72" t="s">
        <v>8</v>
      </c>
      <c r="E72">
        <v>83</v>
      </c>
    </row>
    <row r="73" spans="1:5" ht="16" x14ac:dyDescent="0.2">
      <c r="A73" t="s">
        <v>6</v>
      </c>
      <c r="B73">
        <v>19</v>
      </c>
      <c r="D73" t="s">
        <v>8</v>
      </c>
      <c r="E73">
        <v>676</v>
      </c>
    </row>
    <row r="74" spans="1:5" ht="16" x14ac:dyDescent="0.2">
      <c r="A74" t="s">
        <v>6</v>
      </c>
      <c r="B74">
        <v>886</v>
      </c>
      <c r="D74" t="s">
        <v>8</v>
      </c>
      <c r="E74">
        <v>361</v>
      </c>
    </row>
    <row r="75" spans="1:5" ht="16" x14ac:dyDescent="0.2">
      <c r="A75" t="s">
        <v>6</v>
      </c>
      <c r="B75">
        <v>35</v>
      </c>
      <c r="D75" t="s">
        <v>8</v>
      </c>
      <c r="E75">
        <v>131</v>
      </c>
    </row>
    <row r="76" spans="1:5" ht="16" hidden="1" x14ac:dyDescent="0.2">
      <c r="A76" t="s">
        <v>5</v>
      </c>
      <c r="B76">
        <v>441</v>
      </c>
      <c r="D76" t="s">
        <v>8</v>
      </c>
      <c r="E76">
        <v>126</v>
      </c>
    </row>
    <row r="77" spans="1:5" ht="16" x14ac:dyDescent="0.2">
      <c r="A77" t="s">
        <v>6</v>
      </c>
      <c r="B77">
        <v>24</v>
      </c>
      <c r="D77" t="s">
        <v>8</v>
      </c>
      <c r="E77">
        <v>275</v>
      </c>
    </row>
    <row r="78" spans="1:5" ht="16" x14ac:dyDescent="0.2">
      <c r="A78" t="s">
        <v>6</v>
      </c>
      <c r="B78">
        <v>86</v>
      </c>
      <c r="D78" t="s">
        <v>8</v>
      </c>
      <c r="E78">
        <v>67</v>
      </c>
    </row>
    <row r="79" spans="1:5" ht="16" x14ac:dyDescent="0.2">
      <c r="A79" t="s">
        <v>6</v>
      </c>
      <c r="B79">
        <v>243</v>
      </c>
      <c r="D79" t="s">
        <v>8</v>
      </c>
      <c r="E79">
        <v>154</v>
      </c>
    </row>
    <row r="80" spans="1:5" ht="16" x14ac:dyDescent="0.2">
      <c r="A80" t="s">
        <v>6</v>
      </c>
      <c r="B80">
        <v>65</v>
      </c>
      <c r="D80" t="s">
        <v>8</v>
      </c>
      <c r="E80">
        <v>1782</v>
      </c>
    </row>
    <row r="81" spans="1:5" ht="16" x14ac:dyDescent="0.2">
      <c r="A81" t="s">
        <v>6</v>
      </c>
      <c r="B81">
        <v>100</v>
      </c>
      <c r="D81" t="s">
        <v>8</v>
      </c>
      <c r="E81">
        <v>903</v>
      </c>
    </row>
    <row r="82" spans="1:5" ht="16" x14ac:dyDescent="0.2">
      <c r="A82" t="s">
        <v>6</v>
      </c>
      <c r="B82">
        <v>168</v>
      </c>
      <c r="D82" t="s">
        <v>8</v>
      </c>
      <c r="E82">
        <v>94</v>
      </c>
    </row>
    <row r="83" spans="1:5" ht="16" x14ac:dyDescent="0.2">
      <c r="A83" t="s">
        <v>6</v>
      </c>
      <c r="B83">
        <v>13</v>
      </c>
      <c r="D83" t="s">
        <v>8</v>
      </c>
      <c r="E83">
        <v>180</v>
      </c>
    </row>
    <row r="84" spans="1:5" ht="16" x14ac:dyDescent="0.2">
      <c r="A84" t="s">
        <v>6</v>
      </c>
      <c r="B84">
        <v>1</v>
      </c>
      <c r="D84" t="s">
        <v>8</v>
      </c>
      <c r="E84">
        <v>533</v>
      </c>
    </row>
    <row r="85" spans="1:5" ht="16" hidden="1" x14ac:dyDescent="0.2">
      <c r="A85" t="s">
        <v>5</v>
      </c>
      <c r="B85">
        <v>82</v>
      </c>
      <c r="D85" t="s">
        <v>8</v>
      </c>
      <c r="E85">
        <v>2443</v>
      </c>
    </row>
    <row r="86" spans="1:5" ht="16" x14ac:dyDescent="0.2">
      <c r="A86" t="s">
        <v>6</v>
      </c>
      <c r="B86">
        <v>40</v>
      </c>
      <c r="D86" t="s">
        <v>8</v>
      </c>
      <c r="E86">
        <v>89</v>
      </c>
    </row>
    <row r="87" spans="1:5" ht="16" hidden="1" x14ac:dyDescent="0.2">
      <c r="A87" t="s">
        <v>5</v>
      </c>
      <c r="B87">
        <v>57</v>
      </c>
      <c r="D87" t="s">
        <v>8</v>
      </c>
      <c r="E87">
        <v>159</v>
      </c>
    </row>
    <row r="88" spans="1:5" ht="16" hidden="1" x14ac:dyDescent="0.2">
      <c r="A88" t="s">
        <v>7</v>
      </c>
      <c r="B88">
        <v>808</v>
      </c>
      <c r="D88" t="s">
        <v>8</v>
      </c>
      <c r="E88">
        <v>50</v>
      </c>
    </row>
    <row r="89" spans="1:5" ht="16" x14ac:dyDescent="0.2">
      <c r="A89" t="s">
        <v>6</v>
      </c>
      <c r="B89">
        <v>226</v>
      </c>
      <c r="D89" t="s">
        <v>8</v>
      </c>
      <c r="E89">
        <v>186</v>
      </c>
    </row>
    <row r="90" spans="1:5" ht="16" x14ac:dyDescent="0.2">
      <c r="A90" t="s">
        <v>6</v>
      </c>
      <c r="B90">
        <v>1625</v>
      </c>
      <c r="D90" t="s">
        <v>8</v>
      </c>
      <c r="E90">
        <v>1071</v>
      </c>
    </row>
    <row r="91" spans="1:5" ht="16" x14ac:dyDescent="0.2">
      <c r="A91" t="s">
        <v>6</v>
      </c>
      <c r="B91">
        <v>143</v>
      </c>
      <c r="D91" t="s">
        <v>8</v>
      </c>
      <c r="E91">
        <v>117</v>
      </c>
    </row>
    <row r="92" spans="1:5" ht="16" x14ac:dyDescent="0.2">
      <c r="A92" t="s">
        <v>6</v>
      </c>
      <c r="B92">
        <v>934</v>
      </c>
      <c r="D92" t="s">
        <v>8</v>
      </c>
      <c r="E92">
        <v>70</v>
      </c>
    </row>
    <row r="93" spans="1:5" ht="16" x14ac:dyDescent="0.2">
      <c r="A93" t="s">
        <v>6</v>
      </c>
      <c r="B93">
        <v>17</v>
      </c>
      <c r="D93" t="s">
        <v>8</v>
      </c>
      <c r="E93">
        <v>135</v>
      </c>
    </row>
    <row r="94" spans="1:5" ht="16" x14ac:dyDescent="0.2">
      <c r="A94" t="s">
        <v>6</v>
      </c>
      <c r="B94">
        <v>2179</v>
      </c>
      <c r="D94" t="s">
        <v>8</v>
      </c>
      <c r="E94">
        <v>768</v>
      </c>
    </row>
    <row r="95" spans="1:5" ht="16" x14ac:dyDescent="0.2">
      <c r="A95" t="s">
        <v>6</v>
      </c>
      <c r="B95">
        <v>931</v>
      </c>
      <c r="D95" t="s">
        <v>8</v>
      </c>
      <c r="E95">
        <v>199</v>
      </c>
    </row>
    <row r="96" spans="1:5" ht="16" hidden="1" x14ac:dyDescent="0.2">
      <c r="A96" t="s">
        <v>5</v>
      </c>
      <c r="B96">
        <v>67</v>
      </c>
      <c r="D96" t="s">
        <v>8</v>
      </c>
      <c r="E96">
        <v>107</v>
      </c>
    </row>
    <row r="97" spans="1:5" ht="16" x14ac:dyDescent="0.2">
      <c r="A97" t="s">
        <v>6</v>
      </c>
      <c r="B97">
        <v>92</v>
      </c>
      <c r="D97" t="s">
        <v>8</v>
      </c>
      <c r="E97">
        <v>195</v>
      </c>
    </row>
    <row r="98" spans="1:5" ht="16" x14ac:dyDescent="0.2">
      <c r="A98" t="s">
        <v>6</v>
      </c>
      <c r="B98">
        <v>57</v>
      </c>
      <c r="D98" t="s">
        <v>8</v>
      </c>
      <c r="E98">
        <v>3376</v>
      </c>
    </row>
    <row r="99" spans="1:5" ht="16" x14ac:dyDescent="0.2">
      <c r="A99" t="s">
        <v>6</v>
      </c>
      <c r="B99">
        <v>41</v>
      </c>
      <c r="D99" t="s">
        <v>8</v>
      </c>
      <c r="E99">
        <v>41</v>
      </c>
    </row>
    <row r="100" spans="1:5" ht="16" x14ac:dyDescent="0.2">
      <c r="A100" t="s">
        <v>6</v>
      </c>
      <c r="B100">
        <v>1</v>
      </c>
      <c r="D100" t="s">
        <v>8</v>
      </c>
      <c r="E100">
        <v>1821</v>
      </c>
    </row>
    <row r="101" spans="1:5" ht="16" x14ac:dyDescent="0.2">
      <c r="A101" t="s">
        <v>6</v>
      </c>
      <c r="B101">
        <v>101</v>
      </c>
      <c r="D101" t="s">
        <v>8</v>
      </c>
      <c r="E101">
        <v>164</v>
      </c>
    </row>
    <row r="102" spans="1:5" ht="16" x14ac:dyDescent="0.2">
      <c r="A102" t="s">
        <v>6</v>
      </c>
      <c r="B102">
        <v>1335</v>
      </c>
      <c r="D102" t="s">
        <v>8</v>
      </c>
      <c r="E102">
        <v>157</v>
      </c>
    </row>
    <row r="103" spans="1:5" ht="16" x14ac:dyDescent="0.2">
      <c r="A103" t="s">
        <v>6</v>
      </c>
      <c r="B103">
        <v>15</v>
      </c>
      <c r="D103" t="s">
        <v>8</v>
      </c>
      <c r="E103">
        <v>246</v>
      </c>
    </row>
    <row r="104" spans="1:5" ht="16" x14ac:dyDescent="0.2">
      <c r="A104" t="s">
        <v>6</v>
      </c>
      <c r="B104">
        <v>454</v>
      </c>
      <c r="D104" t="s">
        <v>8</v>
      </c>
      <c r="E104">
        <v>1396</v>
      </c>
    </row>
    <row r="105" spans="1:5" ht="16" x14ac:dyDescent="0.2">
      <c r="A105" t="s">
        <v>6</v>
      </c>
      <c r="B105">
        <v>3182</v>
      </c>
      <c r="D105" t="s">
        <v>8</v>
      </c>
      <c r="E105">
        <v>2506</v>
      </c>
    </row>
    <row r="106" spans="1:5" ht="16" hidden="1" x14ac:dyDescent="0.2">
      <c r="A106" t="s">
        <v>5</v>
      </c>
      <c r="B106">
        <v>1890</v>
      </c>
      <c r="D106" t="s">
        <v>8</v>
      </c>
      <c r="E106">
        <v>244</v>
      </c>
    </row>
    <row r="107" spans="1:5" ht="16" hidden="1" x14ac:dyDescent="0.2">
      <c r="A107" t="s">
        <v>7</v>
      </c>
      <c r="B107">
        <v>61</v>
      </c>
      <c r="D107" t="s">
        <v>8</v>
      </c>
      <c r="E107">
        <v>146</v>
      </c>
    </row>
    <row r="108" spans="1:5" ht="16" x14ac:dyDescent="0.2">
      <c r="A108" t="s">
        <v>6</v>
      </c>
      <c r="B108">
        <v>15</v>
      </c>
      <c r="D108" t="s">
        <v>8</v>
      </c>
      <c r="E108">
        <v>1267</v>
      </c>
    </row>
    <row r="109" spans="1:5" ht="16" x14ac:dyDescent="0.2">
      <c r="A109" t="s">
        <v>6</v>
      </c>
      <c r="B109">
        <v>133</v>
      </c>
      <c r="D109" t="s">
        <v>8</v>
      </c>
      <c r="E109">
        <v>1561</v>
      </c>
    </row>
    <row r="110" spans="1:5" ht="16" x14ac:dyDescent="0.2">
      <c r="A110" t="s">
        <v>6</v>
      </c>
      <c r="B110">
        <v>2062</v>
      </c>
      <c r="D110" t="s">
        <v>8</v>
      </c>
      <c r="E110">
        <v>48</v>
      </c>
    </row>
    <row r="111" spans="1:5" ht="16" x14ac:dyDescent="0.2">
      <c r="A111" t="s">
        <v>6</v>
      </c>
      <c r="B111">
        <v>29</v>
      </c>
      <c r="D111" t="s">
        <v>8</v>
      </c>
      <c r="E111">
        <v>2739</v>
      </c>
    </row>
    <row r="112" spans="1:5" ht="16" x14ac:dyDescent="0.2">
      <c r="A112" t="s">
        <v>6</v>
      </c>
      <c r="B112">
        <v>132</v>
      </c>
      <c r="D112" t="s">
        <v>8</v>
      </c>
      <c r="E112">
        <v>3537</v>
      </c>
    </row>
    <row r="113" spans="1:5" ht="16" hidden="1" x14ac:dyDescent="0.2">
      <c r="A113" t="s">
        <v>5</v>
      </c>
      <c r="B113">
        <v>184</v>
      </c>
      <c r="D113" t="s">
        <v>8</v>
      </c>
      <c r="E113">
        <v>2107</v>
      </c>
    </row>
    <row r="114" spans="1:5" ht="16" x14ac:dyDescent="0.2">
      <c r="A114" t="s">
        <v>6</v>
      </c>
      <c r="B114">
        <v>137</v>
      </c>
      <c r="D114" t="s">
        <v>8</v>
      </c>
      <c r="E114">
        <v>3318</v>
      </c>
    </row>
    <row r="115" spans="1:5" ht="16" x14ac:dyDescent="0.2">
      <c r="A115" t="s">
        <v>6</v>
      </c>
      <c r="B115">
        <v>908</v>
      </c>
      <c r="D115" t="s">
        <v>8</v>
      </c>
      <c r="E115">
        <v>340</v>
      </c>
    </row>
    <row r="116" spans="1:5" ht="16" x14ac:dyDescent="0.2">
      <c r="A116" t="s">
        <v>6</v>
      </c>
      <c r="B116">
        <v>10</v>
      </c>
      <c r="D116" t="s">
        <v>8</v>
      </c>
      <c r="E116">
        <v>1442</v>
      </c>
    </row>
    <row r="117" spans="1:5" ht="16" hidden="1" x14ac:dyDescent="0.2">
      <c r="A117" t="s">
        <v>5</v>
      </c>
      <c r="B117">
        <v>32</v>
      </c>
      <c r="D117" t="s">
        <v>8</v>
      </c>
      <c r="E117">
        <v>126</v>
      </c>
    </row>
    <row r="118" spans="1:5" ht="16" x14ac:dyDescent="0.2">
      <c r="A118" t="s">
        <v>6</v>
      </c>
      <c r="B118">
        <v>1910</v>
      </c>
      <c r="D118" t="s">
        <v>8</v>
      </c>
      <c r="E118">
        <v>524</v>
      </c>
    </row>
    <row r="119" spans="1:5" ht="16" x14ac:dyDescent="0.2">
      <c r="A119" t="s">
        <v>6</v>
      </c>
      <c r="B119">
        <v>38</v>
      </c>
      <c r="D119" t="s">
        <v>8</v>
      </c>
      <c r="E119">
        <v>1989</v>
      </c>
    </row>
    <row r="120" spans="1:5" ht="16" x14ac:dyDescent="0.2">
      <c r="A120" t="s">
        <v>6</v>
      </c>
      <c r="B120">
        <v>104</v>
      </c>
      <c r="D120" t="s">
        <v>8</v>
      </c>
      <c r="E120">
        <v>157</v>
      </c>
    </row>
    <row r="121" spans="1:5" ht="16" x14ac:dyDescent="0.2">
      <c r="A121" t="s">
        <v>6</v>
      </c>
      <c r="B121">
        <v>49</v>
      </c>
      <c r="D121" t="s">
        <v>8</v>
      </c>
      <c r="E121">
        <v>4498</v>
      </c>
    </row>
    <row r="122" spans="1:5" ht="16" x14ac:dyDescent="0.2">
      <c r="A122" t="s">
        <v>6</v>
      </c>
      <c r="B122">
        <v>1</v>
      </c>
      <c r="D122" t="s">
        <v>8</v>
      </c>
      <c r="E122">
        <v>80</v>
      </c>
    </row>
    <row r="123" spans="1:5" ht="16" x14ac:dyDescent="0.2">
      <c r="A123" t="s">
        <v>6</v>
      </c>
      <c r="B123">
        <v>245</v>
      </c>
      <c r="D123" t="s">
        <v>8</v>
      </c>
      <c r="E123">
        <v>43</v>
      </c>
    </row>
    <row r="124" spans="1:5" ht="16" x14ac:dyDescent="0.2">
      <c r="A124" t="s">
        <v>6</v>
      </c>
      <c r="B124">
        <v>32</v>
      </c>
      <c r="D124" t="s">
        <v>8</v>
      </c>
      <c r="E124">
        <v>2053</v>
      </c>
    </row>
    <row r="125" spans="1:5" ht="16" x14ac:dyDescent="0.2">
      <c r="A125" t="s">
        <v>6</v>
      </c>
      <c r="B125">
        <v>7</v>
      </c>
      <c r="D125" t="s">
        <v>8</v>
      </c>
      <c r="E125">
        <v>168</v>
      </c>
    </row>
    <row r="126" spans="1:5" ht="16" x14ac:dyDescent="0.2">
      <c r="A126" t="s">
        <v>6</v>
      </c>
      <c r="B126">
        <v>803</v>
      </c>
      <c r="D126" t="s">
        <v>8</v>
      </c>
      <c r="E126">
        <v>4289</v>
      </c>
    </row>
    <row r="127" spans="1:5" ht="16" hidden="1" x14ac:dyDescent="0.2">
      <c r="A127" t="s">
        <v>5</v>
      </c>
      <c r="B127">
        <v>75</v>
      </c>
      <c r="D127" t="s">
        <v>8</v>
      </c>
      <c r="E127">
        <v>165</v>
      </c>
    </row>
    <row r="128" spans="1:5" ht="16" x14ac:dyDescent="0.2">
      <c r="A128" t="s">
        <v>6</v>
      </c>
      <c r="B128">
        <v>16</v>
      </c>
      <c r="D128" t="s">
        <v>8</v>
      </c>
      <c r="E128">
        <v>1815</v>
      </c>
    </row>
    <row r="129" spans="1:5" ht="16" x14ac:dyDescent="0.2">
      <c r="A129" t="s">
        <v>6</v>
      </c>
      <c r="B129">
        <v>31</v>
      </c>
      <c r="D129" t="s">
        <v>8</v>
      </c>
      <c r="E129">
        <v>397</v>
      </c>
    </row>
    <row r="130" spans="1:5" ht="16" x14ac:dyDescent="0.2">
      <c r="A130" t="s">
        <v>6</v>
      </c>
      <c r="B130">
        <v>108</v>
      </c>
      <c r="D130" t="s">
        <v>8</v>
      </c>
      <c r="E130">
        <v>1539</v>
      </c>
    </row>
    <row r="131" spans="1:5" ht="16" x14ac:dyDescent="0.2">
      <c r="A131" t="s">
        <v>6</v>
      </c>
      <c r="B131">
        <v>30</v>
      </c>
      <c r="D131" t="s">
        <v>8</v>
      </c>
      <c r="E131">
        <v>138</v>
      </c>
    </row>
    <row r="132" spans="1:5" ht="16" x14ac:dyDescent="0.2">
      <c r="A132" t="s">
        <v>6</v>
      </c>
      <c r="B132">
        <v>17</v>
      </c>
      <c r="D132" t="s">
        <v>8</v>
      </c>
      <c r="E132">
        <v>3594</v>
      </c>
    </row>
    <row r="133" spans="1:5" ht="16" hidden="1" x14ac:dyDescent="0.2">
      <c r="A133" t="s">
        <v>5</v>
      </c>
      <c r="B133">
        <v>64</v>
      </c>
      <c r="D133" t="s">
        <v>8</v>
      </c>
      <c r="E133">
        <v>5880</v>
      </c>
    </row>
    <row r="134" spans="1:5" ht="16" x14ac:dyDescent="0.2">
      <c r="A134" t="s">
        <v>6</v>
      </c>
      <c r="B134">
        <v>80</v>
      </c>
      <c r="D134" t="s">
        <v>8</v>
      </c>
      <c r="E134">
        <v>112</v>
      </c>
    </row>
    <row r="135" spans="1:5" ht="16" x14ac:dyDescent="0.2">
      <c r="A135" t="s">
        <v>6</v>
      </c>
      <c r="B135">
        <v>2468</v>
      </c>
      <c r="D135" t="s">
        <v>8</v>
      </c>
      <c r="E135">
        <v>943</v>
      </c>
    </row>
    <row r="136" spans="1:5" ht="16" x14ac:dyDescent="0.2">
      <c r="A136" t="s">
        <v>6</v>
      </c>
      <c r="B136">
        <v>26</v>
      </c>
      <c r="D136" t="s">
        <v>8</v>
      </c>
      <c r="E136">
        <v>2468</v>
      </c>
    </row>
    <row r="137" spans="1:5" ht="16" x14ac:dyDescent="0.2">
      <c r="A137" t="s">
        <v>6</v>
      </c>
      <c r="B137">
        <v>73</v>
      </c>
      <c r="D137" t="s">
        <v>8</v>
      </c>
      <c r="E137">
        <v>2551</v>
      </c>
    </row>
    <row r="138" spans="1:5" ht="16" x14ac:dyDescent="0.2">
      <c r="A138" t="s">
        <v>6</v>
      </c>
      <c r="B138">
        <v>128</v>
      </c>
      <c r="D138" t="s">
        <v>8</v>
      </c>
      <c r="E138">
        <v>101</v>
      </c>
    </row>
    <row r="139" spans="1:5" ht="16" x14ac:dyDescent="0.2">
      <c r="A139" t="s">
        <v>6</v>
      </c>
      <c r="B139">
        <v>33</v>
      </c>
      <c r="D139" t="s">
        <v>8</v>
      </c>
      <c r="E139">
        <v>92</v>
      </c>
    </row>
    <row r="140" spans="1:5" ht="16" hidden="1" x14ac:dyDescent="0.2">
      <c r="A140" t="s">
        <v>7</v>
      </c>
      <c r="B140">
        <v>211</v>
      </c>
      <c r="D140" t="s">
        <v>8</v>
      </c>
      <c r="E140">
        <v>62</v>
      </c>
    </row>
    <row r="141" spans="1:5" ht="16" x14ac:dyDescent="0.2">
      <c r="A141" t="s">
        <v>6</v>
      </c>
      <c r="B141">
        <v>1072</v>
      </c>
      <c r="D141" t="s">
        <v>8</v>
      </c>
      <c r="E141">
        <v>149</v>
      </c>
    </row>
    <row r="142" spans="1:5" ht="16" hidden="1" x14ac:dyDescent="0.2">
      <c r="A142" t="s">
        <v>5</v>
      </c>
      <c r="B142">
        <v>1297</v>
      </c>
      <c r="D142" t="s">
        <v>8</v>
      </c>
      <c r="E142">
        <v>329</v>
      </c>
    </row>
    <row r="143" spans="1:5" ht="16" x14ac:dyDescent="0.2">
      <c r="A143" t="s">
        <v>6</v>
      </c>
      <c r="B143">
        <v>393</v>
      </c>
      <c r="D143" t="s">
        <v>8</v>
      </c>
      <c r="E143">
        <v>97</v>
      </c>
    </row>
    <row r="144" spans="1:5" ht="16" x14ac:dyDescent="0.2">
      <c r="A144" t="s">
        <v>6</v>
      </c>
      <c r="B144">
        <v>1257</v>
      </c>
      <c r="D144" t="s">
        <v>8</v>
      </c>
      <c r="E144">
        <v>1784</v>
      </c>
    </row>
    <row r="145" spans="1:5" ht="16" x14ac:dyDescent="0.2">
      <c r="A145" t="s">
        <v>6</v>
      </c>
      <c r="B145">
        <v>328</v>
      </c>
      <c r="D145" t="s">
        <v>8</v>
      </c>
      <c r="E145">
        <v>1684</v>
      </c>
    </row>
    <row r="146" spans="1:5" ht="16" x14ac:dyDescent="0.2">
      <c r="A146" t="s">
        <v>6</v>
      </c>
      <c r="B146">
        <v>147</v>
      </c>
      <c r="D146" t="s">
        <v>8</v>
      </c>
      <c r="E146">
        <v>250</v>
      </c>
    </row>
    <row r="147" spans="1:5" ht="16" x14ac:dyDescent="0.2">
      <c r="A147" t="s">
        <v>6</v>
      </c>
      <c r="B147">
        <v>830</v>
      </c>
      <c r="D147" t="s">
        <v>8</v>
      </c>
      <c r="E147">
        <v>238</v>
      </c>
    </row>
    <row r="148" spans="1:5" ht="16" x14ac:dyDescent="0.2">
      <c r="A148" t="s">
        <v>6</v>
      </c>
      <c r="B148">
        <v>331</v>
      </c>
      <c r="D148" t="s">
        <v>8</v>
      </c>
      <c r="E148">
        <v>53</v>
      </c>
    </row>
    <row r="149" spans="1:5" ht="16" x14ac:dyDescent="0.2">
      <c r="A149" t="s">
        <v>6</v>
      </c>
      <c r="B149">
        <v>25</v>
      </c>
      <c r="D149" t="s">
        <v>8</v>
      </c>
      <c r="E149">
        <v>214</v>
      </c>
    </row>
    <row r="150" spans="1:5" ht="16" x14ac:dyDescent="0.2">
      <c r="A150" t="s">
        <v>6</v>
      </c>
      <c r="B150">
        <v>3483</v>
      </c>
      <c r="D150" t="s">
        <v>8</v>
      </c>
      <c r="E150">
        <v>222</v>
      </c>
    </row>
    <row r="151" spans="1:5" ht="16" x14ac:dyDescent="0.2">
      <c r="A151" t="s">
        <v>6</v>
      </c>
      <c r="B151">
        <v>923</v>
      </c>
      <c r="D151" t="s">
        <v>8</v>
      </c>
      <c r="E151">
        <v>1884</v>
      </c>
    </row>
    <row r="152" spans="1:5" ht="16" x14ac:dyDescent="0.2">
      <c r="A152" t="s">
        <v>6</v>
      </c>
      <c r="B152">
        <v>1</v>
      </c>
      <c r="D152" t="s">
        <v>8</v>
      </c>
      <c r="E152">
        <v>218</v>
      </c>
    </row>
    <row r="153" spans="1:5" ht="16" x14ac:dyDescent="0.2">
      <c r="A153" t="s">
        <v>6</v>
      </c>
      <c r="B153">
        <v>33</v>
      </c>
      <c r="D153" t="s">
        <v>8</v>
      </c>
      <c r="E153">
        <v>6465</v>
      </c>
    </row>
    <row r="154" spans="1:5" ht="16" hidden="1" x14ac:dyDescent="0.2">
      <c r="A154" t="s">
        <v>7</v>
      </c>
      <c r="B154">
        <v>86</v>
      </c>
      <c r="D154" t="s">
        <v>8</v>
      </c>
      <c r="E154">
        <v>59</v>
      </c>
    </row>
    <row r="155" spans="1:5" ht="16" x14ac:dyDescent="0.2">
      <c r="A155" t="s">
        <v>6</v>
      </c>
      <c r="B155">
        <v>40</v>
      </c>
      <c r="D155" t="s">
        <v>8</v>
      </c>
      <c r="E155">
        <v>88</v>
      </c>
    </row>
    <row r="156" spans="1:5" ht="16" x14ac:dyDescent="0.2">
      <c r="A156" t="s">
        <v>6</v>
      </c>
      <c r="B156">
        <v>23</v>
      </c>
      <c r="D156" t="s">
        <v>8</v>
      </c>
      <c r="E156">
        <v>1697</v>
      </c>
    </row>
    <row r="157" spans="1:5" ht="16" x14ac:dyDescent="0.2">
      <c r="A157" t="s">
        <v>6</v>
      </c>
      <c r="B157">
        <v>75</v>
      </c>
      <c r="D157" t="s">
        <v>8</v>
      </c>
      <c r="E157">
        <v>92</v>
      </c>
    </row>
    <row r="158" spans="1:5" ht="16" x14ac:dyDescent="0.2">
      <c r="A158" t="s">
        <v>6</v>
      </c>
      <c r="B158">
        <v>2176</v>
      </c>
      <c r="D158" t="s">
        <v>8</v>
      </c>
      <c r="E158">
        <v>186</v>
      </c>
    </row>
    <row r="159" spans="1:5" ht="16" x14ac:dyDescent="0.2">
      <c r="A159" t="s">
        <v>6</v>
      </c>
      <c r="B159">
        <v>441</v>
      </c>
      <c r="D159" t="s">
        <v>8</v>
      </c>
      <c r="E159">
        <v>138</v>
      </c>
    </row>
    <row r="160" spans="1:5" ht="16" x14ac:dyDescent="0.2">
      <c r="A160" t="s">
        <v>6</v>
      </c>
      <c r="B160">
        <v>25</v>
      </c>
      <c r="D160" t="s">
        <v>8</v>
      </c>
      <c r="E160">
        <v>261</v>
      </c>
    </row>
    <row r="161" spans="1:5" ht="16" x14ac:dyDescent="0.2">
      <c r="A161" t="s">
        <v>6</v>
      </c>
      <c r="B161">
        <v>127</v>
      </c>
      <c r="D161" t="s">
        <v>8</v>
      </c>
      <c r="E161">
        <v>107</v>
      </c>
    </row>
    <row r="162" spans="1:5" ht="16" x14ac:dyDescent="0.2">
      <c r="A162" t="s">
        <v>6</v>
      </c>
      <c r="B162">
        <v>355</v>
      </c>
      <c r="D162" t="s">
        <v>8</v>
      </c>
      <c r="E162">
        <v>199</v>
      </c>
    </row>
    <row r="163" spans="1:5" ht="16" x14ac:dyDescent="0.2">
      <c r="A163" t="s">
        <v>6</v>
      </c>
      <c r="B163">
        <v>44</v>
      </c>
      <c r="D163" t="s">
        <v>8</v>
      </c>
      <c r="E163">
        <v>5512</v>
      </c>
    </row>
    <row r="164" spans="1:5" ht="16" x14ac:dyDescent="0.2">
      <c r="A164" t="s">
        <v>6</v>
      </c>
      <c r="B164">
        <v>67</v>
      </c>
      <c r="D164" t="s">
        <v>8</v>
      </c>
      <c r="E164">
        <v>86</v>
      </c>
    </row>
    <row r="165" spans="1:5" ht="16" x14ac:dyDescent="0.2">
      <c r="A165" t="s">
        <v>6</v>
      </c>
      <c r="B165">
        <v>1068</v>
      </c>
      <c r="D165" t="s">
        <v>8</v>
      </c>
      <c r="E165">
        <v>2768</v>
      </c>
    </row>
    <row r="166" spans="1:5" ht="16" x14ac:dyDescent="0.2">
      <c r="A166" t="s">
        <v>6</v>
      </c>
      <c r="B166">
        <v>424</v>
      </c>
      <c r="D166" t="s">
        <v>8</v>
      </c>
      <c r="E166">
        <v>48</v>
      </c>
    </row>
    <row r="167" spans="1:5" ht="16" hidden="1" x14ac:dyDescent="0.2">
      <c r="A167" t="s">
        <v>5</v>
      </c>
      <c r="B167">
        <v>145</v>
      </c>
      <c r="D167" t="s">
        <v>8</v>
      </c>
      <c r="E167">
        <v>87</v>
      </c>
    </row>
    <row r="168" spans="1:5" ht="16" x14ac:dyDescent="0.2">
      <c r="A168" t="s">
        <v>6</v>
      </c>
      <c r="B168">
        <v>151</v>
      </c>
      <c r="D168" t="s">
        <v>8</v>
      </c>
      <c r="E168">
        <v>1894</v>
      </c>
    </row>
    <row r="169" spans="1:5" ht="16" x14ac:dyDescent="0.2">
      <c r="A169" t="s">
        <v>6</v>
      </c>
      <c r="B169">
        <v>1608</v>
      </c>
      <c r="D169" t="s">
        <v>8</v>
      </c>
      <c r="E169">
        <v>282</v>
      </c>
    </row>
    <row r="170" spans="1:5" ht="16" x14ac:dyDescent="0.2">
      <c r="A170" t="s">
        <v>6</v>
      </c>
      <c r="B170">
        <v>941</v>
      </c>
      <c r="D170" t="s">
        <v>8</v>
      </c>
      <c r="E170">
        <v>116</v>
      </c>
    </row>
    <row r="171" spans="1:5" ht="16" x14ac:dyDescent="0.2">
      <c r="A171" t="s">
        <v>6</v>
      </c>
      <c r="B171">
        <v>1</v>
      </c>
      <c r="D171" t="s">
        <v>8</v>
      </c>
      <c r="E171">
        <v>83</v>
      </c>
    </row>
    <row r="172" spans="1:5" ht="16" x14ac:dyDescent="0.2">
      <c r="A172" t="s">
        <v>6</v>
      </c>
      <c r="B172">
        <v>40</v>
      </c>
      <c r="D172" t="s">
        <v>8</v>
      </c>
      <c r="E172">
        <v>91</v>
      </c>
    </row>
    <row r="173" spans="1:5" ht="16" x14ac:dyDescent="0.2">
      <c r="A173" t="s">
        <v>6</v>
      </c>
      <c r="B173">
        <v>3015</v>
      </c>
      <c r="D173" t="s">
        <v>8</v>
      </c>
      <c r="E173">
        <v>546</v>
      </c>
    </row>
    <row r="174" spans="1:5" ht="16" x14ac:dyDescent="0.2">
      <c r="A174" t="s">
        <v>6</v>
      </c>
      <c r="B174">
        <v>435</v>
      </c>
      <c r="D174" t="s">
        <v>8</v>
      </c>
      <c r="E174">
        <v>393</v>
      </c>
    </row>
    <row r="175" spans="1:5" ht="16" x14ac:dyDescent="0.2">
      <c r="A175" t="s">
        <v>6</v>
      </c>
      <c r="B175">
        <v>714</v>
      </c>
      <c r="D175" t="s">
        <v>8</v>
      </c>
      <c r="E175">
        <v>133</v>
      </c>
    </row>
    <row r="176" spans="1:5" ht="16" hidden="1" x14ac:dyDescent="0.2">
      <c r="A176" t="s">
        <v>7</v>
      </c>
      <c r="B176">
        <v>1111</v>
      </c>
      <c r="D176" t="s">
        <v>8</v>
      </c>
      <c r="E176">
        <v>254</v>
      </c>
    </row>
    <row r="177" spans="1:5" ht="16" hidden="1" x14ac:dyDescent="0.2">
      <c r="A177" t="s">
        <v>7</v>
      </c>
      <c r="B177">
        <v>1089</v>
      </c>
      <c r="D177" t="s">
        <v>8</v>
      </c>
      <c r="E177">
        <v>176</v>
      </c>
    </row>
    <row r="178" spans="1:5" ht="16" x14ac:dyDescent="0.2">
      <c r="A178" t="s">
        <v>6</v>
      </c>
      <c r="B178">
        <v>5497</v>
      </c>
      <c r="D178" t="s">
        <v>8</v>
      </c>
      <c r="E178">
        <v>337</v>
      </c>
    </row>
    <row r="179" spans="1:5" ht="16" x14ac:dyDescent="0.2">
      <c r="A179" t="s">
        <v>6</v>
      </c>
      <c r="B179">
        <v>418</v>
      </c>
      <c r="D179" t="s">
        <v>8</v>
      </c>
      <c r="E179">
        <v>107</v>
      </c>
    </row>
    <row r="180" spans="1:5" ht="16" x14ac:dyDescent="0.2">
      <c r="A180" t="s">
        <v>6</v>
      </c>
      <c r="B180">
        <v>1439</v>
      </c>
      <c r="D180" t="s">
        <v>8</v>
      </c>
      <c r="E180">
        <v>183</v>
      </c>
    </row>
    <row r="181" spans="1:5" ht="16" x14ac:dyDescent="0.2">
      <c r="A181" t="s">
        <v>6</v>
      </c>
      <c r="B181">
        <v>15</v>
      </c>
      <c r="D181" t="s">
        <v>8</v>
      </c>
      <c r="E181">
        <v>72</v>
      </c>
    </row>
    <row r="182" spans="1:5" ht="16" x14ac:dyDescent="0.2">
      <c r="A182" t="s">
        <v>6</v>
      </c>
      <c r="B182">
        <v>1999</v>
      </c>
      <c r="D182" t="s">
        <v>8</v>
      </c>
      <c r="E182">
        <v>295</v>
      </c>
    </row>
    <row r="183" spans="1:5" ht="16" x14ac:dyDescent="0.2">
      <c r="A183" t="s">
        <v>6</v>
      </c>
      <c r="B183">
        <v>118</v>
      </c>
      <c r="D183" t="s">
        <v>8</v>
      </c>
      <c r="E183">
        <v>142</v>
      </c>
    </row>
    <row r="184" spans="1:5" ht="16" x14ac:dyDescent="0.2">
      <c r="A184" t="s">
        <v>6</v>
      </c>
      <c r="B184">
        <v>162</v>
      </c>
      <c r="D184" t="s">
        <v>8</v>
      </c>
      <c r="E184">
        <v>85</v>
      </c>
    </row>
    <row r="185" spans="1:5" ht="16" x14ac:dyDescent="0.2">
      <c r="A185" t="s">
        <v>6</v>
      </c>
      <c r="B185">
        <v>83</v>
      </c>
      <c r="D185" t="s">
        <v>8</v>
      </c>
      <c r="E185">
        <v>659</v>
      </c>
    </row>
    <row r="186" spans="1:5" ht="16" x14ac:dyDescent="0.2">
      <c r="A186" t="s">
        <v>6</v>
      </c>
      <c r="B186">
        <v>747</v>
      </c>
      <c r="D186" t="s">
        <v>8</v>
      </c>
      <c r="E186">
        <v>121</v>
      </c>
    </row>
    <row r="187" spans="1:5" ht="16" hidden="1" x14ac:dyDescent="0.2">
      <c r="A187" t="s">
        <v>5</v>
      </c>
      <c r="B187">
        <v>2138</v>
      </c>
      <c r="D187" t="s">
        <v>8</v>
      </c>
      <c r="E187">
        <v>3742</v>
      </c>
    </row>
    <row r="188" spans="1:5" ht="16" x14ac:dyDescent="0.2">
      <c r="A188" t="s">
        <v>6</v>
      </c>
      <c r="B188">
        <v>84</v>
      </c>
      <c r="D188" t="s">
        <v>8</v>
      </c>
      <c r="E188">
        <v>223</v>
      </c>
    </row>
    <row r="189" spans="1:5" ht="16" x14ac:dyDescent="0.2">
      <c r="A189" t="s">
        <v>6</v>
      </c>
      <c r="B189">
        <v>91</v>
      </c>
      <c r="D189" t="s">
        <v>8</v>
      </c>
      <c r="E189">
        <v>133</v>
      </c>
    </row>
    <row r="190" spans="1:5" ht="16" x14ac:dyDescent="0.2">
      <c r="A190" t="s">
        <v>6</v>
      </c>
      <c r="B190">
        <v>792</v>
      </c>
      <c r="D190" t="s">
        <v>8</v>
      </c>
      <c r="E190">
        <v>5168</v>
      </c>
    </row>
    <row r="191" spans="1:5" ht="16" hidden="1" x14ac:dyDescent="0.2">
      <c r="A191" t="s">
        <v>5</v>
      </c>
      <c r="B191">
        <v>10</v>
      </c>
      <c r="D191" t="s">
        <v>8</v>
      </c>
      <c r="E191">
        <v>307</v>
      </c>
    </row>
    <row r="192" spans="1:5" ht="16" x14ac:dyDescent="0.2">
      <c r="A192" t="s">
        <v>6</v>
      </c>
      <c r="B192">
        <v>32</v>
      </c>
      <c r="D192" t="s">
        <v>8</v>
      </c>
      <c r="E192">
        <v>2441</v>
      </c>
    </row>
    <row r="193" spans="1:5" ht="16" hidden="1" x14ac:dyDescent="0.2">
      <c r="A193" t="s">
        <v>5</v>
      </c>
      <c r="B193">
        <v>90</v>
      </c>
      <c r="D193" t="s">
        <v>8</v>
      </c>
      <c r="E193">
        <v>1385</v>
      </c>
    </row>
    <row r="194" spans="1:5" ht="16" x14ac:dyDescent="0.2">
      <c r="A194" t="s">
        <v>6</v>
      </c>
      <c r="B194">
        <v>186</v>
      </c>
      <c r="D194" t="s">
        <v>8</v>
      </c>
      <c r="E194">
        <v>190</v>
      </c>
    </row>
    <row r="195" spans="1:5" ht="16" hidden="1" x14ac:dyDescent="0.2">
      <c r="A195" t="s">
        <v>5</v>
      </c>
      <c r="B195">
        <v>439</v>
      </c>
      <c r="D195" t="s">
        <v>8</v>
      </c>
      <c r="E195">
        <v>470</v>
      </c>
    </row>
    <row r="196" spans="1:5" ht="16" x14ac:dyDescent="0.2">
      <c r="A196" t="s">
        <v>6</v>
      </c>
      <c r="B196">
        <v>605</v>
      </c>
      <c r="D196" t="s">
        <v>8</v>
      </c>
      <c r="E196">
        <v>253</v>
      </c>
    </row>
    <row r="197" spans="1:5" ht="16" x14ac:dyDescent="0.2">
      <c r="A197" t="s">
        <v>6</v>
      </c>
      <c r="B197">
        <v>1</v>
      </c>
      <c r="D197" t="s">
        <v>8</v>
      </c>
      <c r="E197">
        <v>1113</v>
      </c>
    </row>
    <row r="198" spans="1:5" ht="16" x14ac:dyDescent="0.2">
      <c r="A198" t="s">
        <v>6</v>
      </c>
      <c r="B198">
        <v>31</v>
      </c>
      <c r="D198" t="s">
        <v>8</v>
      </c>
      <c r="E198">
        <v>2283</v>
      </c>
    </row>
    <row r="199" spans="1:5" ht="16" x14ac:dyDescent="0.2">
      <c r="A199" t="s">
        <v>6</v>
      </c>
      <c r="B199">
        <v>1181</v>
      </c>
      <c r="D199" t="s">
        <v>8</v>
      </c>
      <c r="E199">
        <v>1095</v>
      </c>
    </row>
    <row r="200" spans="1:5" ht="16" x14ac:dyDescent="0.2">
      <c r="A200" t="s">
        <v>6</v>
      </c>
      <c r="B200">
        <v>39</v>
      </c>
      <c r="D200" t="s">
        <v>8</v>
      </c>
      <c r="E200">
        <v>1690</v>
      </c>
    </row>
    <row r="201" spans="1:5" ht="16" x14ac:dyDescent="0.2">
      <c r="A201" t="s">
        <v>6</v>
      </c>
      <c r="B201">
        <v>46</v>
      </c>
      <c r="D201" t="s">
        <v>8</v>
      </c>
      <c r="E201">
        <v>191</v>
      </c>
    </row>
    <row r="202" spans="1:5" ht="16" x14ac:dyDescent="0.2">
      <c r="A202" t="s">
        <v>6</v>
      </c>
      <c r="B202">
        <v>105</v>
      </c>
      <c r="D202" t="s">
        <v>8</v>
      </c>
      <c r="E202">
        <v>2013</v>
      </c>
    </row>
    <row r="203" spans="1:5" ht="16" x14ac:dyDescent="0.2">
      <c r="A203" t="s">
        <v>6</v>
      </c>
      <c r="B203">
        <v>535</v>
      </c>
      <c r="D203" t="s">
        <v>8</v>
      </c>
      <c r="E203">
        <v>1703</v>
      </c>
    </row>
    <row r="204" spans="1:5" ht="16" x14ac:dyDescent="0.2">
      <c r="A204" t="s">
        <v>6</v>
      </c>
      <c r="B204">
        <v>16</v>
      </c>
      <c r="D204" t="s">
        <v>8</v>
      </c>
      <c r="E204">
        <v>80</v>
      </c>
    </row>
    <row r="205" spans="1:5" ht="16" x14ac:dyDescent="0.2">
      <c r="A205" t="s">
        <v>6</v>
      </c>
      <c r="B205">
        <v>575</v>
      </c>
      <c r="D205" t="s">
        <v>8</v>
      </c>
      <c r="E205">
        <v>41</v>
      </c>
    </row>
    <row r="206" spans="1:5" ht="16" x14ac:dyDescent="0.2">
      <c r="A206" t="s">
        <v>6</v>
      </c>
      <c r="B206">
        <v>1120</v>
      </c>
      <c r="D206" t="s">
        <v>8</v>
      </c>
      <c r="E206">
        <v>187</v>
      </c>
    </row>
    <row r="207" spans="1:5" ht="16" x14ac:dyDescent="0.2">
      <c r="A207" t="s">
        <v>6</v>
      </c>
      <c r="B207">
        <v>113</v>
      </c>
      <c r="D207" t="s">
        <v>8</v>
      </c>
      <c r="E207">
        <v>2875</v>
      </c>
    </row>
    <row r="208" spans="1:5" ht="16" x14ac:dyDescent="0.2">
      <c r="A208" t="s">
        <v>6</v>
      </c>
      <c r="B208">
        <v>1538</v>
      </c>
      <c r="D208" t="s">
        <v>8</v>
      </c>
      <c r="E208">
        <v>88</v>
      </c>
    </row>
    <row r="209" spans="1:5" ht="16" x14ac:dyDescent="0.2">
      <c r="A209" t="s">
        <v>6</v>
      </c>
      <c r="B209">
        <v>9</v>
      </c>
      <c r="D209" t="s">
        <v>8</v>
      </c>
      <c r="E209">
        <v>191</v>
      </c>
    </row>
    <row r="210" spans="1:5" ht="16" x14ac:dyDescent="0.2">
      <c r="A210" t="s">
        <v>6</v>
      </c>
      <c r="B210">
        <v>554</v>
      </c>
      <c r="D210" t="s">
        <v>8</v>
      </c>
      <c r="E210">
        <v>139</v>
      </c>
    </row>
    <row r="211" spans="1:5" ht="16" x14ac:dyDescent="0.2">
      <c r="A211" t="s">
        <v>6</v>
      </c>
      <c r="B211">
        <v>648</v>
      </c>
      <c r="D211" t="s">
        <v>8</v>
      </c>
      <c r="E211">
        <v>186</v>
      </c>
    </row>
    <row r="212" spans="1:5" ht="16" x14ac:dyDescent="0.2">
      <c r="A212" t="s">
        <v>6</v>
      </c>
      <c r="B212">
        <v>21</v>
      </c>
      <c r="D212" t="s">
        <v>8</v>
      </c>
      <c r="E212">
        <v>112</v>
      </c>
    </row>
    <row r="213" spans="1:5" ht="16" hidden="1" x14ac:dyDescent="0.2">
      <c r="A213" t="s">
        <v>5</v>
      </c>
      <c r="B213">
        <v>595</v>
      </c>
      <c r="D213" t="s">
        <v>8</v>
      </c>
      <c r="E213">
        <v>101</v>
      </c>
    </row>
    <row r="214" spans="1:5" ht="16" x14ac:dyDescent="0.2">
      <c r="A214" t="s">
        <v>6</v>
      </c>
      <c r="B214">
        <v>54</v>
      </c>
      <c r="D214" t="s">
        <v>8</v>
      </c>
      <c r="E214">
        <v>206</v>
      </c>
    </row>
    <row r="215" spans="1:5" ht="16" x14ac:dyDescent="0.2">
      <c r="A215" t="s">
        <v>6</v>
      </c>
      <c r="B215">
        <v>120</v>
      </c>
      <c r="D215" t="s">
        <v>8</v>
      </c>
      <c r="E215">
        <v>154</v>
      </c>
    </row>
    <row r="216" spans="1:5" ht="16" x14ac:dyDescent="0.2">
      <c r="A216" t="s">
        <v>6</v>
      </c>
      <c r="B216">
        <v>579</v>
      </c>
      <c r="D216" t="s">
        <v>8</v>
      </c>
      <c r="E216">
        <v>5966</v>
      </c>
    </row>
    <row r="217" spans="1:5" ht="16" x14ac:dyDescent="0.2">
      <c r="A217" t="s">
        <v>6</v>
      </c>
      <c r="B217">
        <v>2072</v>
      </c>
      <c r="D217" t="s">
        <v>8</v>
      </c>
      <c r="E217">
        <v>169</v>
      </c>
    </row>
    <row r="218" spans="1:5" ht="16" x14ac:dyDescent="0.2">
      <c r="A218" t="s">
        <v>6</v>
      </c>
      <c r="B218">
        <v>0</v>
      </c>
      <c r="D218" t="s">
        <v>8</v>
      </c>
      <c r="E218">
        <v>2106</v>
      </c>
    </row>
    <row r="219" spans="1:5" ht="16" x14ac:dyDescent="0.2">
      <c r="A219" t="s">
        <v>6</v>
      </c>
      <c r="B219">
        <v>1796</v>
      </c>
      <c r="D219" t="s">
        <v>8</v>
      </c>
      <c r="E219">
        <v>131</v>
      </c>
    </row>
    <row r="220" spans="1:5" ht="16" x14ac:dyDescent="0.2">
      <c r="A220" t="s">
        <v>6</v>
      </c>
      <c r="B220">
        <v>62</v>
      </c>
      <c r="D220" t="s">
        <v>8</v>
      </c>
      <c r="E220">
        <v>84</v>
      </c>
    </row>
    <row r="221" spans="1:5" ht="16" x14ac:dyDescent="0.2">
      <c r="A221" t="s">
        <v>6</v>
      </c>
      <c r="B221">
        <v>347</v>
      </c>
      <c r="D221" t="s">
        <v>8</v>
      </c>
      <c r="E221">
        <v>155</v>
      </c>
    </row>
    <row r="222" spans="1:5" ht="16" x14ac:dyDescent="0.2">
      <c r="A222" t="s">
        <v>6</v>
      </c>
      <c r="B222">
        <v>19</v>
      </c>
      <c r="D222" t="s">
        <v>8</v>
      </c>
      <c r="E222">
        <v>189</v>
      </c>
    </row>
    <row r="223" spans="1:5" ht="16" x14ac:dyDescent="0.2">
      <c r="A223" t="s">
        <v>6</v>
      </c>
      <c r="B223">
        <v>1258</v>
      </c>
      <c r="D223" t="s">
        <v>8</v>
      </c>
      <c r="E223">
        <v>4799</v>
      </c>
    </row>
    <row r="224" spans="1:5" ht="16" x14ac:dyDescent="0.2">
      <c r="A224" t="s">
        <v>6</v>
      </c>
      <c r="B224">
        <v>362</v>
      </c>
      <c r="D224" t="s">
        <v>8</v>
      </c>
      <c r="E224">
        <v>1137</v>
      </c>
    </row>
    <row r="225" spans="1:5" ht="16" hidden="1" x14ac:dyDescent="0.2">
      <c r="A225" t="s">
        <v>5</v>
      </c>
      <c r="B225">
        <v>35</v>
      </c>
      <c r="D225" t="s">
        <v>8</v>
      </c>
      <c r="E225">
        <v>1152</v>
      </c>
    </row>
    <row r="226" spans="1:5" ht="16" hidden="1" x14ac:dyDescent="0.2">
      <c r="A226" t="s">
        <v>5</v>
      </c>
      <c r="B226">
        <v>528</v>
      </c>
      <c r="D226" t="s">
        <v>8</v>
      </c>
      <c r="E226">
        <v>50</v>
      </c>
    </row>
    <row r="227" spans="1:5" ht="16" x14ac:dyDescent="0.2">
      <c r="A227" t="s">
        <v>6</v>
      </c>
      <c r="B227">
        <v>133</v>
      </c>
      <c r="D227" t="s">
        <v>8</v>
      </c>
      <c r="E227">
        <v>3059</v>
      </c>
    </row>
    <row r="228" spans="1:5" ht="16" x14ac:dyDescent="0.2">
      <c r="A228" t="s">
        <v>6</v>
      </c>
      <c r="B228">
        <v>846</v>
      </c>
      <c r="D228" t="s">
        <v>8</v>
      </c>
      <c r="E228">
        <v>34</v>
      </c>
    </row>
    <row r="229" spans="1:5" ht="16" x14ac:dyDescent="0.2">
      <c r="A229" t="s">
        <v>6</v>
      </c>
      <c r="B229">
        <v>10</v>
      </c>
      <c r="D229" t="s">
        <v>8</v>
      </c>
      <c r="E229">
        <v>220</v>
      </c>
    </row>
    <row r="230" spans="1:5" ht="16" x14ac:dyDescent="0.2">
      <c r="A230" t="s">
        <v>6</v>
      </c>
      <c r="B230">
        <v>191</v>
      </c>
      <c r="D230" t="s">
        <v>8</v>
      </c>
      <c r="E230">
        <v>1604</v>
      </c>
    </row>
    <row r="231" spans="1:5" ht="16" x14ac:dyDescent="0.2">
      <c r="A231" t="s">
        <v>6</v>
      </c>
      <c r="B231">
        <v>1979</v>
      </c>
      <c r="D231" t="s">
        <v>8</v>
      </c>
      <c r="E231">
        <v>454</v>
      </c>
    </row>
    <row r="232" spans="1:5" ht="16" x14ac:dyDescent="0.2">
      <c r="A232" t="s">
        <v>6</v>
      </c>
      <c r="B232">
        <v>63</v>
      </c>
      <c r="D232" t="s">
        <v>8</v>
      </c>
      <c r="E232">
        <v>123</v>
      </c>
    </row>
    <row r="233" spans="1:5" ht="16" x14ac:dyDescent="0.2">
      <c r="A233" t="s">
        <v>6</v>
      </c>
      <c r="B233">
        <v>6080</v>
      </c>
      <c r="D233" t="s">
        <v>8</v>
      </c>
      <c r="E233">
        <v>299</v>
      </c>
    </row>
    <row r="234" spans="1:5" ht="16" x14ac:dyDescent="0.2">
      <c r="A234" t="s">
        <v>6</v>
      </c>
      <c r="B234">
        <v>80</v>
      </c>
      <c r="D234" t="s">
        <v>8</v>
      </c>
      <c r="E234">
        <v>2237</v>
      </c>
    </row>
    <row r="235" spans="1:5" ht="16" x14ac:dyDescent="0.2">
      <c r="A235" t="s">
        <v>6</v>
      </c>
      <c r="B235">
        <v>9</v>
      </c>
      <c r="D235" t="s">
        <v>8</v>
      </c>
      <c r="E235">
        <v>645</v>
      </c>
    </row>
    <row r="236" spans="1:5" ht="16" x14ac:dyDescent="0.2">
      <c r="A236" t="s">
        <v>6</v>
      </c>
      <c r="B236">
        <v>1784</v>
      </c>
      <c r="D236" t="s">
        <v>8</v>
      </c>
      <c r="E236">
        <v>484</v>
      </c>
    </row>
    <row r="237" spans="1:5" ht="16" hidden="1" x14ac:dyDescent="0.2">
      <c r="A237" t="s">
        <v>7</v>
      </c>
      <c r="B237">
        <v>3640</v>
      </c>
      <c r="D237" t="s">
        <v>8</v>
      </c>
      <c r="E237">
        <v>154</v>
      </c>
    </row>
    <row r="238" spans="1:5" ht="16" x14ac:dyDescent="0.2">
      <c r="A238" t="s">
        <v>6</v>
      </c>
      <c r="B238">
        <v>243</v>
      </c>
      <c r="D238" t="s">
        <v>8</v>
      </c>
      <c r="E238">
        <v>82</v>
      </c>
    </row>
    <row r="239" spans="1:5" ht="16" x14ac:dyDescent="0.2">
      <c r="A239" t="s">
        <v>6</v>
      </c>
      <c r="B239">
        <v>1296</v>
      </c>
      <c r="D239" t="s">
        <v>8</v>
      </c>
      <c r="E239">
        <v>134</v>
      </c>
    </row>
    <row r="240" spans="1:5" ht="16" x14ac:dyDescent="0.2">
      <c r="A240" t="s">
        <v>6</v>
      </c>
      <c r="B240">
        <v>77</v>
      </c>
      <c r="D240" t="s">
        <v>8</v>
      </c>
      <c r="E240">
        <v>5203</v>
      </c>
    </row>
    <row r="241" spans="1:5" ht="16" x14ac:dyDescent="0.2">
      <c r="A241" t="s">
        <v>6</v>
      </c>
      <c r="B241">
        <v>395</v>
      </c>
      <c r="D241" t="s">
        <v>8</v>
      </c>
      <c r="E241">
        <v>94</v>
      </c>
    </row>
    <row r="242" spans="1:5" ht="16" x14ac:dyDescent="0.2">
      <c r="A242" t="s">
        <v>6</v>
      </c>
      <c r="B242">
        <v>49</v>
      </c>
      <c r="D242" t="s">
        <v>8</v>
      </c>
      <c r="E242">
        <v>205</v>
      </c>
    </row>
    <row r="243" spans="1:5" ht="16" x14ac:dyDescent="0.2">
      <c r="A243" t="s">
        <v>6</v>
      </c>
      <c r="B243">
        <v>180</v>
      </c>
      <c r="D243" t="s">
        <v>8</v>
      </c>
      <c r="E243">
        <v>92</v>
      </c>
    </row>
    <row r="244" spans="1:5" ht="16" x14ac:dyDescent="0.2">
      <c r="A244" t="s">
        <v>6</v>
      </c>
      <c r="B244">
        <v>2690</v>
      </c>
      <c r="D244" t="s">
        <v>8</v>
      </c>
      <c r="E244">
        <v>219</v>
      </c>
    </row>
    <row r="245" spans="1:5" ht="16" hidden="1" x14ac:dyDescent="0.2">
      <c r="A245" t="s">
        <v>5</v>
      </c>
      <c r="B245">
        <v>1</v>
      </c>
      <c r="D245" t="s">
        <v>8</v>
      </c>
      <c r="E245">
        <v>2526</v>
      </c>
    </row>
    <row r="246" spans="1:5" ht="16" x14ac:dyDescent="0.2">
      <c r="A246" t="s">
        <v>6</v>
      </c>
      <c r="B246">
        <v>2779</v>
      </c>
      <c r="D246" t="s">
        <v>8</v>
      </c>
      <c r="E246">
        <v>94</v>
      </c>
    </row>
    <row r="247" spans="1:5" ht="16" x14ac:dyDescent="0.2">
      <c r="A247" t="s">
        <v>6</v>
      </c>
      <c r="B247">
        <v>92</v>
      </c>
      <c r="D247" t="s">
        <v>8</v>
      </c>
      <c r="E247">
        <v>1713</v>
      </c>
    </row>
    <row r="248" spans="1:5" ht="16" x14ac:dyDescent="0.2">
      <c r="A248" t="s">
        <v>6</v>
      </c>
      <c r="B248">
        <v>1028</v>
      </c>
      <c r="D248" t="s">
        <v>8</v>
      </c>
      <c r="E248">
        <v>249</v>
      </c>
    </row>
    <row r="249" spans="1:5" ht="16" x14ac:dyDescent="0.2">
      <c r="A249" t="s">
        <v>6</v>
      </c>
      <c r="B249">
        <v>26</v>
      </c>
      <c r="D249" t="s">
        <v>8</v>
      </c>
      <c r="E249">
        <v>192</v>
      </c>
    </row>
    <row r="250" spans="1:5" ht="16" x14ac:dyDescent="0.2">
      <c r="A250" t="s">
        <v>6</v>
      </c>
      <c r="B250">
        <v>1790</v>
      </c>
      <c r="D250" t="s">
        <v>8</v>
      </c>
      <c r="E250">
        <v>247</v>
      </c>
    </row>
    <row r="251" spans="1:5" ht="16" x14ac:dyDescent="0.2">
      <c r="A251" t="s">
        <v>6</v>
      </c>
      <c r="B251">
        <v>37</v>
      </c>
      <c r="D251" t="s">
        <v>8</v>
      </c>
      <c r="E251">
        <v>2293</v>
      </c>
    </row>
    <row r="252" spans="1:5" ht="16" x14ac:dyDescent="0.2">
      <c r="A252" t="s">
        <v>6</v>
      </c>
      <c r="B252">
        <v>35</v>
      </c>
      <c r="D252" t="s">
        <v>8</v>
      </c>
      <c r="E252">
        <v>3131</v>
      </c>
    </row>
    <row r="253" spans="1:5" ht="16" hidden="1" x14ac:dyDescent="0.2">
      <c r="A253" t="s">
        <v>5</v>
      </c>
      <c r="B253">
        <v>94</v>
      </c>
      <c r="D253" t="s">
        <v>8</v>
      </c>
      <c r="E253">
        <v>143</v>
      </c>
    </row>
    <row r="254" spans="1:5" ht="16" x14ac:dyDescent="0.2">
      <c r="A254" t="s">
        <v>6</v>
      </c>
      <c r="B254">
        <v>558</v>
      </c>
      <c r="D254" t="s">
        <v>8</v>
      </c>
      <c r="E254">
        <v>296</v>
      </c>
    </row>
    <row r="255" spans="1:5" ht="16" x14ac:dyDescent="0.2">
      <c r="A255" t="s">
        <v>6</v>
      </c>
      <c r="B255">
        <v>64</v>
      </c>
      <c r="D255" t="s">
        <v>8</v>
      </c>
      <c r="E255">
        <v>170</v>
      </c>
    </row>
    <row r="256" spans="1:5" ht="16" hidden="1" x14ac:dyDescent="0.2">
      <c r="A256" t="s">
        <v>5</v>
      </c>
      <c r="B256">
        <v>37</v>
      </c>
      <c r="D256" t="s">
        <v>8</v>
      </c>
      <c r="E256">
        <v>86</v>
      </c>
    </row>
    <row r="257" spans="1:5" ht="16" x14ac:dyDescent="0.2">
      <c r="A257" t="s">
        <v>6</v>
      </c>
      <c r="B257">
        <v>245</v>
      </c>
      <c r="D257" t="s">
        <v>8</v>
      </c>
      <c r="E257">
        <v>6286</v>
      </c>
    </row>
    <row r="258" spans="1:5" ht="16" x14ac:dyDescent="0.2">
      <c r="A258" t="s">
        <v>6</v>
      </c>
      <c r="B258">
        <v>71</v>
      </c>
      <c r="D258" t="s">
        <v>8</v>
      </c>
      <c r="E258">
        <v>3727</v>
      </c>
    </row>
    <row r="259" spans="1:5" ht="16" x14ac:dyDescent="0.2">
      <c r="A259" t="s">
        <v>6</v>
      </c>
      <c r="B259">
        <v>42</v>
      </c>
      <c r="D259" t="s">
        <v>8</v>
      </c>
      <c r="E259">
        <v>1605</v>
      </c>
    </row>
    <row r="260" spans="1:5" ht="16" x14ac:dyDescent="0.2">
      <c r="A260" t="s">
        <v>6</v>
      </c>
      <c r="B260">
        <v>156</v>
      </c>
      <c r="D260" t="s">
        <v>8</v>
      </c>
      <c r="E260">
        <v>2120</v>
      </c>
    </row>
    <row r="261" spans="1:5" ht="16" x14ac:dyDescent="0.2">
      <c r="A261" t="s">
        <v>6</v>
      </c>
      <c r="B261">
        <v>1368</v>
      </c>
      <c r="D261" t="s">
        <v>8</v>
      </c>
      <c r="E261">
        <v>50</v>
      </c>
    </row>
    <row r="262" spans="1:5" ht="16" x14ac:dyDescent="0.2">
      <c r="A262" t="s">
        <v>6</v>
      </c>
      <c r="B262">
        <v>102</v>
      </c>
      <c r="D262" t="s">
        <v>8</v>
      </c>
      <c r="E262">
        <v>2080</v>
      </c>
    </row>
    <row r="263" spans="1:5" ht="16" x14ac:dyDescent="0.2">
      <c r="A263" t="s">
        <v>6</v>
      </c>
      <c r="B263">
        <v>86</v>
      </c>
      <c r="D263" t="s">
        <v>8</v>
      </c>
      <c r="E263">
        <v>2105</v>
      </c>
    </row>
    <row r="264" spans="1:5" ht="16" x14ac:dyDescent="0.2">
      <c r="A264" t="s">
        <v>6</v>
      </c>
      <c r="B264">
        <v>253</v>
      </c>
      <c r="D264" t="s">
        <v>8</v>
      </c>
      <c r="E264">
        <v>2436</v>
      </c>
    </row>
    <row r="265" spans="1:5" ht="16" x14ac:dyDescent="0.2">
      <c r="A265" t="s">
        <v>6</v>
      </c>
      <c r="B265">
        <v>157</v>
      </c>
      <c r="D265" t="s">
        <v>8</v>
      </c>
      <c r="E265">
        <v>80</v>
      </c>
    </row>
    <row r="266" spans="1:5" ht="16" x14ac:dyDescent="0.2">
      <c r="A266" t="s">
        <v>6</v>
      </c>
      <c r="B266">
        <v>183</v>
      </c>
      <c r="D266" t="s">
        <v>8</v>
      </c>
      <c r="E266">
        <v>42</v>
      </c>
    </row>
    <row r="267" spans="1:5" ht="16" x14ac:dyDescent="0.2">
      <c r="A267" t="s">
        <v>6</v>
      </c>
      <c r="B267">
        <v>82</v>
      </c>
      <c r="D267" t="s">
        <v>8</v>
      </c>
      <c r="E267">
        <v>139</v>
      </c>
    </row>
    <row r="268" spans="1:5" ht="16" x14ac:dyDescent="0.2">
      <c r="A268" t="s">
        <v>6</v>
      </c>
      <c r="B268">
        <v>1</v>
      </c>
      <c r="D268" t="s">
        <v>8</v>
      </c>
      <c r="E268">
        <v>159</v>
      </c>
    </row>
    <row r="269" spans="1:5" ht="16" hidden="1" x14ac:dyDescent="0.2">
      <c r="A269" t="s">
        <v>5</v>
      </c>
      <c r="B269">
        <v>15</v>
      </c>
      <c r="D269" t="s">
        <v>8</v>
      </c>
      <c r="E269">
        <v>381</v>
      </c>
    </row>
    <row r="270" spans="1:5" ht="16" x14ac:dyDescent="0.2">
      <c r="A270" t="s">
        <v>6</v>
      </c>
      <c r="B270">
        <v>1198</v>
      </c>
      <c r="D270" t="s">
        <v>8</v>
      </c>
      <c r="E270">
        <v>194</v>
      </c>
    </row>
    <row r="271" spans="1:5" ht="16" x14ac:dyDescent="0.2">
      <c r="A271" t="s">
        <v>6</v>
      </c>
      <c r="B271">
        <v>648</v>
      </c>
      <c r="D271" t="s">
        <v>8</v>
      </c>
      <c r="E271">
        <v>106</v>
      </c>
    </row>
    <row r="272" spans="1:5" ht="16" x14ac:dyDescent="0.2">
      <c r="A272" t="s">
        <v>6</v>
      </c>
      <c r="B272">
        <v>64</v>
      </c>
      <c r="D272" t="s">
        <v>8</v>
      </c>
      <c r="E272">
        <v>142</v>
      </c>
    </row>
    <row r="273" spans="1:5" ht="16" x14ac:dyDescent="0.2">
      <c r="A273" t="s">
        <v>6</v>
      </c>
      <c r="B273">
        <v>62</v>
      </c>
      <c r="D273" t="s">
        <v>8</v>
      </c>
      <c r="E273">
        <v>211</v>
      </c>
    </row>
    <row r="274" spans="1:5" ht="16" x14ac:dyDescent="0.2">
      <c r="A274" t="s">
        <v>6</v>
      </c>
      <c r="B274">
        <v>750</v>
      </c>
      <c r="D274" t="s">
        <v>8</v>
      </c>
      <c r="E274">
        <v>2756</v>
      </c>
    </row>
    <row r="275" spans="1:5" ht="16" hidden="1" x14ac:dyDescent="0.2">
      <c r="A275" t="s">
        <v>5</v>
      </c>
      <c r="B275">
        <v>87</v>
      </c>
      <c r="D275" t="s">
        <v>8</v>
      </c>
      <c r="E275">
        <v>173</v>
      </c>
    </row>
    <row r="276" spans="1:5" ht="16" hidden="1" x14ac:dyDescent="0.2">
      <c r="A276" t="s">
        <v>7</v>
      </c>
      <c r="B276">
        <v>278</v>
      </c>
      <c r="D276" t="s">
        <v>8</v>
      </c>
      <c r="E276">
        <v>87</v>
      </c>
    </row>
    <row r="277" spans="1:5" ht="16" x14ac:dyDescent="0.2">
      <c r="A277" t="s">
        <v>6</v>
      </c>
      <c r="B277">
        <v>105</v>
      </c>
      <c r="D277" t="s">
        <v>8</v>
      </c>
      <c r="E277">
        <v>1572</v>
      </c>
    </row>
    <row r="278" spans="1:5" ht="16" hidden="1" x14ac:dyDescent="0.2">
      <c r="A278" t="s">
        <v>5</v>
      </c>
      <c r="B278">
        <v>1658</v>
      </c>
      <c r="D278" t="s">
        <v>8</v>
      </c>
      <c r="E278">
        <v>2346</v>
      </c>
    </row>
    <row r="279" spans="1:5" ht="16" x14ac:dyDescent="0.2">
      <c r="A279" t="s">
        <v>6</v>
      </c>
      <c r="B279">
        <v>2604</v>
      </c>
      <c r="D279" t="s">
        <v>8</v>
      </c>
      <c r="E279">
        <v>115</v>
      </c>
    </row>
    <row r="280" spans="1:5" ht="16" x14ac:dyDescent="0.2">
      <c r="A280" t="s">
        <v>6</v>
      </c>
      <c r="B280">
        <v>65</v>
      </c>
      <c r="D280" t="s">
        <v>8</v>
      </c>
      <c r="E280">
        <v>85</v>
      </c>
    </row>
    <row r="281" spans="1:5" ht="16" x14ac:dyDescent="0.2">
      <c r="A281" t="s">
        <v>6</v>
      </c>
      <c r="B281">
        <v>94</v>
      </c>
      <c r="D281" t="s">
        <v>8</v>
      </c>
      <c r="E281">
        <v>144</v>
      </c>
    </row>
    <row r="282" spans="1:5" ht="16" hidden="1" x14ac:dyDescent="0.2">
      <c r="A282" t="s">
        <v>7</v>
      </c>
      <c r="B282">
        <v>45</v>
      </c>
      <c r="D282" t="s">
        <v>8</v>
      </c>
      <c r="E282">
        <v>2443</v>
      </c>
    </row>
    <row r="283" spans="1:5" ht="16" x14ac:dyDescent="0.2">
      <c r="A283" t="s">
        <v>6</v>
      </c>
      <c r="B283">
        <v>257</v>
      </c>
      <c r="D283" t="s">
        <v>8</v>
      </c>
      <c r="E283">
        <v>64</v>
      </c>
    </row>
    <row r="284" spans="1:5" ht="16" x14ac:dyDescent="0.2">
      <c r="A284" t="s">
        <v>6</v>
      </c>
      <c r="B284">
        <v>2928</v>
      </c>
      <c r="D284" t="s">
        <v>8</v>
      </c>
      <c r="E284">
        <v>268</v>
      </c>
    </row>
    <row r="285" spans="1:5" ht="16" x14ac:dyDescent="0.2">
      <c r="A285" t="s">
        <v>6</v>
      </c>
      <c r="B285">
        <v>4697</v>
      </c>
      <c r="D285" t="s">
        <v>8</v>
      </c>
      <c r="E285">
        <v>195</v>
      </c>
    </row>
    <row r="286" spans="1:5" ht="16" x14ac:dyDescent="0.2">
      <c r="A286" t="s">
        <v>6</v>
      </c>
      <c r="B286">
        <v>2915</v>
      </c>
      <c r="D286" t="s">
        <v>8</v>
      </c>
      <c r="E286">
        <v>186</v>
      </c>
    </row>
    <row r="287" spans="1:5" ht="16" x14ac:dyDescent="0.2">
      <c r="A287" t="s">
        <v>6</v>
      </c>
      <c r="B287">
        <v>18</v>
      </c>
      <c r="D287" t="s">
        <v>8</v>
      </c>
      <c r="E287">
        <v>460</v>
      </c>
    </row>
    <row r="288" spans="1:5" ht="16" hidden="1" x14ac:dyDescent="0.2">
      <c r="A288" t="s">
        <v>5</v>
      </c>
      <c r="B288">
        <v>723</v>
      </c>
      <c r="D288" t="s">
        <v>8</v>
      </c>
      <c r="E288">
        <v>2528</v>
      </c>
    </row>
    <row r="289" spans="1:5" ht="16" x14ac:dyDescent="0.2">
      <c r="A289" t="s">
        <v>6</v>
      </c>
      <c r="B289">
        <v>602</v>
      </c>
      <c r="D289" t="s">
        <v>8</v>
      </c>
      <c r="E289">
        <v>3657</v>
      </c>
    </row>
    <row r="290" spans="1:5" ht="16" x14ac:dyDescent="0.2">
      <c r="A290" t="s">
        <v>6</v>
      </c>
      <c r="B290">
        <v>1</v>
      </c>
      <c r="D290" t="s">
        <v>8</v>
      </c>
      <c r="E290">
        <v>131</v>
      </c>
    </row>
    <row r="291" spans="1:5" ht="16" x14ac:dyDescent="0.2">
      <c r="A291" t="s">
        <v>6</v>
      </c>
      <c r="B291">
        <v>3868</v>
      </c>
      <c r="D291" t="s">
        <v>8</v>
      </c>
      <c r="E291">
        <v>239</v>
      </c>
    </row>
    <row r="292" spans="1:5" ht="16" x14ac:dyDescent="0.2">
      <c r="A292" t="s">
        <v>6</v>
      </c>
      <c r="B292">
        <v>504</v>
      </c>
      <c r="D292" t="s">
        <v>8</v>
      </c>
      <c r="E292">
        <v>78</v>
      </c>
    </row>
    <row r="293" spans="1:5" ht="16" x14ac:dyDescent="0.2">
      <c r="A293" t="s">
        <v>6</v>
      </c>
      <c r="B293">
        <v>14</v>
      </c>
      <c r="D293" t="s">
        <v>8</v>
      </c>
      <c r="E293">
        <v>1773</v>
      </c>
    </row>
    <row r="294" spans="1:5" ht="16" hidden="1" x14ac:dyDescent="0.2">
      <c r="A294" t="s">
        <v>5</v>
      </c>
      <c r="B294">
        <v>390</v>
      </c>
      <c r="D294" t="s">
        <v>8</v>
      </c>
      <c r="E294">
        <v>32</v>
      </c>
    </row>
    <row r="295" spans="1:5" ht="16" x14ac:dyDescent="0.2">
      <c r="A295" t="s">
        <v>6</v>
      </c>
      <c r="B295">
        <v>750</v>
      </c>
      <c r="D295" t="s">
        <v>8</v>
      </c>
      <c r="E295">
        <v>369</v>
      </c>
    </row>
    <row r="296" spans="1:5" ht="16" x14ac:dyDescent="0.2">
      <c r="A296" t="s">
        <v>6</v>
      </c>
      <c r="B296">
        <v>77</v>
      </c>
      <c r="D296" t="s">
        <v>8</v>
      </c>
      <c r="E296">
        <v>89</v>
      </c>
    </row>
    <row r="297" spans="1:5" ht="16" x14ac:dyDescent="0.2">
      <c r="A297" t="s">
        <v>6</v>
      </c>
      <c r="B297">
        <v>752</v>
      </c>
      <c r="D297" t="s">
        <v>8</v>
      </c>
      <c r="E297">
        <v>147</v>
      </c>
    </row>
    <row r="298" spans="1:5" ht="16" x14ac:dyDescent="0.2">
      <c r="A298" t="s">
        <v>6</v>
      </c>
      <c r="B298">
        <v>131</v>
      </c>
      <c r="D298" t="s">
        <v>8</v>
      </c>
      <c r="E298">
        <v>126</v>
      </c>
    </row>
    <row r="299" spans="1:5" ht="16" x14ac:dyDescent="0.2">
      <c r="A299" t="s">
        <v>6</v>
      </c>
      <c r="B299">
        <v>87</v>
      </c>
      <c r="D299" t="s">
        <v>8</v>
      </c>
      <c r="E299">
        <v>2218</v>
      </c>
    </row>
    <row r="300" spans="1:5" ht="16" x14ac:dyDescent="0.2">
      <c r="A300" t="s">
        <v>6</v>
      </c>
      <c r="B300">
        <v>1063</v>
      </c>
      <c r="D300" t="s">
        <v>8</v>
      </c>
      <c r="E300">
        <v>202</v>
      </c>
    </row>
    <row r="301" spans="1:5" ht="16" hidden="1" x14ac:dyDescent="0.2">
      <c r="A301" t="s">
        <v>5</v>
      </c>
      <c r="B301">
        <v>25</v>
      </c>
      <c r="D301" t="s">
        <v>8</v>
      </c>
      <c r="E301">
        <v>140</v>
      </c>
    </row>
    <row r="302" spans="1:5" ht="16" x14ac:dyDescent="0.2">
      <c r="A302" t="s">
        <v>6</v>
      </c>
      <c r="B302">
        <v>76</v>
      </c>
      <c r="D302" t="s">
        <v>8</v>
      </c>
      <c r="E302">
        <v>1052</v>
      </c>
    </row>
    <row r="303" spans="1:5" ht="16" x14ac:dyDescent="0.2">
      <c r="A303" t="s">
        <v>6</v>
      </c>
      <c r="B303">
        <v>4428</v>
      </c>
      <c r="D303" t="s">
        <v>8</v>
      </c>
      <c r="E303">
        <v>247</v>
      </c>
    </row>
    <row r="304" spans="1:5" ht="16" x14ac:dyDescent="0.2">
      <c r="A304" t="s">
        <v>6</v>
      </c>
      <c r="B304">
        <v>58</v>
      </c>
      <c r="D304" t="s">
        <v>8</v>
      </c>
      <c r="E304">
        <v>84</v>
      </c>
    </row>
    <row r="305" spans="1:5" ht="16" hidden="1" x14ac:dyDescent="0.2">
      <c r="A305" t="s">
        <v>5</v>
      </c>
      <c r="B305">
        <v>1218</v>
      </c>
      <c r="D305" t="s">
        <v>8</v>
      </c>
      <c r="E305">
        <v>88</v>
      </c>
    </row>
    <row r="306" spans="1:5" ht="16" x14ac:dyDescent="0.2">
      <c r="A306" t="s">
        <v>6</v>
      </c>
      <c r="B306">
        <v>111</v>
      </c>
      <c r="D306" t="s">
        <v>8</v>
      </c>
      <c r="E306">
        <v>156</v>
      </c>
    </row>
    <row r="307" spans="1:5" ht="16" hidden="1" x14ac:dyDescent="0.2">
      <c r="A307" t="s">
        <v>5</v>
      </c>
      <c r="B307">
        <v>215</v>
      </c>
      <c r="D307" t="s">
        <v>8</v>
      </c>
      <c r="E307">
        <v>2985</v>
      </c>
    </row>
    <row r="308" spans="1:5" ht="16" x14ac:dyDescent="0.2">
      <c r="A308" t="s">
        <v>6</v>
      </c>
      <c r="B308">
        <v>2955</v>
      </c>
      <c r="D308" t="s">
        <v>8</v>
      </c>
      <c r="E308">
        <v>762</v>
      </c>
    </row>
    <row r="309" spans="1:5" ht="16" x14ac:dyDescent="0.2">
      <c r="A309" t="s">
        <v>6</v>
      </c>
      <c r="B309">
        <v>1657</v>
      </c>
      <c r="D309" t="s">
        <v>8</v>
      </c>
      <c r="E309">
        <v>554</v>
      </c>
    </row>
    <row r="310" spans="1:5" ht="16" x14ac:dyDescent="0.2">
      <c r="A310" t="s">
        <v>6</v>
      </c>
      <c r="B310">
        <v>926</v>
      </c>
      <c r="D310" t="s">
        <v>8</v>
      </c>
      <c r="E310">
        <v>135</v>
      </c>
    </row>
    <row r="311" spans="1:5" ht="16" x14ac:dyDescent="0.2">
      <c r="A311" t="s">
        <v>6</v>
      </c>
      <c r="B311">
        <v>77</v>
      </c>
      <c r="D311" t="s">
        <v>8</v>
      </c>
      <c r="E311">
        <v>122</v>
      </c>
    </row>
    <row r="312" spans="1:5" ht="16" x14ac:dyDescent="0.2">
      <c r="A312" t="s">
        <v>6</v>
      </c>
      <c r="B312">
        <v>1748</v>
      </c>
      <c r="D312" t="s">
        <v>8</v>
      </c>
      <c r="E312">
        <v>221</v>
      </c>
    </row>
    <row r="313" spans="1:5" ht="16" x14ac:dyDescent="0.2">
      <c r="A313" t="s">
        <v>6</v>
      </c>
      <c r="B313">
        <v>79</v>
      </c>
      <c r="D313" t="s">
        <v>8</v>
      </c>
      <c r="E313">
        <v>126</v>
      </c>
    </row>
    <row r="314" spans="1:5" ht="16" x14ac:dyDescent="0.2">
      <c r="A314" t="s">
        <v>6</v>
      </c>
      <c r="B314">
        <v>889</v>
      </c>
      <c r="D314" t="s">
        <v>8</v>
      </c>
      <c r="E314">
        <v>1022</v>
      </c>
    </row>
    <row r="315" spans="1:5" ht="16" x14ac:dyDescent="0.2">
      <c r="A315" t="s">
        <v>6</v>
      </c>
      <c r="B315">
        <v>56</v>
      </c>
      <c r="D315" t="s">
        <v>8</v>
      </c>
      <c r="E315">
        <v>3177</v>
      </c>
    </row>
    <row r="316" spans="1:5" ht="16" x14ac:dyDescent="0.2">
      <c r="A316" t="s">
        <v>6</v>
      </c>
      <c r="B316">
        <v>1</v>
      </c>
      <c r="D316" t="s">
        <v>8</v>
      </c>
      <c r="E316">
        <v>198</v>
      </c>
    </row>
    <row r="317" spans="1:5" ht="16" x14ac:dyDescent="0.2">
      <c r="A317" t="s">
        <v>6</v>
      </c>
      <c r="B317">
        <v>83</v>
      </c>
      <c r="D317" t="s">
        <v>8</v>
      </c>
      <c r="E317">
        <v>85</v>
      </c>
    </row>
    <row r="318" spans="1:5" ht="16" x14ac:dyDescent="0.2">
      <c r="A318" t="s">
        <v>6</v>
      </c>
      <c r="B318">
        <v>2025</v>
      </c>
      <c r="D318" t="s">
        <v>8</v>
      </c>
      <c r="E318">
        <v>3596</v>
      </c>
    </row>
    <row r="319" spans="1:5" ht="16" x14ac:dyDescent="0.2">
      <c r="A319" t="s">
        <v>6</v>
      </c>
      <c r="B319">
        <v>14</v>
      </c>
      <c r="D319" t="s">
        <v>8</v>
      </c>
      <c r="E319">
        <v>244</v>
      </c>
    </row>
    <row r="320" spans="1:5" ht="16" x14ac:dyDescent="0.2">
      <c r="A320" t="s">
        <v>6</v>
      </c>
      <c r="B320">
        <v>656</v>
      </c>
      <c r="D320" t="s">
        <v>8</v>
      </c>
      <c r="E320">
        <v>5180</v>
      </c>
    </row>
    <row r="321" spans="1:5" ht="16" hidden="1" x14ac:dyDescent="0.2">
      <c r="A321" t="s">
        <v>5</v>
      </c>
      <c r="B321">
        <v>38</v>
      </c>
      <c r="D321" t="s">
        <v>8</v>
      </c>
      <c r="E321">
        <v>589</v>
      </c>
    </row>
    <row r="322" spans="1:5" ht="16" hidden="1" x14ac:dyDescent="0.2">
      <c r="A322" t="s">
        <v>5</v>
      </c>
      <c r="B322">
        <v>60</v>
      </c>
      <c r="D322" t="s">
        <v>8</v>
      </c>
      <c r="E322">
        <v>2725</v>
      </c>
    </row>
    <row r="323" spans="1:5" ht="16" x14ac:dyDescent="0.2">
      <c r="A323" t="s">
        <v>6</v>
      </c>
      <c r="B323">
        <v>1596</v>
      </c>
      <c r="D323" t="s">
        <v>8</v>
      </c>
      <c r="E323">
        <v>300</v>
      </c>
    </row>
    <row r="324" spans="1:5" ht="16" hidden="1" x14ac:dyDescent="0.2">
      <c r="A324" t="s">
        <v>5</v>
      </c>
      <c r="B324">
        <v>524</v>
      </c>
      <c r="D324" t="s">
        <v>8</v>
      </c>
      <c r="E324">
        <v>144</v>
      </c>
    </row>
    <row r="325" spans="1:5" ht="16" x14ac:dyDescent="0.2">
      <c r="A325" t="s">
        <v>6</v>
      </c>
      <c r="B325">
        <v>10</v>
      </c>
      <c r="D325" t="s">
        <v>8</v>
      </c>
      <c r="E325">
        <v>87</v>
      </c>
    </row>
    <row r="326" spans="1:5" ht="16" hidden="1" x14ac:dyDescent="0.2">
      <c r="A326" t="s">
        <v>5</v>
      </c>
      <c r="B326">
        <v>219</v>
      </c>
      <c r="D326" t="s">
        <v>8</v>
      </c>
      <c r="E326">
        <v>3116</v>
      </c>
    </row>
    <row r="327" spans="1:5" ht="16" x14ac:dyDescent="0.2">
      <c r="A327" t="s">
        <v>6</v>
      </c>
      <c r="B327">
        <v>1121</v>
      </c>
      <c r="D327" t="s">
        <v>8</v>
      </c>
      <c r="E327">
        <v>909</v>
      </c>
    </row>
    <row r="328" spans="1:5" ht="16" hidden="1" x14ac:dyDescent="0.2">
      <c r="A328" t="s">
        <v>5</v>
      </c>
      <c r="B328">
        <v>29</v>
      </c>
      <c r="D328" t="s">
        <v>8</v>
      </c>
      <c r="E328">
        <v>1613</v>
      </c>
    </row>
    <row r="329" spans="1:5" ht="16" x14ac:dyDescent="0.2">
      <c r="A329" t="s">
        <v>6</v>
      </c>
      <c r="B329">
        <v>15</v>
      </c>
      <c r="D329" t="s">
        <v>8</v>
      </c>
      <c r="E329">
        <v>136</v>
      </c>
    </row>
    <row r="330" spans="1:5" ht="16" x14ac:dyDescent="0.2">
      <c r="A330" t="s">
        <v>6</v>
      </c>
      <c r="B330">
        <v>191</v>
      </c>
      <c r="D330" t="s">
        <v>8</v>
      </c>
      <c r="E330">
        <v>130</v>
      </c>
    </row>
    <row r="331" spans="1:5" ht="16" x14ac:dyDescent="0.2">
      <c r="A331" t="s">
        <v>6</v>
      </c>
      <c r="B331">
        <v>16</v>
      </c>
      <c r="D331" t="s">
        <v>8</v>
      </c>
      <c r="E331">
        <v>102</v>
      </c>
    </row>
    <row r="332" spans="1:5" ht="16" x14ac:dyDescent="0.2">
      <c r="A332" t="s">
        <v>6</v>
      </c>
      <c r="B332">
        <v>17</v>
      </c>
      <c r="D332" t="s">
        <v>8</v>
      </c>
      <c r="E332">
        <v>4006</v>
      </c>
    </row>
    <row r="333" spans="1:5" ht="16" x14ac:dyDescent="0.2">
      <c r="A333" t="s">
        <v>6</v>
      </c>
      <c r="B333">
        <v>34</v>
      </c>
      <c r="D333" t="s">
        <v>8</v>
      </c>
      <c r="E333">
        <v>1629</v>
      </c>
    </row>
    <row r="334" spans="1:5" ht="16" hidden="1" x14ac:dyDescent="0.2">
      <c r="A334" t="s">
        <v>5</v>
      </c>
      <c r="B334">
        <v>614</v>
      </c>
      <c r="D334" t="s">
        <v>8</v>
      </c>
      <c r="E334">
        <v>2188</v>
      </c>
    </row>
    <row r="335" spans="1:5" ht="16" x14ac:dyDescent="0.2">
      <c r="A335" t="s">
        <v>6</v>
      </c>
      <c r="B335">
        <v>1</v>
      </c>
      <c r="D335" t="s">
        <v>8</v>
      </c>
      <c r="E335">
        <v>2409</v>
      </c>
    </row>
    <row r="336" spans="1:5" ht="16" hidden="1" x14ac:dyDescent="0.2">
      <c r="A336" t="s">
        <v>5</v>
      </c>
      <c r="B336">
        <v>114</v>
      </c>
      <c r="D336" t="s">
        <v>8</v>
      </c>
      <c r="E336">
        <v>194</v>
      </c>
    </row>
    <row r="337" spans="1:5" ht="16" x14ac:dyDescent="0.2">
      <c r="A337" t="s">
        <v>6</v>
      </c>
      <c r="B337">
        <v>1274</v>
      </c>
      <c r="D337" t="s">
        <v>8</v>
      </c>
      <c r="E337">
        <v>1140</v>
      </c>
    </row>
    <row r="338" spans="1:5" ht="16" x14ac:dyDescent="0.2">
      <c r="A338" t="s">
        <v>6</v>
      </c>
      <c r="B338">
        <v>210</v>
      </c>
      <c r="D338" t="s">
        <v>8</v>
      </c>
      <c r="E338">
        <v>102</v>
      </c>
    </row>
    <row r="339" spans="1:5" ht="16" x14ac:dyDescent="0.2">
      <c r="A339" t="s">
        <v>6</v>
      </c>
      <c r="B339">
        <v>248</v>
      </c>
      <c r="D339" t="s">
        <v>8</v>
      </c>
      <c r="E339">
        <v>2857</v>
      </c>
    </row>
    <row r="340" spans="1:5" ht="16" x14ac:dyDescent="0.2">
      <c r="A340" t="s">
        <v>6</v>
      </c>
      <c r="B340">
        <v>513</v>
      </c>
      <c r="D340" t="s">
        <v>8</v>
      </c>
      <c r="E340">
        <v>107</v>
      </c>
    </row>
    <row r="341" spans="1:5" ht="16" x14ac:dyDescent="0.2">
      <c r="A341" t="s">
        <v>6</v>
      </c>
      <c r="B341">
        <v>3410</v>
      </c>
      <c r="D341" t="s">
        <v>8</v>
      </c>
      <c r="E341">
        <v>160</v>
      </c>
    </row>
    <row r="342" spans="1:5" ht="16" hidden="1" x14ac:dyDescent="0.2">
      <c r="A342" t="s">
        <v>5</v>
      </c>
      <c r="B342">
        <v>26</v>
      </c>
      <c r="D342" t="s">
        <v>8</v>
      </c>
      <c r="E342">
        <v>2230</v>
      </c>
    </row>
    <row r="343" spans="1:5" ht="16" x14ac:dyDescent="0.2">
      <c r="A343" t="s">
        <v>6</v>
      </c>
      <c r="B343">
        <v>10</v>
      </c>
      <c r="D343" t="s">
        <v>8</v>
      </c>
      <c r="E343">
        <v>316</v>
      </c>
    </row>
    <row r="344" spans="1:5" ht="16" x14ac:dyDescent="0.2">
      <c r="A344" t="s">
        <v>6</v>
      </c>
      <c r="B344">
        <v>2201</v>
      </c>
      <c r="D344" t="s">
        <v>8</v>
      </c>
      <c r="E344">
        <v>117</v>
      </c>
    </row>
    <row r="345" spans="1:5" ht="16" x14ac:dyDescent="0.2">
      <c r="A345" t="s">
        <v>6</v>
      </c>
      <c r="B345">
        <v>676</v>
      </c>
      <c r="D345" t="s">
        <v>8</v>
      </c>
      <c r="E345">
        <v>6406</v>
      </c>
    </row>
    <row r="346" spans="1:5" ht="16" x14ac:dyDescent="0.2">
      <c r="A346" t="s">
        <v>6</v>
      </c>
      <c r="B346">
        <v>831</v>
      </c>
      <c r="D346" t="s">
        <v>8</v>
      </c>
      <c r="E346">
        <v>192</v>
      </c>
    </row>
    <row r="347" spans="1:5" ht="16" hidden="1" x14ac:dyDescent="0.2">
      <c r="A347" t="s">
        <v>5</v>
      </c>
      <c r="B347">
        <v>56</v>
      </c>
      <c r="D347" t="s">
        <v>8</v>
      </c>
      <c r="E347">
        <v>26</v>
      </c>
    </row>
    <row r="348" spans="1:5" ht="16" x14ac:dyDescent="0.2">
      <c r="A348" t="s">
        <v>6</v>
      </c>
      <c r="B348">
        <v>859</v>
      </c>
      <c r="D348" t="s">
        <v>8</v>
      </c>
      <c r="E348">
        <v>723</v>
      </c>
    </row>
    <row r="349" spans="1:5" ht="16" hidden="1" x14ac:dyDescent="0.2">
      <c r="A349" t="s">
        <v>7</v>
      </c>
      <c r="B349">
        <v>31</v>
      </c>
      <c r="D349" t="s">
        <v>8</v>
      </c>
      <c r="E349">
        <v>170</v>
      </c>
    </row>
    <row r="350" spans="1:5" ht="16" x14ac:dyDescent="0.2">
      <c r="A350" t="s">
        <v>6</v>
      </c>
      <c r="B350">
        <v>45</v>
      </c>
      <c r="D350" t="s">
        <v>8</v>
      </c>
      <c r="E350">
        <v>238</v>
      </c>
    </row>
    <row r="351" spans="1:5" ht="16" hidden="1" x14ac:dyDescent="0.2">
      <c r="A351" t="s">
        <v>5</v>
      </c>
      <c r="B351">
        <v>1113</v>
      </c>
      <c r="D351" t="s">
        <v>8</v>
      </c>
      <c r="E351">
        <v>55</v>
      </c>
    </row>
    <row r="352" spans="1:5" ht="16" x14ac:dyDescent="0.2">
      <c r="A352" t="s">
        <v>6</v>
      </c>
      <c r="B352">
        <v>6</v>
      </c>
      <c r="D352" t="s">
        <v>8</v>
      </c>
      <c r="E352">
        <v>128</v>
      </c>
    </row>
    <row r="353" spans="1:5" ht="16" x14ac:dyDescent="0.2">
      <c r="A353" t="s">
        <v>6</v>
      </c>
      <c r="B353">
        <v>7</v>
      </c>
      <c r="D353" t="s">
        <v>8</v>
      </c>
      <c r="E353">
        <v>2144</v>
      </c>
    </row>
    <row r="354" spans="1:5" ht="16" x14ac:dyDescent="0.2">
      <c r="A354" t="s">
        <v>6</v>
      </c>
      <c r="B354">
        <v>31</v>
      </c>
      <c r="D354" t="s">
        <v>8</v>
      </c>
      <c r="E354">
        <v>2693</v>
      </c>
    </row>
    <row r="355" spans="1:5" ht="16" x14ac:dyDescent="0.2">
      <c r="A355" t="s">
        <v>6</v>
      </c>
      <c r="B355">
        <v>78</v>
      </c>
      <c r="D355" t="s">
        <v>8</v>
      </c>
      <c r="E355">
        <v>432</v>
      </c>
    </row>
    <row r="356" spans="1:5" ht="16" x14ac:dyDescent="0.2">
      <c r="A356" t="s">
        <v>6</v>
      </c>
      <c r="B356">
        <v>1225</v>
      </c>
      <c r="D356" t="s">
        <v>8</v>
      </c>
      <c r="E356">
        <v>189</v>
      </c>
    </row>
    <row r="357" spans="1:5" ht="16" x14ac:dyDescent="0.2">
      <c r="A357" t="s">
        <v>6</v>
      </c>
      <c r="B357">
        <v>1</v>
      </c>
      <c r="D357" t="s">
        <v>8</v>
      </c>
      <c r="E357">
        <v>154</v>
      </c>
    </row>
    <row r="358" spans="1:5" ht="16" x14ac:dyDescent="0.2">
      <c r="A358" t="s">
        <v>6</v>
      </c>
      <c r="B358">
        <v>67</v>
      </c>
      <c r="D358" t="s">
        <v>8</v>
      </c>
      <c r="E358">
        <v>96</v>
      </c>
    </row>
    <row r="359" spans="1:5" ht="16" x14ac:dyDescent="0.2">
      <c r="A359" t="s">
        <v>6</v>
      </c>
      <c r="B359">
        <v>19</v>
      </c>
      <c r="D359" t="s">
        <v>8</v>
      </c>
      <c r="E359">
        <v>3063</v>
      </c>
    </row>
    <row r="360" spans="1:5" ht="16" x14ac:dyDescent="0.2">
      <c r="A360" t="s">
        <v>6</v>
      </c>
      <c r="B360">
        <v>2108</v>
      </c>
      <c r="D360" t="s">
        <v>8</v>
      </c>
      <c r="E360">
        <v>2266</v>
      </c>
    </row>
    <row r="361" spans="1:5" ht="16" x14ac:dyDescent="0.2">
      <c r="A361" t="s">
        <v>6</v>
      </c>
      <c r="B361">
        <v>679</v>
      </c>
      <c r="D361" t="s">
        <v>8</v>
      </c>
      <c r="E361">
        <v>194</v>
      </c>
    </row>
    <row r="362" spans="1:5" ht="16" x14ac:dyDescent="0.2">
      <c r="A362" t="s">
        <v>6</v>
      </c>
      <c r="B362">
        <v>36</v>
      </c>
      <c r="D362" t="s">
        <v>8</v>
      </c>
      <c r="E362">
        <v>129</v>
      </c>
    </row>
    <row r="363" spans="1:5" ht="16" x14ac:dyDescent="0.2">
      <c r="A363" t="s">
        <v>6</v>
      </c>
      <c r="B363">
        <v>47</v>
      </c>
      <c r="D363" t="s">
        <v>8</v>
      </c>
      <c r="E363">
        <v>375</v>
      </c>
    </row>
    <row r="364" spans="1:5" ht="16" x14ac:dyDescent="0.2">
      <c r="A364" t="s">
        <v>6</v>
      </c>
      <c r="B364">
        <v>70</v>
      </c>
      <c r="D364" t="s">
        <v>8</v>
      </c>
      <c r="E364">
        <v>409</v>
      </c>
    </row>
    <row r="365" spans="1:5" ht="16" x14ac:dyDescent="0.2">
      <c r="A365" t="s">
        <v>6</v>
      </c>
      <c r="B365">
        <v>154</v>
      </c>
      <c r="D365" t="s">
        <v>8</v>
      </c>
      <c r="E365">
        <v>234</v>
      </c>
    </row>
    <row r="366" spans="1:5" ht="16" x14ac:dyDescent="0.2">
      <c r="A366" t="s">
        <v>6</v>
      </c>
      <c r="B366">
        <v>22</v>
      </c>
      <c r="D366" t="s">
        <v>8</v>
      </c>
      <c r="E366">
        <v>3016</v>
      </c>
    </row>
    <row r="367" spans="1:5" ht="16" x14ac:dyDescent="0.2">
      <c r="A367" t="s">
        <v>6</v>
      </c>
      <c r="B367">
        <v>1758</v>
      </c>
      <c r="D367" t="s">
        <v>8</v>
      </c>
      <c r="E367">
        <v>264</v>
      </c>
    </row>
    <row r="368" spans="1:5" ht="16" x14ac:dyDescent="0.2">
      <c r="A368" t="s">
        <v>6</v>
      </c>
      <c r="B368">
        <v>94</v>
      </c>
      <c r="D368" t="s">
        <v>8</v>
      </c>
      <c r="E368">
        <v>272</v>
      </c>
    </row>
    <row r="369" spans="1:5" ht="16" x14ac:dyDescent="0.2">
      <c r="A369" t="s">
        <v>6</v>
      </c>
      <c r="B369">
        <v>33</v>
      </c>
      <c r="D369" t="s">
        <v>8</v>
      </c>
      <c r="E369">
        <v>419</v>
      </c>
    </row>
    <row r="370" spans="1:5" ht="16" hidden="1" x14ac:dyDescent="0.2">
      <c r="A370" t="s">
        <v>5</v>
      </c>
      <c r="B370">
        <v>94</v>
      </c>
      <c r="D370" t="s">
        <v>8</v>
      </c>
      <c r="E370">
        <v>1621</v>
      </c>
    </row>
    <row r="371" spans="1:5" ht="16" x14ac:dyDescent="0.2">
      <c r="A371" t="s">
        <v>6</v>
      </c>
      <c r="B371">
        <v>1</v>
      </c>
      <c r="D371" t="s">
        <v>8</v>
      </c>
      <c r="E371">
        <v>1101</v>
      </c>
    </row>
    <row r="372" spans="1:5" ht="16" x14ac:dyDescent="0.2">
      <c r="A372" t="s">
        <v>6</v>
      </c>
      <c r="B372">
        <v>31</v>
      </c>
      <c r="D372" t="s">
        <v>8</v>
      </c>
      <c r="E372">
        <v>1073</v>
      </c>
    </row>
    <row r="373" spans="1:5" ht="16" x14ac:dyDescent="0.2">
      <c r="A373" t="s">
        <v>6</v>
      </c>
      <c r="B373">
        <v>35</v>
      </c>
      <c r="D373" t="s">
        <v>8</v>
      </c>
      <c r="E373">
        <v>331</v>
      </c>
    </row>
    <row r="374" spans="1:5" ht="16" x14ac:dyDescent="0.2">
      <c r="A374" t="s">
        <v>6</v>
      </c>
      <c r="B374">
        <v>63</v>
      </c>
      <c r="D374" t="s">
        <v>8</v>
      </c>
      <c r="E374">
        <v>1170</v>
      </c>
    </row>
    <row r="375" spans="1:5" ht="16" hidden="1" x14ac:dyDescent="0.2">
      <c r="A375" t="s">
        <v>5</v>
      </c>
      <c r="B375">
        <v>898</v>
      </c>
      <c r="D375" t="s">
        <v>8</v>
      </c>
      <c r="E375">
        <v>363</v>
      </c>
    </row>
    <row r="376" spans="1:5" ht="16" x14ac:dyDescent="0.2">
      <c r="A376" t="s">
        <v>6</v>
      </c>
      <c r="B376">
        <v>526</v>
      </c>
      <c r="D376" t="s">
        <v>8</v>
      </c>
      <c r="E376">
        <v>103</v>
      </c>
    </row>
    <row r="377" spans="1:5" ht="16" x14ac:dyDescent="0.2">
      <c r="A377" t="s">
        <v>6</v>
      </c>
      <c r="B377">
        <v>121</v>
      </c>
      <c r="D377" t="s">
        <v>8</v>
      </c>
      <c r="E377">
        <v>147</v>
      </c>
    </row>
    <row r="378" spans="1:5" ht="16" x14ac:dyDescent="0.2">
      <c r="A378" t="s">
        <v>6</v>
      </c>
      <c r="B378">
        <v>67</v>
      </c>
      <c r="D378" t="s">
        <v>8</v>
      </c>
      <c r="E378">
        <v>110</v>
      </c>
    </row>
    <row r="379" spans="1:5" ht="16" x14ac:dyDescent="0.2">
      <c r="A379" t="s">
        <v>6</v>
      </c>
      <c r="B379">
        <v>57</v>
      </c>
      <c r="D379" t="s">
        <v>8</v>
      </c>
      <c r="E379">
        <v>134</v>
      </c>
    </row>
    <row r="380" spans="1:5" ht="16" x14ac:dyDescent="0.2">
      <c r="A380" t="s">
        <v>6</v>
      </c>
      <c r="B380">
        <v>1229</v>
      </c>
      <c r="D380" t="s">
        <v>8</v>
      </c>
      <c r="E380">
        <v>269</v>
      </c>
    </row>
    <row r="381" spans="1:5" ht="16" x14ac:dyDescent="0.2">
      <c r="A381" t="s">
        <v>6</v>
      </c>
      <c r="B381">
        <v>12</v>
      </c>
      <c r="D381" t="s">
        <v>8</v>
      </c>
      <c r="E381">
        <v>175</v>
      </c>
    </row>
    <row r="382" spans="1:5" ht="16" x14ac:dyDescent="0.2">
      <c r="A382" t="s">
        <v>6</v>
      </c>
      <c r="B382">
        <v>452</v>
      </c>
      <c r="D382" t="s">
        <v>8</v>
      </c>
      <c r="E382">
        <v>69</v>
      </c>
    </row>
    <row r="383" spans="1:5" ht="16" x14ac:dyDescent="0.2">
      <c r="A383" t="s">
        <v>6</v>
      </c>
      <c r="B383">
        <v>1886</v>
      </c>
      <c r="D383" t="s">
        <v>8</v>
      </c>
      <c r="E383">
        <v>190</v>
      </c>
    </row>
    <row r="384" spans="1:5" ht="16" x14ac:dyDescent="0.2">
      <c r="A384" t="s">
        <v>6</v>
      </c>
      <c r="B384">
        <v>1825</v>
      </c>
      <c r="D384" t="s">
        <v>8</v>
      </c>
      <c r="E384">
        <v>237</v>
      </c>
    </row>
    <row r="385" spans="1:5" ht="16" x14ac:dyDescent="0.2">
      <c r="A385" t="s">
        <v>6</v>
      </c>
      <c r="B385">
        <v>31</v>
      </c>
      <c r="D385" t="s">
        <v>8</v>
      </c>
      <c r="E385">
        <v>196</v>
      </c>
    </row>
    <row r="386" spans="1:5" ht="16" x14ac:dyDescent="0.2">
      <c r="A386" t="s">
        <v>6</v>
      </c>
      <c r="B386">
        <v>107</v>
      </c>
      <c r="D386" t="s">
        <v>8</v>
      </c>
      <c r="E386">
        <v>7295</v>
      </c>
    </row>
    <row r="387" spans="1:5" ht="16" x14ac:dyDescent="0.2">
      <c r="A387" t="s">
        <v>6</v>
      </c>
      <c r="B387">
        <v>27</v>
      </c>
      <c r="D387" t="s">
        <v>8</v>
      </c>
      <c r="E387">
        <v>2893</v>
      </c>
    </row>
    <row r="388" spans="1:5" ht="16" x14ac:dyDescent="0.2">
      <c r="A388" t="s">
        <v>6</v>
      </c>
      <c r="B388">
        <v>1221</v>
      </c>
      <c r="D388" t="s">
        <v>8</v>
      </c>
      <c r="E388">
        <v>820</v>
      </c>
    </row>
    <row r="389" spans="1:5" ht="16" x14ac:dyDescent="0.2">
      <c r="A389" t="s">
        <v>6</v>
      </c>
      <c r="B389">
        <v>1</v>
      </c>
      <c r="D389" t="s">
        <v>8</v>
      </c>
      <c r="E389">
        <v>2038</v>
      </c>
    </row>
    <row r="390" spans="1:5" ht="16" hidden="1" x14ac:dyDescent="0.2">
      <c r="A390" t="s">
        <v>7</v>
      </c>
      <c r="B390">
        <v>14</v>
      </c>
      <c r="D390" t="s">
        <v>8</v>
      </c>
      <c r="E390">
        <v>116</v>
      </c>
    </row>
    <row r="391" spans="1:5" ht="16" x14ac:dyDescent="0.2">
      <c r="A391" t="s">
        <v>6</v>
      </c>
      <c r="B391">
        <v>16</v>
      </c>
      <c r="D391" t="s">
        <v>8</v>
      </c>
      <c r="E391">
        <v>1345</v>
      </c>
    </row>
    <row r="392" spans="1:5" ht="16" x14ac:dyDescent="0.2">
      <c r="A392" t="s">
        <v>6</v>
      </c>
      <c r="B392">
        <v>41</v>
      </c>
      <c r="D392" t="s">
        <v>8</v>
      </c>
      <c r="E392">
        <v>168</v>
      </c>
    </row>
    <row r="393" spans="1:5" ht="16" hidden="1" x14ac:dyDescent="0.2">
      <c r="A393" t="s">
        <v>5</v>
      </c>
      <c r="B393">
        <v>296</v>
      </c>
      <c r="D393" t="s">
        <v>8</v>
      </c>
      <c r="E393">
        <v>137</v>
      </c>
    </row>
    <row r="394" spans="1:5" ht="16" x14ac:dyDescent="0.2">
      <c r="A394" t="s">
        <v>6</v>
      </c>
      <c r="B394">
        <v>523</v>
      </c>
      <c r="D394" t="s">
        <v>8</v>
      </c>
      <c r="E394">
        <v>186</v>
      </c>
    </row>
    <row r="395" spans="1:5" ht="16" x14ac:dyDescent="0.2">
      <c r="A395" t="s">
        <v>6</v>
      </c>
      <c r="B395">
        <v>141</v>
      </c>
      <c r="D395" t="s">
        <v>8</v>
      </c>
      <c r="E395">
        <v>125</v>
      </c>
    </row>
    <row r="396" spans="1:5" ht="16" x14ac:dyDescent="0.2">
      <c r="A396" t="s">
        <v>6</v>
      </c>
      <c r="B396">
        <v>52</v>
      </c>
      <c r="D396" t="s">
        <v>8</v>
      </c>
      <c r="E396">
        <v>202</v>
      </c>
    </row>
    <row r="397" spans="1:5" ht="16" hidden="1" x14ac:dyDescent="0.2">
      <c r="A397" t="s">
        <v>7</v>
      </c>
      <c r="B397">
        <v>27</v>
      </c>
      <c r="D397" t="s">
        <v>8</v>
      </c>
      <c r="E397">
        <v>103</v>
      </c>
    </row>
    <row r="398" spans="1:5" ht="16" x14ac:dyDescent="0.2">
      <c r="A398" t="s">
        <v>6</v>
      </c>
      <c r="B398">
        <v>225</v>
      </c>
      <c r="D398" t="s">
        <v>8</v>
      </c>
      <c r="E398">
        <v>1785</v>
      </c>
    </row>
    <row r="399" spans="1:5" ht="16" x14ac:dyDescent="0.2">
      <c r="A399" t="s">
        <v>6</v>
      </c>
      <c r="B399">
        <v>38</v>
      </c>
      <c r="D399" t="s">
        <v>8</v>
      </c>
      <c r="E399">
        <v>157</v>
      </c>
    </row>
    <row r="400" spans="1:5" ht="16" x14ac:dyDescent="0.2">
      <c r="A400" t="s">
        <v>6</v>
      </c>
      <c r="B400">
        <v>15</v>
      </c>
      <c r="D400" t="s">
        <v>8</v>
      </c>
      <c r="E400">
        <v>555</v>
      </c>
    </row>
    <row r="401" spans="1:5" ht="16" x14ac:dyDescent="0.2">
      <c r="A401" t="s">
        <v>6</v>
      </c>
      <c r="B401">
        <v>37</v>
      </c>
      <c r="D401" t="s">
        <v>8</v>
      </c>
      <c r="E401">
        <v>297</v>
      </c>
    </row>
    <row r="402" spans="1:5" ht="16" x14ac:dyDescent="0.2">
      <c r="A402" t="s">
        <v>6</v>
      </c>
      <c r="B402">
        <v>112</v>
      </c>
      <c r="D402" t="s">
        <v>8</v>
      </c>
      <c r="E402">
        <v>123</v>
      </c>
    </row>
    <row r="403" spans="1:5" ht="16" x14ac:dyDescent="0.2">
      <c r="A403" t="s">
        <v>6</v>
      </c>
      <c r="B403">
        <v>21</v>
      </c>
      <c r="D403" t="s">
        <v>8</v>
      </c>
      <c r="E403">
        <v>3036</v>
      </c>
    </row>
    <row r="404" spans="1:5" ht="16" hidden="1" x14ac:dyDescent="0.2">
      <c r="A404" t="s">
        <v>5</v>
      </c>
      <c r="B404">
        <v>976</v>
      </c>
      <c r="D404" t="s">
        <v>8</v>
      </c>
      <c r="E404">
        <v>144</v>
      </c>
    </row>
    <row r="405" spans="1:5" ht="16" x14ac:dyDescent="0.2">
      <c r="A405" t="s">
        <v>6</v>
      </c>
      <c r="B405">
        <v>67</v>
      </c>
      <c r="D405" t="s">
        <v>8</v>
      </c>
      <c r="E405">
        <v>121</v>
      </c>
    </row>
    <row r="406" spans="1:5" ht="16" hidden="1" x14ac:dyDescent="0.2">
      <c r="A406" t="s">
        <v>7</v>
      </c>
      <c r="B406">
        <v>66</v>
      </c>
      <c r="D406" t="s">
        <v>8</v>
      </c>
      <c r="E406">
        <v>181</v>
      </c>
    </row>
    <row r="407" spans="1:5" ht="16" x14ac:dyDescent="0.2">
      <c r="A407" t="s">
        <v>6</v>
      </c>
      <c r="B407">
        <v>78</v>
      </c>
      <c r="D407" t="s">
        <v>8</v>
      </c>
      <c r="E407">
        <v>122</v>
      </c>
    </row>
    <row r="408" spans="1:5" ht="16" x14ac:dyDescent="0.2">
      <c r="A408" t="s">
        <v>6</v>
      </c>
      <c r="B408">
        <v>67</v>
      </c>
      <c r="D408" t="s">
        <v>8</v>
      </c>
      <c r="E408">
        <v>1071</v>
      </c>
    </row>
    <row r="409" spans="1:5" ht="16" x14ac:dyDescent="0.2">
      <c r="A409" t="s">
        <v>6</v>
      </c>
      <c r="B409">
        <v>263</v>
      </c>
      <c r="D409" t="s">
        <v>8</v>
      </c>
      <c r="E409">
        <v>980</v>
      </c>
    </row>
    <row r="410" spans="1:5" ht="16" x14ac:dyDescent="0.2">
      <c r="A410" t="s">
        <v>6</v>
      </c>
      <c r="B410">
        <v>1691</v>
      </c>
      <c r="D410" t="s">
        <v>8</v>
      </c>
      <c r="E410">
        <v>536</v>
      </c>
    </row>
    <row r="411" spans="1:5" ht="16" x14ac:dyDescent="0.2">
      <c r="A411" t="s">
        <v>6</v>
      </c>
      <c r="B411">
        <v>181</v>
      </c>
      <c r="D411" t="s">
        <v>8</v>
      </c>
      <c r="E411">
        <v>1991</v>
      </c>
    </row>
    <row r="412" spans="1:5" ht="16" x14ac:dyDescent="0.2">
      <c r="A412" t="s">
        <v>6</v>
      </c>
      <c r="B412">
        <v>13</v>
      </c>
      <c r="D412" t="s">
        <v>8</v>
      </c>
      <c r="E412">
        <v>180</v>
      </c>
    </row>
    <row r="413" spans="1:5" ht="16" hidden="1" x14ac:dyDescent="0.2">
      <c r="A413" t="s">
        <v>5</v>
      </c>
      <c r="B413">
        <v>160</v>
      </c>
      <c r="D413" t="s">
        <v>8</v>
      </c>
      <c r="E413">
        <v>130</v>
      </c>
    </row>
    <row r="414" spans="1:5" ht="16" x14ac:dyDescent="0.2">
      <c r="A414" t="s">
        <v>6</v>
      </c>
      <c r="B414">
        <v>1</v>
      </c>
      <c r="D414" t="s">
        <v>8</v>
      </c>
      <c r="E414">
        <v>122</v>
      </c>
    </row>
    <row r="415" spans="1:5" ht="16" hidden="1" x14ac:dyDescent="0.2">
      <c r="A415" t="s">
        <v>5</v>
      </c>
      <c r="B415">
        <v>2266</v>
      </c>
      <c r="D415" t="s">
        <v>8</v>
      </c>
      <c r="E415">
        <v>140</v>
      </c>
    </row>
    <row r="416" spans="1:5" ht="16" x14ac:dyDescent="0.2">
      <c r="A416" t="s">
        <v>6</v>
      </c>
      <c r="B416">
        <v>21</v>
      </c>
      <c r="D416" t="s">
        <v>8</v>
      </c>
      <c r="E416">
        <v>3388</v>
      </c>
    </row>
    <row r="417" spans="1:5" ht="16" x14ac:dyDescent="0.2">
      <c r="A417" t="s">
        <v>6</v>
      </c>
      <c r="B417">
        <v>830</v>
      </c>
      <c r="D417" t="s">
        <v>8</v>
      </c>
      <c r="E417">
        <v>280</v>
      </c>
    </row>
    <row r="418" spans="1:5" ht="16" x14ac:dyDescent="0.2">
      <c r="A418" t="s">
        <v>6</v>
      </c>
      <c r="B418">
        <v>130</v>
      </c>
      <c r="D418" t="s">
        <v>8</v>
      </c>
      <c r="E418">
        <v>366</v>
      </c>
    </row>
    <row r="419" spans="1:5" ht="16" x14ac:dyDescent="0.2">
      <c r="A419" t="s">
        <v>6</v>
      </c>
      <c r="B419">
        <v>55</v>
      </c>
      <c r="D419" t="s">
        <v>8</v>
      </c>
      <c r="E419">
        <v>270</v>
      </c>
    </row>
    <row r="420" spans="1:5" ht="16" x14ac:dyDescent="0.2">
      <c r="A420" t="s">
        <v>6</v>
      </c>
      <c r="B420">
        <v>114</v>
      </c>
      <c r="D420" t="s">
        <v>8</v>
      </c>
      <c r="E420">
        <v>137</v>
      </c>
    </row>
    <row r="421" spans="1:5" ht="16" x14ac:dyDescent="0.2">
      <c r="A421" t="s">
        <v>6</v>
      </c>
      <c r="B421">
        <v>594</v>
      </c>
      <c r="D421" t="s">
        <v>8</v>
      </c>
      <c r="E421">
        <v>3205</v>
      </c>
    </row>
    <row r="422" spans="1:5" ht="16" x14ac:dyDescent="0.2">
      <c r="A422" t="s">
        <v>6</v>
      </c>
      <c r="B422">
        <v>24</v>
      </c>
      <c r="D422" t="s">
        <v>8</v>
      </c>
      <c r="E422">
        <v>288</v>
      </c>
    </row>
    <row r="423" spans="1:5" ht="16" x14ac:dyDescent="0.2">
      <c r="A423" t="s">
        <v>6</v>
      </c>
      <c r="B423">
        <v>252</v>
      </c>
      <c r="D423" t="s">
        <v>8</v>
      </c>
      <c r="E423">
        <v>148</v>
      </c>
    </row>
    <row r="424" spans="1:5" ht="16" x14ac:dyDescent="0.2">
      <c r="A424" t="s">
        <v>6</v>
      </c>
      <c r="B424">
        <v>67</v>
      </c>
      <c r="D424" t="s">
        <v>8</v>
      </c>
      <c r="E424">
        <v>114</v>
      </c>
    </row>
    <row r="425" spans="1:5" ht="16" x14ac:dyDescent="0.2">
      <c r="A425" t="s">
        <v>6</v>
      </c>
      <c r="B425">
        <v>742</v>
      </c>
      <c r="D425" t="s">
        <v>8</v>
      </c>
      <c r="E425">
        <v>1518</v>
      </c>
    </row>
    <row r="426" spans="1:5" ht="16" x14ac:dyDescent="0.2">
      <c r="A426" t="s">
        <v>6</v>
      </c>
      <c r="B426">
        <v>75</v>
      </c>
      <c r="D426" t="s">
        <v>8</v>
      </c>
      <c r="E426">
        <v>166</v>
      </c>
    </row>
    <row r="427" spans="1:5" ht="16" x14ac:dyDescent="0.2">
      <c r="A427" t="s">
        <v>6</v>
      </c>
      <c r="B427">
        <v>4405</v>
      </c>
      <c r="D427" t="s">
        <v>8</v>
      </c>
      <c r="E427">
        <v>100</v>
      </c>
    </row>
    <row r="428" spans="1:5" ht="16" x14ac:dyDescent="0.2">
      <c r="A428" t="s">
        <v>6</v>
      </c>
      <c r="B428">
        <v>92</v>
      </c>
      <c r="D428" t="s">
        <v>8</v>
      </c>
      <c r="E428">
        <v>235</v>
      </c>
    </row>
    <row r="429" spans="1:5" ht="16" x14ac:dyDescent="0.2">
      <c r="A429" t="s">
        <v>6</v>
      </c>
      <c r="B429">
        <v>64</v>
      </c>
      <c r="D429" t="s">
        <v>8</v>
      </c>
      <c r="E429">
        <v>148</v>
      </c>
    </row>
    <row r="430" spans="1:5" ht="16" x14ac:dyDescent="0.2">
      <c r="A430" t="s">
        <v>6</v>
      </c>
      <c r="B430">
        <v>64</v>
      </c>
      <c r="D430" t="s">
        <v>8</v>
      </c>
      <c r="E430">
        <v>198</v>
      </c>
    </row>
    <row r="431" spans="1:5" ht="16" hidden="1" x14ac:dyDescent="0.2">
      <c r="A431" t="s">
        <v>5</v>
      </c>
      <c r="B431">
        <v>75</v>
      </c>
      <c r="D431" t="s">
        <v>8</v>
      </c>
      <c r="E431">
        <v>150</v>
      </c>
    </row>
    <row r="432" spans="1:5" ht="16" x14ac:dyDescent="0.2">
      <c r="A432" t="s">
        <v>6</v>
      </c>
      <c r="B432">
        <v>842</v>
      </c>
      <c r="D432" t="s">
        <v>8</v>
      </c>
      <c r="E432">
        <v>216</v>
      </c>
    </row>
    <row r="433" spans="1:5" ht="16" x14ac:dyDescent="0.2">
      <c r="A433" t="s">
        <v>6</v>
      </c>
      <c r="B433">
        <v>112</v>
      </c>
      <c r="D433" t="s">
        <v>8</v>
      </c>
      <c r="E433">
        <v>5139</v>
      </c>
    </row>
    <row r="434" spans="1:5" ht="16" hidden="1" x14ac:dyDescent="0.2">
      <c r="A434" t="s">
        <v>5</v>
      </c>
      <c r="B434">
        <v>139</v>
      </c>
      <c r="D434" t="s">
        <v>8</v>
      </c>
      <c r="E434">
        <v>2353</v>
      </c>
    </row>
    <row r="435" spans="1:5" ht="16" x14ac:dyDescent="0.2">
      <c r="A435" t="s">
        <v>6</v>
      </c>
      <c r="B435">
        <v>374</v>
      </c>
      <c r="D435" t="s">
        <v>8</v>
      </c>
      <c r="E435">
        <v>78</v>
      </c>
    </row>
    <row r="436" spans="1:5" ht="16" hidden="1" x14ac:dyDescent="0.2">
      <c r="A436" t="s">
        <v>5</v>
      </c>
      <c r="B436">
        <v>1122</v>
      </c>
      <c r="D436" t="s">
        <v>8</v>
      </c>
      <c r="E436">
        <v>174</v>
      </c>
    </row>
    <row r="437" spans="1:5" ht="15.75" customHeight="1" x14ac:dyDescent="0.2">
      <c r="D437" t="s">
        <v>8</v>
      </c>
      <c r="E437">
        <v>164</v>
      </c>
    </row>
    <row r="438" spans="1:5" ht="15.75" customHeight="1" x14ac:dyDescent="0.2">
      <c r="D438" t="s">
        <v>8</v>
      </c>
      <c r="E438">
        <v>161</v>
      </c>
    </row>
    <row r="439" spans="1:5" ht="15.75" customHeight="1" x14ac:dyDescent="0.2">
      <c r="D439" t="s">
        <v>8</v>
      </c>
      <c r="E439">
        <v>138</v>
      </c>
    </row>
    <row r="440" spans="1:5" ht="15.75" customHeight="1" x14ac:dyDescent="0.2">
      <c r="D440" t="s">
        <v>8</v>
      </c>
      <c r="E440">
        <v>3308</v>
      </c>
    </row>
    <row r="441" spans="1:5" ht="15.75" customHeight="1" x14ac:dyDescent="0.2">
      <c r="D441" t="s">
        <v>8</v>
      </c>
      <c r="E441">
        <v>127</v>
      </c>
    </row>
    <row r="442" spans="1:5" ht="15.75" customHeight="1" x14ac:dyDescent="0.2">
      <c r="D442" t="s">
        <v>8</v>
      </c>
      <c r="E442">
        <v>207</v>
      </c>
    </row>
    <row r="443" spans="1:5" ht="15.75" customHeight="1" x14ac:dyDescent="0.2">
      <c r="D443" t="s">
        <v>8</v>
      </c>
      <c r="E443">
        <v>181</v>
      </c>
    </row>
    <row r="444" spans="1:5" ht="15.75" customHeight="1" x14ac:dyDescent="0.2">
      <c r="D444" t="s">
        <v>8</v>
      </c>
      <c r="E444">
        <v>110</v>
      </c>
    </row>
    <row r="445" spans="1:5" ht="15.75" customHeight="1" x14ac:dyDescent="0.2">
      <c r="D445" t="s">
        <v>8</v>
      </c>
      <c r="E445">
        <v>185</v>
      </c>
    </row>
    <row r="446" spans="1:5" ht="15.75" customHeight="1" x14ac:dyDescent="0.2">
      <c r="D446" t="s">
        <v>8</v>
      </c>
      <c r="E446">
        <v>121</v>
      </c>
    </row>
    <row r="447" spans="1:5" ht="15.75" customHeight="1" x14ac:dyDescent="0.2">
      <c r="D447" t="s">
        <v>8</v>
      </c>
      <c r="E447">
        <v>106</v>
      </c>
    </row>
    <row r="448" spans="1:5" ht="15.75" customHeight="1" x14ac:dyDescent="0.2">
      <c r="D448" t="s">
        <v>8</v>
      </c>
      <c r="E448">
        <v>142</v>
      </c>
    </row>
    <row r="449" spans="4:5" ht="15.75" customHeight="1" x14ac:dyDescent="0.2">
      <c r="D449" t="s">
        <v>8</v>
      </c>
      <c r="E449">
        <v>233</v>
      </c>
    </row>
    <row r="450" spans="4:5" ht="15.75" customHeight="1" x14ac:dyDescent="0.2">
      <c r="D450" t="s">
        <v>8</v>
      </c>
      <c r="E450">
        <v>218</v>
      </c>
    </row>
    <row r="451" spans="4:5" ht="15.75" customHeight="1" x14ac:dyDescent="0.2">
      <c r="D451" t="s">
        <v>8</v>
      </c>
      <c r="E451">
        <v>76</v>
      </c>
    </row>
    <row r="452" spans="4:5" ht="15.75" customHeight="1" x14ac:dyDescent="0.2">
      <c r="D452" t="s">
        <v>8</v>
      </c>
      <c r="E452">
        <v>43</v>
      </c>
    </row>
    <row r="453" spans="4:5" ht="15.75" customHeight="1" x14ac:dyDescent="0.2">
      <c r="D453" t="s">
        <v>8</v>
      </c>
      <c r="E453">
        <v>221</v>
      </c>
    </row>
    <row r="454" spans="4:5" ht="15.75" customHeight="1" x14ac:dyDescent="0.2">
      <c r="D454" t="s">
        <v>8</v>
      </c>
      <c r="E454">
        <v>2805</v>
      </c>
    </row>
    <row r="455" spans="4:5" ht="15.75" customHeight="1" x14ac:dyDescent="0.2">
      <c r="D455" t="s">
        <v>8</v>
      </c>
      <c r="E455">
        <v>68</v>
      </c>
    </row>
    <row r="456" spans="4:5" ht="15.75" customHeight="1" x14ac:dyDescent="0.2">
      <c r="D456" t="s">
        <v>8</v>
      </c>
      <c r="E456">
        <v>183</v>
      </c>
    </row>
    <row r="457" spans="4:5" ht="15.75" customHeight="1" x14ac:dyDescent="0.2">
      <c r="D457" t="s">
        <v>8</v>
      </c>
      <c r="E457">
        <v>133</v>
      </c>
    </row>
    <row r="458" spans="4:5" ht="15.75" customHeight="1" x14ac:dyDescent="0.2">
      <c r="D458" t="s">
        <v>8</v>
      </c>
      <c r="E458">
        <v>2489</v>
      </c>
    </row>
    <row r="459" spans="4:5" ht="15.75" customHeight="1" x14ac:dyDescent="0.2">
      <c r="D459" t="s">
        <v>8</v>
      </c>
      <c r="E459">
        <v>69</v>
      </c>
    </row>
    <row r="460" spans="4:5" ht="15.75" customHeight="1" x14ac:dyDescent="0.2">
      <c r="D460" t="s">
        <v>8</v>
      </c>
      <c r="E460">
        <v>279</v>
      </c>
    </row>
    <row r="461" spans="4:5" ht="15.75" customHeight="1" x14ac:dyDescent="0.2">
      <c r="D461" t="s">
        <v>8</v>
      </c>
      <c r="E461">
        <v>210</v>
      </c>
    </row>
    <row r="462" spans="4:5" ht="15.75" customHeight="1" x14ac:dyDescent="0.2">
      <c r="D462" t="s">
        <v>8</v>
      </c>
      <c r="E462">
        <v>2100</v>
      </c>
    </row>
    <row r="463" spans="4:5" ht="15.75" customHeight="1" x14ac:dyDescent="0.2">
      <c r="D463" t="s">
        <v>8</v>
      </c>
      <c r="E463">
        <v>252</v>
      </c>
    </row>
    <row r="464" spans="4:5" ht="15.75" customHeight="1" x14ac:dyDescent="0.2">
      <c r="D464" t="s">
        <v>8</v>
      </c>
      <c r="E464">
        <v>1280</v>
      </c>
    </row>
    <row r="465" spans="4:5" ht="15.75" customHeight="1" x14ac:dyDescent="0.2">
      <c r="D465" t="s">
        <v>8</v>
      </c>
      <c r="E465">
        <v>157</v>
      </c>
    </row>
    <row r="466" spans="4:5" ht="15.75" customHeight="1" x14ac:dyDescent="0.2">
      <c r="D466" t="s">
        <v>8</v>
      </c>
      <c r="E466">
        <v>194</v>
      </c>
    </row>
    <row r="467" spans="4:5" ht="15.75" customHeight="1" x14ac:dyDescent="0.2">
      <c r="D467" t="s">
        <v>8</v>
      </c>
      <c r="E467">
        <v>82</v>
      </c>
    </row>
    <row r="468" spans="4:5" ht="15.75" customHeight="1" x14ac:dyDescent="0.2">
      <c r="D468" t="s">
        <v>8</v>
      </c>
      <c r="E468">
        <v>4233</v>
      </c>
    </row>
    <row r="469" spans="4:5" ht="15.75" customHeight="1" x14ac:dyDescent="0.2">
      <c r="D469" t="s">
        <v>8</v>
      </c>
      <c r="E469">
        <v>1297</v>
      </c>
    </row>
    <row r="470" spans="4:5" ht="15.75" customHeight="1" x14ac:dyDescent="0.2">
      <c r="D470" t="s">
        <v>8</v>
      </c>
      <c r="E470">
        <v>165</v>
      </c>
    </row>
    <row r="471" spans="4:5" ht="15.75" customHeight="1" x14ac:dyDescent="0.2">
      <c r="D471" t="s">
        <v>8</v>
      </c>
      <c r="E471">
        <v>119</v>
      </c>
    </row>
    <row r="472" spans="4:5" ht="15.75" customHeight="1" x14ac:dyDescent="0.2">
      <c r="D472" t="s">
        <v>8</v>
      </c>
      <c r="E472">
        <v>1797</v>
      </c>
    </row>
    <row r="473" spans="4:5" ht="15.75" customHeight="1" x14ac:dyDescent="0.2">
      <c r="D473" t="s">
        <v>8</v>
      </c>
      <c r="E473">
        <v>261</v>
      </c>
    </row>
    <row r="474" spans="4:5" ht="15.75" customHeight="1" x14ac:dyDescent="0.2">
      <c r="D474" t="s">
        <v>8</v>
      </c>
      <c r="E474">
        <v>157</v>
      </c>
    </row>
    <row r="475" spans="4:5" ht="15.75" customHeight="1" x14ac:dyDescent="0.2">
      <c r="D475" t="s">
        <v>8</v>
      </c>
      <c r="E475">
        <v>3533</v>
      </c>
    </row>
    <row r="476" spans="4:5" ht="15.75" customHeight="1" x14ac:dyDescent="0.2">
      <c r="D476" t="s">
        <v>8</v>
      </c>
      <c r="E476">
        <v>155</v>
      </c>
    </row>
    <row r="477" spans="4:5" ht="15.75" customHeight="1" x14ac:dyDescent="0.2">
      <c r="D477" t="s">
        <v>8</v>
      </c>
      <c r="E477">
        <v>132</v>
      </c>
    </row>
    <row r="478" spans="4:5" ht="15.75" customHeight="1" x14ac:dyDescent="0.2">
      <c r="D478" t="s">
        <v>8</v>
      </c>
      <c r="E478">
        <v>1354</v>
      </c>
    </row>
    <row r="479" spans="4:5" ht="15.75" customHeight="1" x14ac:dyDescent="0.2">
      <c r="D479" t="s">
        <v>8</v>
      </c>
      <c r="E479">
        <v>48</v>
      </c>
    </row>
    <row r="480" spans="4:5" ht="15.75" customHeight="1" x14ac:dyDescent="0.2">
      <c r="D480" t="s">
        <v>8</v>
      </c>
      <c r="E480">
        <v>110</v>
      </c>
    </row>
    <row r="481" spans="4:5" ht="15.75" customHeight="1" x14ac:dyDescent="0.2">
      <c r="D481" t="s">
        <v>8</v>
      </c>
      <c r="E481">
        <v>172</v>
      </c>
    </row>
    <row r="482" spans="4:5" ht="15.75" customHeight="1" x14ac:dyDescent="0.2">
      <c r="D482" t="s">
        <v>8</v>
      </c>
      <c r="E482">
        <v>307</v>
      </c>
    </row>
    <row r="483" spans="4:5" ht="15.75" customHeight="1" x14ac:dyDescent="0.2">
      <c r="D483" t="s">
        <v>8</v>
      </c>
      <c r="E483">
        <v>160</v>
      </c>
    </row>
    <row r="484" spans="4:5" ht="15.75" customHeight="1" x14ac:dyDescent="0.2">
      <c r="D484" t="s">
        <v>8</v>
      </c>
      <c r="E484">
        <v>1467</v>
      </c>
    </row>
    <row r="485" spans="4:5" ht="15.75" customHeight="1" x14ac:dyDescent="0.2">
      <c r="D485" t="s">
        <v>8</v>
      </c>
      <c r="E485">
        <v>2662</v>
      </c>
    </row>
    <row r="486" spans="4:5" ht="15.75" customHeight="1" x14ac:dyDescent="0.2">
      <c r="D486" t="s">
        <v>8</v>
      </c>
      <c r="E486">
        <v>452</v>
      </c>
    </row>
    <row r="487" spans="4:5" ht="15.75" customHeight="1" x14ac:dyDescent="0.2">
      <c r="D487" t="s">
        <v>8</v>
      </c>
      <c r="E487">
        <v>158</v>
      </c>
    </row>
    <row r="488" spans="4:5" ht="15.75" customHeight="1" x14ac:dyDescent="0.2">
      <c r="D488" t="s">
        <v>8</v>
      </c>
      <c r="E488">
        <v>225</v>
      </c>
    </row>
    <row r="489" spans="4:5" ht="15.75" customHeight="1" x14ac:dyDescent="0.2">
      <c r="D489" t="s">
        <v>8</v>
      </c>
      <c r="E489">
        <v>65</v>
      </c>
    </row>
    <row r="490" spans="4:5" ht="15.75" customHeight="1" x14ac:dyDescent="0.2">
      <c r="D490" t="s">
        <v>8</v>
      </c>
      <c r="E490">
        <v>163</v>
      </c>
    </row>
    <row r="491" spans="4:5" ht="15.75" customHeight="1" x14ac:dyDescent="0.2">
      <c r="D491" t="s">
        <v>8</v>
      </c>
      <c r="E491">
        <v>85</v>
      </c>
    </row>
    <row r="492" spans="4:5" ht="15.75" customHeight="1" x14ac:dyDescent="0.2">
      <c r="D492" t="s">
        <v>8</v>
      </c>
      <c r="E492">
        <v>217</v>
      </c>
    </row>
    <row r="493" spans="4:5" ht="15.75" customHeight="1" x14ac:dyDescent="0.2">
      <c r="D493" t="s">
        <v>8</v>
      </c>
      <c r="E493">
        <v>150</v>
      </c>
    </row>
    <row r="494" spans="4:5" ht="15.75" customHeight="1" x14ac:dyDescent="0.2">
      <c r="D494" t="s">
        <v>8</v>
      </c>
      <c r="E494">
        <v>3272</v>
      </c>
    </row>
    <row r="495" spans="4:5" ht="15.75" customHeight="1" x14ac:dyDescent="0.2">
      <c r="D495" t="s">
        <v>8</v>
      </c>
      <c r="E495">
        <v>300</v>
      </c>
    </row>
    <row r="496" spans="4:5" ht="15.75" customHeight="1" x14ac:dyDescent="0.2">
      <c r="D496" t="s">
        <v>8</v>
      </c>
      <c r="E496">
        <v>126</v>
      </c>
    </row>
    <row r="497" spans="4:5" ht="15.75" customHeight="1" x14ac:dyDescent="0.2">
      <c r="D497" t="s">
        <v>8</v>
      </c>
      <c r="E497">
        <v>2320</v>
      </c>
    </row>
    <row r="498" spans="4:5" ht="15.75" customHeight="1" x14ac:dyDescent="0.2">
      <c r="D498" t="s">
        <v>8</v>
      </c>
      <c r="E498">
        <v>81</v>
      </c>
    </row>
    <row r="499" spans="4:5" ht="15.75" customHeight="1" x14ac:dyDescent="0.2">
      <c r="D499" t="s">
        <v>8</v>
      </c>
      <c r="E499">
        <v>1887</v>
      </c>
    </row>
    <row r="500" spans="4:5" ht="15.75" customHeight="1" x14ac:dyDescent="0.2">
      <c r="D500" t="s">
        <v>8</v>
      </c>
      <c r="E500">
        <v>4358</v>
      </c>
    </row>
    <row r="501" spans="4:5" ht="15.75" customHeight="1" x14ac:dyDescent="0.2">
      <c r="D501" t="s">
        <v>8</v>
      </c>
      <c r="E501">
        <v>53</v>
      </c>
    </row>
    <row r="502" spans="4:5" ht="15.75" customHeight="1" x14ac:dyDescent="0.2">
      <c r="D502" t="s">
        <v>8</v>
      </c>
      <c r="E502">
        <v>2414</v>
      </c>
    </row>
    <row r="503" spans="4:5" ht="15.75" customHeight="1" x14ac:dyDescent="0.2">
      <c r="D503" t="s">
        <v>8</v>
      </c>
      <c r="E503">
        <v>80</v>
      </c>
    </row>
    <row r="504" spans="4:5" ht="15.75" customHeight="1" x14ac:dyDescent="0.2">
      <c r="D504" t="s">
        <v>8</v>
      </c>
      <c r="E504">
        <v>193</v>
      </c>
    </row>
    <row r="505" spans="4:5" ht="15.75" customHeight="1" x14ac:dyDescent="0.2">
      <c r="D505" t="s">
        <v>8</v>
      </c>
      <c r="E505">
        <v>52</v>
      </c>
    </row>
    <row r="506" spans="4:5" ht="15.75" customHeight="1" x14ac:dyDescent="0.2">
      <c r="D506" t="s">
        <v>8</v>
      </c>
      <c r="E506">
        <v>290</v>
      </c>
    </row>
    <row r="507" spans="4:5" ht="15.75" customHeight="1" x14ac:dyDescent="0.2">
      <c r="D507" t="s">
        <v>8</v>
      </c>
      <c r="E507">
        <v>122</v>
      </c>
    </row>
    <row r="508" spans="4:5" ht="15.75" customHeight="1" x14ac:dyDescent="0.2">
      <c r="D508" t="s">
        <v>8</v>
      </c>
      <c r="E508">
        <v>1470</v>
      </c>
    </row>
    <row r="509" spans="4:5" ht="15.75" customHeight="1" x14ac:dyDescent="0.2">
      <c r="D509" t="s">
        <v>8</v>
      </c>
      <c r="E509">
        <v>165</v>
      </c>
    </row>
    <row r="510" spans="4:5" ht="15.75" customHeight="1" x14ac:dyDescent="0.2">
      <c r="D510" t="s">
        <v>8</v>
      </c>
      <c r="E510">
        <v>182</v>
      </c>
    </row>
    <row r="511" spans="4:5" ht="15.75" customHeight="1" x14ac:dyDescent="0.2">
      <c r="D511" t="s">
        <v>8</v>
      </c>
      <c r="E511">
        <v>199</v>
      </c>
    </row>
    <row r="512" spans="4:5" ht="15.75" customHeight="1" x14ac:dyDescent="0.2">
      <c r="D512" t="s">
        <v>8</v>
      </c>
      <c r="E512">
        <v>56</v>
      </c>
    </row>
    <row r="513" spans="4:5" ht="15.75" customHeight="1" x14ac:dyDescent="0.2">
      <c r="D513" t="s">
        <v>8</v>
      </c>
      <c r="E513">
        <v>1460</v>
      </c>
    </row>
    <row r="514" spans="4:5" ht="15.75" customHeight="1" x14ac:dyDescent="0.2">
      <c r="D514" t="s">
        <v>8</v>
      </c>
      <c r="E514">
        <v>123</v>
      </c>
    </row>
    <row r="515" spans="4:5" ht="15.75" customHeight="1" x14ac:dyDescent="0.2">
      <c r="D515" t="s">
        <v>8</v>
      </c>
      <c r="E515">
        <v>159</v>
      </c>
    </row>
    <row r="516" spans="4:5" ht="15.75" customHeight="1" x14ac:dyDescent="0.2">
      <c r="D516" t="s">
        <v>8</v>
      </c>
      <c r="E516">
        <v>110</v>
      </c>
    </row>
    <row r="517" spans="4:5" ht="15.75" customHeight="1" x14ac:dyDescent="0.2">
      <c r="D517" t="s">
        <v>8</v>
      </c>
      <c r="E517">
        <v>236</v>
      </c>
    </row>
    <row r="518" spans="4:5" ht="15.75" customHeight="1" x14ac:dyDescent="0.2">
      <c r="D518" t="s">
        <v>8</v>
      </c>
      <c r="E518">
        <v>191</v>
      </c>
    </row>
    <row r="519" spans="4:5" ht="15.75" customHeight="1" x14ac:dyDescent="0.2">
      <c r="D519" t="s">
        <v>8</v>
      </c>
      <c r="E519">
        <v>3934</v>
      </c>
    </row>
    <row r="520" spans="4:5" ht="15.75" customHeight="1" x14ac:dyDescent="0.2">
      <c r="D520" t="s">
        <v>8</v>
      </c>
      <c r="E520">
        <v>80</v>
      </c>
    </row>
    <row r="521" spans="4:5" ht="15.75" customHeight="1" x14ac:dyDescent="0.2">
      <c r="D521" t="s">
        <v>8</v>
      </c>
      <c r="E521">
        <v>462</v>
      </c>
    </row>
    <row r="522" spans="4:5" ht="15.75" customHeight="1" x14ac:dyDescent="0.2">
      <c r="D522" t="s">
        <v>8</v>
      </c>
      <c r="E522">
        <v>179</v>
      </c>
    </row>
    <row r="523" spans="4:5" ht="15.75" customHeight="1" x14ac:dyDescent="0.2">
      <c r="D523" t="s">
        <v>8</v>
      </c>
      <c r="E523">
        <v>1866</v>
      </c>
    </row>
    <row r="524" spans="4:5" ht="15.75" customHeight="1" x14ac:dyDescent="0.2">
      <c r="D524" t="s">
        <v>8</v>
      </c>
      <c r="E524">
        <v>156</v>
      </c>
    </row>
    <row r="525" spans="4:5" ht="15.75" customHeight="1" x14ac:dyDescent="0.2">
      <c r="D525" t="s">
        <v>8</v>
      </c>
      <c r="E525">
        <v>255</v>
      </c>
    </row>
    <row r="526" spans="4:5" ht="15.75" customHeight="1" x14ac:dyDescent="0.2">
      <c r="D526" t="s">
        <v>8</v>
      </c>
      <c r="E526">
        <v>2261</v>
      </c>
    </row>
    <row r="527" spans="4:5" ht="15.75" customHeight="1" x14ac:dyDescent="0.2">
      <c r="D527" t="s">
        <v>8</v>
      </c>
      <c r="E527">
        <v>40</v>
      </c>
    </row>
    <row r="528" spans="4:5" ht="15.75" customHeight="1" x14ac:dyDescent="0.2">
      <c r="D528" t="s">
        <v>8</v>
      </c>
      <c r="E528">
        <v>2289</v>
      </c>
    </row>
    <row r="529" spans="4:5" ht="15.75" customHeight="1" x14ac:dyDescent="0.2">
      <c r="D529" t="s">
        <v>8</v>
      </c>
      <c r="E529">
        <v>65</v>
      </c>
    </row>
    <row r="530" spans="4:5" ht="15.75" customHeight="1" x14ac:dyDescent="0.2">
      <c r="D530" t="s">
        <v>8</v>
      </c>
      <c r="E530">
        <v>3777</v>
      </c>
    </row>
    <row r="531" spans="4:5" ht="15.75" customHeight="1" x14ac:dyDescent="0.2">
      <c r="D531" t="s">
        <v>8</v>
      </c>
      <c r="E531">
        <v>184</v>
      </c>
    </row>
    <row r="532" spans="4:5" ht="15.75" customHeight="1" x14ac:dyDescent="0.2">
      <c r="D532" t="s">
        <v>8</v>
      </c>
      <c r="E532">
        <v>85</v>
      </c>
    </row>
    <row r="533" spans="4:5" ht="15.75" customHeight="1" x14ac:dyDescent="0.2">
      <c r="D533" t="s">
        <v>8</v>
      </c>
      <c r="E533">
        <v>144</v>
      </c>
    </row>
    <row r="534" spans="4:5" ht="15.75" customHeight="1" x14ac:dyDescent="0.2">
      <c r="D534" t="s">
        <v>8</v>
      </c>
      <c r="E534">
        <v>1902</v>
      </c>
    </row>
    <row r="535" spans="4:5" ht="15.75" customHeight="1" x14ac:dyDescent="0.2">
      <c r="D535" t="s">
        <v>8</v>
      </c>
      <c r="E535">
        <v>105</v>
      </c>
    </row>
    <row r="536" spans="4:5" ht="15.75" customHeight="1" x14ac:dyDescent="0.2">
      <c r="D536" t="s">
        <v>8</v>
      </c>
      <c r="E536">
        <v>132</v>
      </c>
    </row>
    <row r="537" spans="4:5" ht="15.75" customHeight="1" x14ac:dyDescent="0.2">
      <c r="D537" t="s">
        <v>8</v>
      </c>
      <c r="E537">
        <v>96</v>
      </c>
    </row>
    <row r="538" spans="4:5" ht="15.75" customHeight="1" x14ac:dyDescent="0.2">
      <c r="D538" t="s">
        <v>8</v>
      </c>
      <c r="E538">
        <v>114</v>
      </c>
    </row>
    <row r="539" spans="4:5" ht="15.75" customHeight="1" x14ac:dyDescent="0.2">
      <c r="D539" t="s">
        <v>8</v>
      </c>
      <c r="E539">
        <v>203</v>
      </c>
    </row>
    <row r="540" spans="4:5" ht="15.75" customHeight="1" x14ac:dyDescent="0.2">
      <c r="D540" t="s">
        <v>8</v>
      </c>
      <c r="E540">
        <v>1559</v>
      </c>
    </row>
    <row r="541" spans="4:5" ht="15.75" customHeight="1" x14ac:dyDescent="0.2">
      <c r="D541" t="s">
        <v>8</v>
      </c>
      <c r="E541">
        <v>1548</v>
      </c>
    </row>
    <row r="542" spans="4:5" ht="15.75" customHeight="1" x14ac:dyDescent="0.2">
      <c r="D542" t="s">
        <v>8</v>
      </c>
      <c r="E542">
        <v>80</v>
      </c>
    </row>
    <row r="543" spans="4:5" ht="15.75" customHeight="1" x14ac:dyDescent="0.2">
      <c r="D543" t="s">
        <v>8</v>
      </c>
      <c r="E543">
        <v>131</v>
      </c>
    </row>
    <row r="544" spans="4:5" ht="15.75" customHeight="1" x14ac:dyDescent="0.2">
      <c r="D544" t="s">
        <v>8</v>
      </c>
      <c r="E544">
        <v>112</v>
      </c>
    </row>
    <row r="545" spans="4:5" ht="15.75" customHeight="1" x14ac:dyDescent="0.2">
      <c r="D545" t="s">
        <v>8</v>
      </c>
      <c r="E545">
        <v>155</v>
      </c>
    </row>
    <row r="546" spans="4:5" ht="15.75" customHeight="1" x14ac:dyDescent="0.2">
      <c r="D546" t="s">
        <v>8</v>
      </c>
      <c r="E546">
        <v>266</v>
      </c>
    </row>
    <row r="547" spans="4:5" ht="15.75" customHeight="1" x14ac:dyDescent="0.2">
      <c r="D547" t="s">
        <v>8</v>
      </c>
      <c r="E547">
        <v>155</v>
      </c>
    </row>
    <row r="548" spans="4:5" ht="15.75" customHeight="1" x14ac:dyDescent="0.2">
      <c r="D548" t="s">
        <v>8</v>
      </c>
      <c r="E548">
        <v>207</v>
      </c>
    </row>
    <row r="549" spans="4:5" ht="15.75" customHeight="1" x14ac:dyDescent="0.2">
      <c r="D549" t="s">
        <v>8</v>
      </c>
      <c r="E549">
        <v>245</v>
      </c>
    </row>
    <row r="550" spans="4:5" ht="15.75" customHeight="1" x14ac:dyDescent="0.2">
      <c r="D550" t="s">
        <v>8</v>
      </c>
      <c r="E550">
        <v>1573</v>
      </c>
    </row>
    <row r="551" spans="4:5" ht="15.75" customHeight="1" x14ac:dyDescent="0.2">
      <c r="D551" t="s">
        <v>8</v>
      </c>
      <c r="E551">
        <v>114</v>
      </c>
    </row>
    <row r="552" spans="4:5" ht="15.75" customHeight="1" x14ac:dyDescent="0.2">
      <c r="D552" t="s">
        <v>8</v>
      </c>
      <c r="E552">
        <v>93</v>
      </c>
    </row>
    <row r="553" spans="4:5" ht="15.75" customHeight="1" x14ac:dyDescent="0.2">
      <c r="D553" t="s">
        <v>8</v>
      </c>
      <c r="E553">
        <v>1681</v>
      </c>
    </row>
    <row r="554" spans="4:5" ht="15.75" customHeight="1" x14ac:dyDescent="0.2">
      <c r="D554" t="s">
        <v>8</v>
      </c>
      <c r="E554">
        <v>32</v>
      </c>
    </row>
    <row r="555" spans="4:5" ht="15.75" customHeight="1" x14ac:dyDescent="0.2">
      <c r="D555" t="s">
        <v>8</v>
      </c>
      <c r="E555">
        <v>135</v>
      </c>
    </row>
    <row r="556" spans="4:5" ht="15.75" customHeight="1" x14ac:dyDescent="0.2">
      <c r="D556" t="s">
        <v>8</v>
      </c>
      <c r="E556">
        <v>140</v>
      </c>
    </row>
    <row r="557" spans="4:5" ht="15.75" customHeight="1" x14ac:dyDescent="0.2">
      <c r="D557" t="s">
        <v>8</v>
      </c>
      <c r="E557">
        <v>92</v>
      </c>
    </row>
    <row r="558" spans="4:5" ht="15.75" customHeight="1" x14ac:dyDescent="0.2">
      <c r="D558" t="s">
        <v>8</v>
      </c>
      <c r="E558">
        <v>1015</v>
      </c>
    </row>
    <row r="559" spans="4:5" ht="15.75" customHeight="1" x14ac:dyDescent="0.2">
      <c r="D559" t="s">
        <v>8</v>
      </c>
      <c r="E559">
        <v>323</v>
      </c>
    </row>
    <row r="560" spans="4:5" ht="15.75" customHeight="1" x14ac:dyDescent="0.2">
      <c r="D560" t="s">
        <v>8</v>
      </c>
      <c r="E560">
        <v>2326</v>
      </c>
    </row>
    <row r="561" spans="4:5" ht="15.75" customHeight="1" x14ac:dyDescent="0.2">
      <c r="D561" t="s">
        <v>8</v>
      </c>
      <c r="E561">
        <v>381</v>
      </c>
    </row>
    <row r="562" spans="4:5" ht="15.75" customHeight="1" x14ac:dyDescent="0.2">
      <c r="D562" t="s">
        <v>8</v>
      </c>
      <c r="E562">
        <v>480</v>
      </c>
    </row>
    <row r="563" spans="4:5" ht="15.75" customHeight="1" x14ac:dyDescent="0.2">
      <c r="D563" t="s">
        <v>8</v>
      </c>
      <c r="E563">
        <v>226</v>
      </c>
    </row>
    <row r="564" spans="4:5" ht="15.75" customHeight="1" x14ac:dyDescent="0.2">
      <c r="D564" t="s">
        <v>8</v>
      </c>
      <c r="E564">
        <v>241</v>
      </c>
    </row>
    <row r="565" spans="4:5" ht="15.75" customHeight="1" x14ac:dyDescent="0.2">
      <c r="D565" t="s">
        <v>8</v>
      </c>
      <c r="E565">
        <v>132</v>
      </c>
    </row>
    <row r="566" spans="4:5" ht="15.75" customHeight="1" x14ac:dyDescent="0.2">
      <c r="D566" t="s">
        <v>8</v>
      </c>
      <c r="E566">
        <v>2043</v>
      </c>
    </row>
  </sheetData>
  <autoFilter ref="A1:C436" xr:uid="{F2770BA0-1912-4606-8949-B48E4DC1356A}">
    <filterColumn colId="0">
      <filters>
        <filter val="failed"/>
      </filters>
    </filterColumn>
  </autoFilter>
  <conditionalFormatting sqref="A2:A436">
    <cfRule type="containsText" dxfId="11" priority="1" operator="containsText" text="canceled">
      <formula>NOT(ISERROR(SEARCH("canceled",A2)))</formula>
    </cfRule>
    <cfRule type="containsText" dxfId="10" priority="2" operator="containsText" text="live">
      <formula>NOT(ISERROR(SEARCH("live",A2)))</formula>
    </cfRule>
    <cfRule type="containsText" dxfId="9" priority="3" operator="containsText" text="successful">
      <formula>NOT(ISERROR(SEARCH("successful",A2)))</formula>
    </cfRule>
    <cfRule type="containsText" dxfId="8" priority="4" operator="containsText" text="failed">
      <formula>NOT(ISERROR(SEARCH("failed",A2)))</formula>
    </cfRule>
    <cfRule type="colorScale" priority="348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9B5C-2CFE-4185-89E4-A565467B5002}">
  <dimension ref="A1:J495"/>
  <sheetViews>
    <sheetView workbookViewId="0">
      <selection activeCell="G24" sqref="G24"/>
    </sheetView>
  </sheetViews>
  <sheetFormatPr baseColWidth="10" defaultColWidth="8.83203125" defaultRowHeight="16" x14ac:dyDescent="0.2"/>
  <cols>
    <col min="1" max="1" width="10.83203125" bestFit="1" customWidth="1"/>
    <col min="2" max="2" width="12" bestFit="1" customWidth="1"/>
  </cols>
  <sheetData>
    <row r="1" spans="1:10" x14ac:dyDescent="0.2">
      <c r="A1" t="s">
        <v>3</v>
      </c>
      <c r="B1" t="s">
        <v>59</v>
      </c>
      <c r="D1" t="s">
        <v>3</v>
      </c>
      <c r="E1" t="s">
        <v>59</v>
      </c>
    </row>
    <row r="2" spans="1:10" x14ac:dyDescent="0.2">
      <c r="A2" t="s">
        <v>6</v>
      </c>
      <c r="B2">
        <v>0</v>
      </c>
      <c r="D2" t="s">
        <v>8</v>
      </c>
      <c r="E2">
        <v>158</v>
      </c>
    </row>
    <row r="3" spans="1:10" x14ac:dyDescent="0.2">
      <c r="A3" t="s">
        <v>6</v>
      </c>
      <c r="B3">
        <v>24</v>
      </c>
      <c r="D3" t="s">
        <v>8</v>
      </c>
      <c r="E3">
        <v>1425</v>
      </c>
    </row>
    <row r="4" spans="1:10" x14ac:dyDescent="0.2">
      <c r="A4" t="s">
        <v>6</v>
      </c>
      <c r="B4">
        <v>53</v>
      </c>
      <c r="D4" t="s">
        <v>8</v>
      </c>
      <c r="E4">
        <v>174</v>
      </c>
    </row>
    <row r="5" spans="1:10" x14ac:dyDescent="0.2">
      <c r="A5" t="s">
        <v>6</v>
      </c>
      <c r="B5">
        <v>18</v>
      </c>
      <c r="D5" t="s">
        <v>8</v>
      </c>
      <c r="E5">
        <v>227</v>
      </c>
      <c r="G5" t="s">
        <v>60</v>
      </c>
    </row>
    <row r="6" spans="1:10" x14ac:dyDescent="0.2">
      <c r="A6" t="s">
        <v>6</v>
      </c>
      <c r="B6">
        <v>44</v>
      </c>
      <c r="D6" t="s">
        <v>8</v>
      </c>
      <c r="E6">
        <v>98</v>
      </c>
      <c r="G6" t="s">
        <v>61</v>
      </c>
      <c r="H6">
        <v>851.14690265486729</v>
      </c>
    </row>
    <row r="7" spans="1:10" x14ac:dyDescent="0.2">
      <c r="A7" t="s">
        <v>6</v>
      </c>
      <c r="B7">
        <v>27</v>
      </c>
      <c r="D7" t="s">
        <v>8</v>
      </c>
      <c r="E7">
        <v>100</v>
      </c>
      <c r="G7" t="s">
        <v>62</v>
      </c>
      <c r="H7">
        <v>564.4815668202765</v>
      </c>
      <c r="J7">
        <f>H6/H7</f>
        <v>1.5078382584738348</v>
      </c>
    </row>
    <row r="8" spans="1:10" x14ac:dyDescent="0.2">
      <c r="A8" t="s">
        <v>6</v>
      </c>
      <c r="B8">
        <v>55</v>
      </c>
      <c r="D8" t="s">
        <v>8</v>
      </c>
      <c r="E8">
        <v>1249</v>
      </c>
      <c r="G8" t="s">
        <v>63</v>
      </c>
    </row>
    <row r="9" spans="1:10" x14ac:dyDescent="0.2">
      <c r="A9" t="s">
        <v>6</v>
      </c>
      <c r="B9">
        <v>200</v>
      </c>
      <c r="D9" t="s">
        <v>8</v>
      </c>
      <c r="E9">
        <v>1396</v>
      </c>
      <c r="G9" t="s">
        <v>61</v>
      </c>
      <c r="H9">
        <v>201</v>
      </c>
    </row>
    <row r="10" spans="1:10" x14ac:dyDescent="0.2">
      <c r="A10" t="s">
        <v>6</v>
      </c>
      <c r="B10">
        <v>452</v>
      </c>
      <c r="D10" t="s">
        <v>8</v>
      </c>
      <c r="E10">
        <v>890</v>
      </c>
      <c r="G10" t="s">
        <v>62</v>
      </c>
      <c r="H10">
        <v>116</v>
      </c>
      <c r="J10">
        <f>H9/H10</f>
        <v>1.7327586206896552</v>
      </c>
    </row>
    <row r="11" spans="1:10" x14ac:dyDescent="0.2">
      <c r="A11" t="s">
        <v>6</v>
      </c>
      <c r="B11">
        <v>674</v>
      </c>
      <c r="D11" t="s">
        <v>8</v>
      </c>
      <c r="E11">
        <v>2673</v>
      </c>
      <c r="G11" t="s">
        <v>64</v>
      </c>
    </row>
    <row r="12" spans="1:10" x14ac:dyDescent="0.2">
      <c r="A12" t="s">
        <v>6</v>
      </c>
      <c r="B12">
        <v>558</v>
      </c>
      <c r="D12" t="s">
        <v>8</v>
      </c>
      <c r="E12">
        <v>163</v>
      </c>
      <c r="G12" t="s">
        <v>61</v>
      </c>
      <c r="H12">
        <v>85</v>
      </c>
    </row>
    <row r="13" spans="1:10" x14ac:dyDescent="0.2">
      <c r="A13" t="s">
        <v>6</v>
      </c>
      <c r="B13">
        <v>15</v>
      </c>
      <c r="D13" t="s">
        <v>8</v>
      </c>
      <c r="E13">
        <v>1606</v>
      </c>
      <c r="G13" t="s">
        <v>62</v>
      </c>
      <c r="H13">
        <v>1</v>
      </c>
    </row>
    <row r="14" spans="1:10" x14ac:dyDescent="0.2">
      <c r="A14" t="s">
        <v>6</v>
      </c>
      <c r="B14">
        <v>2307</v>
      </c>
      <c r="D14" t="s">
        <v>8</v>
      </c>
      <c r="E14">
        <v>129</v>
      </c>
      <c r="G14" t="s">
        <v>65</v>
      </c>
    </row>
    <row r="15" spans="1:10" x14ac:dyDescent="0.2">
      <c r="A15" t="s">
        <v>6</v>
      </c>
      <c r="B15">
        <v>88</v>
      </c>
      <c r="D15" t="s">
        <v>8</v>
      </c>
      <c r="E15">
        <v>226</v>
      </c>
      <c r="G15" t="s">
        <v>61</v>
      </c>
      <c r="H15">
        <v>16</v>
      </c>
    </row>
    <row r="16" spans="1:10" x14ac:dyDescent="0.2">
      <c r="A16" t="s">
        <v>6</v>
      </c>
      <c r="B16">
        <v>48</v>
      </c>
      <c r="D16" t="s">
        <v>8</v>
      </c>
      <c r="E16">
        <v>5419</v>
      </c>
      <c r="G16" t="s">
        <v>62</v>
      </c>
      <c r="H16">
        <v>0</v>
      </c>
    </row>
    <row r="17" spans="1:8" x14ac:dyDescent="0.2">
      <c r="A17" t="s">
        <v>6</v>
      </c>
      <c r="B17">
        <v>1</v>
      </c>
      <c r="D17" t="s">
        <v>8</v>
      </c>
      <c r="E17">
        <v>165</v>
      </c>
      <c r="G17" t="s">
        <v>66</v>
      </c>
    </row>
    <row r="18" spans="1:8" x14ac:dyDescent="0.2">
      <c r="A18" t="s">
        <v>6</v>
      </c>
      <c r="B18">
        <v>1467</v>
      </c>
      <c r="D18" t="s">
        <v>8</v>
      </c>
      <c r="E18">
        <v>1965</v>
      </c>
      <c r="G18" t="s">
        <v>61</v>
      </c>
      <c r="H18">
        <v>7295</v>
      </c>
    </row>
    <row r="19" spans="1:8" x14ac:dyDescent="0.2">
      <c r="A19" t="s">
        <v>6</v>
      </c>
      <c r="B19">
        <v>75</v>
      </c>
      <c r="D19" t="s">
        <v>8</v>
      </c>
      <c r="E19">
        <v>16</v>
      </c>
      <c r="G19" t="s">
        <v>62</v>
      </c>
      <c r="H19">
        <v>6080</v>
      </c>
    </row>
    <row r="20" spans="1:8" x14ac:dyDescent="0.2">
      <c r="A20" t="s">
        <v>6</v>
      </c>
      <c r="B20">
        <v>120</v>
      </c>
      <c r="D20" t="s">
        <v>8</v>
      </c>
      <c r="E20">
        <v>107</v>
      </c>
      <c r="G20" t="s">
        <v>67</v>
      </c>
    </row>
    <row r="21" spans="1:8" x14ac:dyDescent="0.2">
      <c r="A21" t="s">
        <v>6</v>
      </c>
      <c r="B21">
        <v>2253</v>
      </c>
      <c r="D21" t="s">
        <v>8</v>
      </c>
      <c r="E21">
        <v>134</v>
      </c>
      <c r="G21" t="s">
        <v>61</v>
      </c>
      <c r="H21">
        <v>1606216.6</v>
      </c>
    </row>
    <row r="22" spans="1:8" x14ac:dyDescent="0.2">
      <c r="A22" t="s">
        <v>6</v>
      </c>
      <c r="B22">
        <v>5</v>
      </c>
      <c r="D22" t="s">
        <v>8</v>
      </c>
      <c r="E22">
        <v>198</v>
      </c>
      <c r="G22" t="s">
        <v>62</v>
      </c>
      <c r="H22">
        <v>847312.67</v>
      </c>
    </row>
    <row r="23" spans="1:8" x14ac:dyDescent="0.2">
      <c r="A23" t="s">
        <v>6</v>
      </c>
      <c r="B23">
        <v>38</v>
      </c>
      <c r="D23" t="s">
        <v>8</v>
      </c>
      <c r="E23">
        <v>111</v>
      </c>
      <c r="G23" t="s">
        <v>68</v>
      </c>
    </row>
    <row r="24" spans="1:8" x14ac:dyDescent="0.2">
      <c r="A24" t="s">
        <v>6</v>
      </c>
      <c r="B24">
        <v>12</v>
      </c>
      <c r="D24" t="s">
        <v>8</v>
      </c>
      <c r="E24">
        <v>222</v>
      </c>
      <c r="G24" t="s">
        <v>61</v>
      </c>
      <c r="H24">
        <v>1267.3660061835201</v>
      </c>
    </row>
    <row r="25" spans="1:8" x14ac:dyDescent="0.2">
      <c r="A25" t="s">
        <v>6</v>
      </c>
      <c r="B25">
        <v>1684</v>
      </c>
      <c r="D25" t="s">
        <v>8</v>
      </c>
      <c r="E25">
        <v>98</v>
      </c>
      <c r="G25" t="s">
        <v>62</v>
      </c>
      <c r="H25">
        <v>920.49588296750505</v>
      </c>
    </row>
    <row r="26" spans="1:8" x14ac:dyDescent="0.2">
      <c r="A26" t="s">
        <v>6</v>
      </c>
      <c r="B26">
        <v>56</v>
      </c>
      <c r="D26" t="s">
        <v>8</v>
      </c>
      <c r="E26">
        <v>92</v>
      </c>
    </row>
    <row r="27" spans="1:8" x14ac:dyDescent="0.2">
      <c r="A27" t="s">
        <v>6</v>
      </c>
      <c r="B27">
        <v>838</v>
      </c>
      <c r="D27" t="s">
        <v>8</v>
      </c>
      <c r="E27">
        <v>149</v>
      </c>
    </row>
    <row r="28" spans="1:8" x14ac:dyDescent="0.2">
      <c r="A28" t="s">
        <v>6</v>
      </c>
      <c r="B28">
        <v>1000</v>
      </c>
      <c r="D28" t="s">
        <v>8</v>
      </c>
      <c r="E28">
        <v>2431</v>
      </c>
    </row>
    <row r="29" spans="1:8" x14ac:dyDescent="0.2">
      <c r="A29" t="s">
        <v>6</v>
      </c>
      <c r="B29">
        <v>1482</v>
      </c>
      <c r="D29" t="s">
        <v>8</v>
      </c>
      <c r="E29">
        <v>303</v>
      </c>
    </row>
    <row r="30" spans="1:8" x14ac:dyDescent="0.2">
      <c r="A30" t="s">
        <v>6</v>
      </c>
      <c r="B30">
        <v>106</v>
      </c>
      <c r="D30" t="s">
        <v>8</v>
      </c>
      <c r="E30">
        <v>209</v>
      </c>
    </row>
    <row r="31" spans="1:8" x14ac:dyDescent="0.2">
      <c r="A31" t="s">
        <v>6</v>
      </c>
      <c r="B31">
        <v>679</v>
      </c>
      <c r="D31" t="s">
        <v>8</v>
      </c>
      <c r="E31">
        <v>131</v>
      </c>
    </row>
    <row r="32" spans="1:8" x14ac:dyDescent="0.2">
      <c r="A32" t="s">
        <v>6</v>
      </c>
      <c r="B32">
        <v>1220</v>
      </c>
      <c r="D32" t="s">
        <v>8</v>
      </c>
      <c r="E32">
        <v>201</v>
      </c>
    </row>
    <row r="33" spans="1:5" x14ac:dyDescent="0.2">
      <c r="A33" t="s">
        <v>6</v>
      </c>
      <c r="B33">
        <v>1</v>
      </c>
      <c r="D33" t="s">
        <v>8</v>
      </c>
      <c r="E33">
        <v>211</v>
      </c>
    </row>
    <row r="34" spans="1:5" x14ac:dyDescent="0.2">
      <c r="A34" t="s">
        <v>6</v>
      </c>
      <c r="B34">
        <v>37</v>
      </c>
      <c r="D34" t="s">
        <v>8</v>
      </c>
      <c r="E34">
        <v>128</v>
      </c>
    </row>
    <row r="35" spans="1:5" x14ac:dyDescent="0.2">
      <c r="A35" t="s">
        <v>6</v>
      </c>
      <c r="B35">
        <v>60</v>
      </c>
      <c r="D35" t="s">
        <v>8</v>
      </c>
      <c r="E35">
        <v>1600</v>
      </c>
    </row>
    <row r="36" spans="1:5" x14ac:dyDescent="0.2">
      <c r="A36" t="s">
        <v>6</v>
      </c>
      <c r="B36">
        <v>296</v>
      </c>
      <c r="D36" t="s">
        <v>8</v>
      </c>
      <c r="E36">
        <v>249</v>
      </c>
    </row>
    <row r="37" spans="1:5" x14ac:dyDescent="0.2">
      <c r="A37" t="s">
        <v>6</v>
      </c>
      <c r="B37">
        <v>3304</v>
      </c>
      <c r="D37" t="s">
        <v>8</v>
      </c>
      <c r="E37">
        <v>236</v>
      </c>
    </row>
    <row r="38" spans="1:5" x14ac:dyDescent="0.2">
      <c r="A38" t="s">
        <v>6</v>
      </c>
      <c r="B38">
        <v>73</v>
      </c>
      <c r="D38" t="s">
        <v>8</v>
      </c>
      <c r="E38">
        <v>4065</v>
      </c>
    </row>
    <row r="39" spans="1:5" x14ac:dyDescent="0.2">
      <c r="A39" t="s">
        <v>6</v>
      </c>
      <c r="B39">
        <v>3387</v>
      </c>
      <c r="D39" t="s">
        <v>8</v>
      </c>
      <c r="E39">
        <v>246</v>
      </c>
    </row>
    <row r="40" spans="1:5" x14ac:dyDescent="0.2">
      <c r="A40" t="s">
        <v>6</v>
      </c>
      <c r="B40">
        <v>662</v>
      </c>
      <c r="D40" t="s">
        <v>8</v>
      </c>
      <c r="E40">
        <v>2475</v>
      </c>
    </row>
    <row r="41" spans="1:5" x14ac:dyDescent="0.2">
      <c r="A41" t="s">
        <v>6</v>
      </c>
      <c r="B41">
        <v>774</v>
      </c>
      <c r="D41" t="s">
        <v>8</v>
      </c>
      <c r="E41">
        <v>76</v>
      </c>
    </row>
    <row r="42" spans="1:5" x14ac:dyDescent="0.2">
      <c r="A42" t="s">
        <v>6</v>
      </c>
      <c r="B42">
        <v>672</v>
      </c>
      <c r="D42" t="s">
        <v>8</v>
      </c>
      <c r="E42">
        <v>54</v>
      </c>
    </row>
    <row r="43" spans="1:5" x14ac:dyDescent="0.2">
      <c r="A43" t="s">
        <v>6</v>
      </c>
      <c r="B43">
        <v>940</v>
      </c>
      <c r="D43" t="s">
        <v>8</v>
      </c>
      <c r="E43">
        <v>170</v>
      </c>
    </row>
    <row r="44" spans="1:5" x14ac:dyDescent="0.2">
      <c r="A44" t="s">
        <v>6</v>
      </c>
      <c r="B44">
        <v>117</v>
      </c>
      <c r="D44" t="s">
        <v>8</v>
      </c>
      <c r="E44">
        <v>330</v>
      </c>
    </row>
    <row r="45" spans="1:5" x14ac:dyDescent="0.2">
      <c r="A45" t="s">
        <v>6</v>
      </c>
      <c r="B45">
        <v>115</v>
      </c>
      <c r="D45" t="s">
        <v>8</v>
      </c>
      <c r="E45">
        <v>411</v>
      </c>
    </row>
    <row r="46" spans="1:5" x14ac:dyDescent="0.2">
      <c r="A46" t="s">
        <v>6</v>
      </c>
      <c r="B46">
        <v>326</v>
      </c>
      <c r="D46" t="s">
        <v>8</v>
      </c>
      <c r="E46">
        <v>180</v>
      </c>
    </row>
    <row r="47" spans="1:5" x14ac:dyDescent="0.2">
      <c r="A47" t="s">
        <v>6</v>
      </c>
      <c r="B47">
        <v>1</v>
      </c>
      <c r="D47" t="s">
        <v>8</v>
      </c>
      <c r="E47">
        <v>71</v>
      </c>
    </row>
    <row r="48" spans="1:5" x14ac:dyDescent="0.2">
      <c r="A48" t="s">
        <v>6</v>
      </c>
      <c r="B48">
        <v>1467</v>
      </c>
      <c r="D48" t="s">
        <v>8</v>
      </c>
      <c r="E48">
        <v>203</v>
      </c>
    </row>
    <row r="49" spans="1:5" x14ac:dyDescent="0.2">
      <c r="A49" t="s">
        <v>6</v>
      </c>
      <c r="B49">
        <v>5681</v>
      </c>
      <c r="D49" t="s">
        <v>8</v>
      </c>
      <c r="E49">
        <v>113</v>
      </c>
    </row>
    <row r="50" spans="1:5" x14ac:dyDescent="0.2">
      <c r="A50" t="s">
        <v>6</v>
      </c>
      <c r="B50">
        <v>1059</v>
      </c>
      <c r="D50" t="s">
        <v>8</v>
      </c>
      <c r="E50">
        <v>96</v>
      </c>
    </row>
    <row r="51" spans="1:5" x14ac:dyDescent="0.2">
      <c r="A51" t="s">
        <v>6</v>
      </c>
      <c r="B51">
        <v>1194</v>
      </c>
      <c r="D51" t="s">
        <v>8</v>
      </c>
      <c r="E51">
        <v>498</v>
      </c>
    </row>
    <row r="52" spans="1:5" x14ac:dyDescent="0.2">
      <c r="A52" t="s">
        <v>6</v>
      </c>
      <c r="B52">
        <v>30</v>
      </c>
      <c r="D52" t="s">
        <v>8</v>
      </c>
      <c r="E52">
        <v>27</v>
      </c>
    </row>
    <row r="53" spans="1:5" x14ac:dyDescent="0.2">
      <c r="A53" t="s">
        <v>6</v>
      </c>
      <c r="B53">
        <v>75</v>
      </c>
      <c r="D53" t="s">
        <v>8</v>
      </c>
      <c r="E53">
        <v>2331</v>
      </c>
    </row>
    <row r="54" spans="1:5" x14ac:dyDescent="0.2">
      <c r="A54" t="s">
        <v>6</v>
      </c>
      <c r="B54">
        <v>955</v>
      </c>
      <c r="D54" t="s">
        <v>8</v>
      </c>
      <c r="E54">
        <v>113</v>
      </c>
    </row>
    <row r="55" spans="1:5" x14ac:dyDescent="0.2">
      <c r="A55" t="s">
        <v>6</v>
      </c>
      <c r="B55">
        <v>67</v>
      </c>
      <c r="D55" t="s">
        <v>8</v>
      </c>
      <c r="E55">
        <v>164</v>
      </c>
    </row>
    <row r="56" spans="1:5" x14ac:dyDescent="0.2">
      <c r="A56" t="s">
        <v>6</v>
      </c>
      <c r="B56">
        <v>5</v>
      </c>
      <c r="D56" t="s">
        <v>8</v>
      </c>
      <c r="E56">
        <v>164</v>
      </c>
    </row>
    <row r="57" spans="1:5" x14ac:dyDescent="0.2">
      <c r="A57" t="s">
        <v>6</v>
      </c>
      <c r="B57">
        <v>26</v>
      </c>
      <c r="D57" t="s">
        <v>8</v>
      </c>
      <c r="E57">
        <v>336</v>
      </c>
    </row>
    <row r="58" spans="1:5" x14ac:dyDescent="0.2">
      <c r="A58" t="s">
        <v>6</v>
      </c>
      <c r="B58">
        <v>1130</v>
      </c>
      <c r="D58" t="s">
        <v>8</v>
      </c>
      <c r="E58">
        <v>1917</v>
      </c>
    </row>
    <row r="59" spans="1:5" x14ac:dyDescent="0.2">
      <c r="A59" t="s">
        <v>6</v>
      </c>
      <c r="B59">
        <v>782</v>
      </c>
      <c r="D59" t="s">
        <v>8</v>
      </c>
      <c r="E59">
        <v>95</v>
      </c>
    </row>
    <row r="60" spans="1:5" x14ac:dyDescent="0.2">
      <c r="A60" t="s">
        <v>6</v>
      </c>
      <c r="B60">
        <v>210</v>
      </c>
      <c r="D60" t="s">
        <v>8</v>
      </c>
      <c r="E60">
        <v>147</v>
      </c>
    </row>
    <row r="61" spans="1:5" x14ac:dyDescent="0.2">
      <c r="A61" t="s">
        <v>6</v>
      </c>
      <c r="B61">
        <v>136</v>
      </c>
      <c r="D61" t="s">
        <v>8</v>
      </c>
      <c r="E61">
        <v>86</v>
      </c>
    </row>
    <row r="62" spans="1:5" x14ac:dyDescent="0.2">
      <c r="A62" t="s">
        <v>6</v>
      </c>
      <c r="B62">
        <v>86</v>
      </c>
      <c r="D62" t="s">
        <v>8</v>
      </c>
      <c r="E62">
        <v>83</v>
      </c>
    </row>
    <row r="63" spans="1:5" x14ac:dyDescent="0.2">
      <c r="A63" t="s">
        <v>6</v>
      </c>
      <c r="B63">
        <v>19</v>
      </c>
      <c r="D63" t="s">
        <v>8</v>
      </c>
      <c r="E63">
        <v>676</v>
      </c>
    </row>
    <row r="64" spans="1:5" x14ac:dyDescent="0.2">
      <c r="A64" t="s">
        <v>6</v>
      </c>
      <c r="B64">
        <v>886</v>
      </c>
      <c r="D64" t="s">
        <v>8</v>
      </c>
      <c r="E64">
        <v>361</v>
      </c>
    </row>
    <row r="65" spans="1:5" x14ac:dyDescent="0.2">
      <c r="A65" t="s">
        <v>6</v>
      </c>
      <c r="B65">
        <v>35</v>
      </c>
      <c r="D65" t="s">
        <v>8</v>
      </c>
      <c r="E65">
        <v>131</v>
      </c>
    </row>
    <row r="66" spans="1:5" x14ac:dyDescent="0.2">
      <c r="A66" t="s">
        <v>6</v>
      </c>
      <c r="B66">
        <v>24</v>
      </c>
      <c r="D66" t="s">
        <v>8</v>
      </c>
      <c r="E66">
        <v>275</v>
      </c>
    </row>
    <row r="67" spans="1:5" x14ac:dyDescent="0.2">
      <c r="A67" t="s">
        <v>6</v>
      </c>
      <c r="B67">
        <v>86</v>
      </c>
      <c r="D67" t="s">
        <v>8</v>
      </c>
      <c r="E67">
        <v>67</v>
      </c>
    </row>
    <row r="68" spans="1:5" x14ac:dyDescent="0.2">
      <c r="A68" t="s">
        <v>6</v>
      </c>
      <c r="B68">
        <v>243</v>
      </c>
      <c r="D68" t="s">
        <v>8</v>
      </c>
      <c r="E68">
        <v>154</v>
      </c>
    </row>
    <row r="69" spans="1:5" x14ac:dyDescent="0.2">
      <c r="A69" t="s">
        <v>6</v>
      </c>
      <c r="B69">
        <v>65</v>
      </c>
      <c r="D69" t="s">
        <v>8</v>
      </c>
      <c r="E69">
        <v>1782</v>
      </c>
    </row>
    <row r="70" spans="1:5" x14ac:dyDescent="0.2">
      <c r="A70" t="s">
        <v>6</v>
      </c>
      <c r="B70">
        <v>100</v>
      </c>
      <c r="D70" t="s">
        <v>8</v>
      </c>
      <c r="E70">
        <v>903</v>
      </c>
    </row>
    <row r="71" spans="1:5" x14ac:dyDescent="0.2">
      <c r="A71" t="s">
        <v>6</v>
      </c>
      <c r="B71">
        <v>168</v>
      </c>
      <c r="D71" t="s">
        <v>8</v>
      </c>
      <c r="E71">
        <v>94</v>
      </c>
    </row>
    <row r="72" spans="1:5" x14ac:dyDescent="0.2">
      <c r="A72" t="s">
        <v>6</v>
      </c>
      <c r="B72">
        <v>13</v>
      </c>
      <c r="D72" t="s">
        <v>8</v>
      </c>
      <c r="E72">
        <v>180</v>
      </c>
    </row>
    <row r="73" spans="1:5" x14ac:dyDescent="0.2">
      <c r="A73" t="s">
        <v>6</v>
      </c>
      <c r="B73">
        <v>1</v>
      </c>
      <c r="D73" t="s">
        <v>8</v>
      </c>
      <c r="E73">
        <v>533</v>
      </c>
    </row>
    <row r="74" spans="1:5" x14ac:dyDescent="0.2">
      <c r="A74" t="s">
        <v>6</v>
      </c>
      <c r="B74">
        <v>40</v>
      </c>
      <c r="D74" t="s">
        <v>8</v>
      </c>
      <c r="E74">
        <v>89</v>
      </c>
    </row>
    <row r="75" spans="1:5" x14ac:dyDescent="0.2">
      <c r="A75" t="s">
        <v>6</v>
      </c>
      <c r="B75">
        <v>226</v>
      </c>
      <c r="D75" t="s">
        <v>8</v>
      </c>
      <c r="E75">
        <v>186</v>
      </c>
    </row>
    <row r="76" spans="1:5" x14ac:dyDescent="0.2">
      <c r="A76" t="s">
        <v>6</v>
      </c>
      <c r="B76">
        <v>1625</v>
      </c>
      <c r="D76" t="s">
        <v>8</v>
      </c>
      <c r="E76">
        <v>1071</v>
      </c>
    </row>
    <row r="77" spans="1:5" x14ac:dyDescent="0.2">
      <c r="A77" t="s">
        <v>6</v>
      </c>
      <c r="B77">
        <v>143</v>
      </c>
      <c r="D77" t="s">
        <v>8</v>
      </c>
      <c r="E77">
        <v>117</v>
      </c>
    </row>
    <row r="78" spans="1:5" x14ac:dyDescent="0.2">
      <c r="A78" t="s">
        <v>6</v>
      </c>
      <c r="B78">
        <v>934</v>
      </c>
      <c r="D78" t="s">
        <v>8</v>
      </c>
      <c r="E78">
        <v>70</v>
      </c>
    </row>
    <row r="79" spans="1:5" x14ac:dyDescent="0.2">
      <c r="A79" t="s">
        <v>6</v>
      </c>
      <c r="B79">
        <v>17</v>
      </c>
      <c r="D79" t="s">
        <v>8</v>
      </c>
      <c r="E79">
        <v>135</v>
      </c>
    </row>
    <row r="80" spans="1:5" x14ac:dyDescent="0.2">
      <c r="A80" t="s">
        <v>6</v>
      </c>
      <c r="B80">
        <v>2179</v>
      </c>
      <c r="D80" t="s">
        <v>8</v>
      </c>
      <c r="E80">
        <v>768</v>
      </c>
    </row>
    <row r="81" spans="1:5" x14ac:dyDescent="0.2">
      <c r="A81" t="s">
        <v>6</v>
      </c>
      <c r="B81">
        <v>931</v>
      </c>
      <c r="D81" t="s">
        <v>8</v>
      </c>
      <c r="E81">
        <v>199</v>
      </c>
    </row>
    <row r="82" spans="1:5" x14ac:dyDescent="0.2">
      <c r="A82" t="s">
        <v>6</v>
      </c>
      <c r="B82">
        <v>92</v>
      </c>
      <c r="D82" t="s">
        <v>8</v>
      </c>
      <c r="E82">
        <v>195</v>
      </c>
    </row>
    <row r="83" spans="1:5" x14ac:dyDescent="0.2">
      <c r="A83" t="s">
        <v>6</v>
      </c>
      <c r="B83">
        <v>57</v>
      </c>
      <c r="D83" t="s">
        <v>8</v>
      </c>
      <c r="E83">
        <v>3376</v>
      </c>
    </row>
    <row r="84" spans="1:5" x14ac:dyDescent="0.2">
      <c r="A84" t="s">
        <v>6</v>
      </c>
      <c r="B84">
        <v>41</v>
      </c>
      <c r="D84" t="s">
        <v>8</v>
      </c>
      <c r="E84">
        <v>41</v>
      </c>
    </row>
    <row r="85" spans="1:5" x14ac:dyDescent="0.2">
      <c r="A85" t="s">
        <v>6</v>
      </c>
      <c r="B85">
        <v>1</v>
      </c>
      <c r="D85" t="s">
        <v>8</v>
      </c>
      <c r="E85">
        <v>1821</v>
      </c>
    </row>
    <row r="86" spans="1:5" x14ac:dyDescent="0.2">
      <c r="A86" t="s">
        <v>6</v>
      </c>
      <c r="B86">
        <v>101</v>
      </c>
      <c r="D86" t="s">
        <v>8</v>
      </c>
      <c r="E86">
        <v>164</v>
      </c>
    </row>
    <row r="87" spans="1:5" x14ac:dyDescent="0.2">
      <c r="A87" t="s">
        <v>6</v>
      </c>
      <c r="B87">
        <v>1335</v>
      </c>
      <c r="D87" t="s">
        <v>8</v>
      </c>
      <c r="E87">
        <v>157</v>
      </c>
    </row>
    <row r="88" spans="1:5" x14ac:dyDescent="0.2">
      <c r="A88" t="s">
        <v>6</v>
      </c>
      <c r="B88">
        <v>15</v>
      </c>
      <c r="D88" t="s">
        <v>8</v>
      </c>
      <c r="E88">
        <v>246</v>
      </c>
    </row>
    <row r="89" spans="1:5" x14ac:dyDescent="0.2">
      <c r="A89" t="s">
        <v>6</v>
      </c>
      <c r="B89">
        <v>454</v>
      </c>
      <c r="D89" t="s">
        <v>8</v>
      </c>
      <c r="E89">
        <v>1396</v>
      </c>
    </row>
    <row r="90" spans="1:5" x14ac:dyDescent="0.2">
      <c r="A90" t="s">
        <v>6</v>
      </c>
      <c r="B90">
        <v>3182</v>
      </c>
      <c r="D90" t="s">
        <v>8</v>
      </c>
      <c r="E90">
        <v>2506</v>
      </c>
    </row>
    <row r="91" spans="1:5" x14ac:dyDescent="0.2">
      <c r="A91" t="s">
        <v>6</v>
      </c>
      <c r="B91">
        <v>15</v>
      </c>
      <c r="D91" t="s">
        <v>8</v>
      </c>
      <c r="E91">
        <v>1267</v>
      </c>
    </row>
    <row r="92" spans="1:5" x14ac:dyDescent="0.2">
      <c r="A92" t="s">
        <v>6</v>
      </c>
      <c r="B92">
        <v>133</v>
      </c>
      <c r="D92" t="s">
        <v>8</v>
      </c>
      <c r="E92">
        <v>1561</v>
      </c>
    </row>
    <row r="93" spans="1:5" x14ac:dyDescent="0.2">
      <c r="A93" t="s">
        <v>6</v>
      </c>
      <c r="B93">
        <v>2062</v>
      </c>
      <c r="D93" t="s">
        <v>8</v>
      </c>
      <c r="E93">
        <v>48</v>
      </c>
    </row>
    <row r="94" spans="1:5" x14ac:dyDescent="0.2">
      <c r="A94" t="s">
        <v>6</v>
      </c>
      <c r="B94">
        <v>29</v>
      </c>
      <c r="D94" t="s">
        <v>8</v>
      </c>
      <c r="E94">
        <v>2739</v>
      </c>
    </row>
    <row r="95" spans="1:5" x14ac:dyDescent="0.2">
      <c r="A95" t="s">
        <v>6</v>
      </c>
      <c r="B95">
        <v>132</v>
      </c>
      <c r="D95" t="s">
        <v>8</v>
      </c>
      <c r="E95">
        <v>3537</v>
      </c>
    </row>
    <row r="96" spans="1:5" x14ac:dyDescent="0.2">
      <c r="A96" t="s">
        <v>6</v>
      </c>
      <c r="B96">
        <v>137</v>
      </c>
      <c r="D96" t="s">
        <v>8</v>
      </c>
      <c r="E96">
        <v>3318</v>
      </c>
    </row>
    <row r="97" spans="1:5" x14ac:dyDescent="0.2">
      <c r="A97" t="s">
        <v>6</v>
      </c>
      <c r="B97">
        <v>908</v>
      </c>
      <c r="D97" t="s">
        <v>8</v>
      </c>
      <c r="E97">
        <v>340</v>
      </c>
    </row>
    <row r="98" spans="1:5" x14ac:dyDescent="0.2">
      <c r="A98" t="s">
        <v>6</v>
      </c>
      <c r="B98">
        <v>10</v>
      </c>
      <c r="D98" t="s">
        <v>8</v>
      </c>
      <c r="E98">
        <v>1442</v>
      </c>
    </row>
    <row r="99" spans="1:5" x14ac:dyDescent="0.2">
      <c r="A99" t="s">
        <v>6</v>
      </c>
      <c r="B99">
        <v>1910</v>
      </c>
      <c r="D99" t="s">
        <v>8</v>
      </c>
      <c r="E99">
        <v>524</v>
      </c>
    </row>
    <row r="100" spans="1:5" x14ac:dyDescent="0.2">
      <c r="A100" t="s">
        <v>6</v>
      </c>
      <c r="B100">
        <v>38</v>
      </c>
      <c r="D100" t="s">
        <v>8</v>
      </c>
      <c r="E100">
        <v>1989</v>
      </c>
    </row>
    <row r="101" spans="1:5" x14ac:dyDescent="0.2">
      <c r="A101" t="s">
        <v>6</v>
      </c>
      <c r="B101">
        <v>104</v>
      </c>
      <c r="D101" t="s">
        <v>8</v>
      </c>
      <c r="E101">
        <v>157</v>
      </c>
    </row>
    <row r="102" spans="1:5" x14ac:dyDescent="0.2">
      <c r="A102" t="s">
        <v>6</v>
      </c>
      <c r="B102">
        <v>49</v>
      </c>
      <c r="D102" t="s">
        <v>8</v>
      </c>
      <c r="E102">
        <v>4498</v>
      </c>
    </row>
    <row r="103" spans="1:5" x14ac:dyDescent="0.2">
      <c r="A103" t="s">
        <v>6</v>
      </c>
      <c r="B103">
        <v>1</v>
      </c>
      <c r="D103" t="s">
        <v>8</v>
      </c>
      <c r="E103">
        <v>80</v>
      </c>
    </row>
    <row r="104" spans="1:5" x14ac:dyDescent="0.2">
      <c r="A104" t="s">
        <v>6</v>
      </c>
      <c r="B104">
        <v>245</v>
      </c>
      <c r="D104" t="s">
        <v>8</v>
      </c>
      <c r="E104">
        <v>43</v>
      </c>
    </row>
    <row r="105" spans="1:5" x14ac:dyDescent="0.2">
      <c r="A105" t="s">
        <v>6</v>
      </c>
      <c r="B105">
        <v>32</v>
      </c>
      <c r="D105" t="s">
        <v>8</v>
      </c>
      <c r="E105">
        <v>2053</v>
      </c>
    </row>
    <row r="106" spans="1:5" x14ac:dyDescent="0.2">
      <c r="A106" t="s">
        <v>6</v>
      </c>
      <c r="B106">
        <v>7</v>
      </c>
      <c r="D106" t="s">
        <v>8</v>
      </c>
      <c r="E106">
        <v>168</v>
      </c>
    </row>
    <row r="107" spans="1:5" x14ac:dyDescent="0.2">
      <c r="A107" t="s">
        <v>6</v>
      </c>
      <c r="B107">
        <v>803</v>
      </c>
      <c r="D107" t="s">
        <v>8</v>
      </c>
      <c r="E107">
        <v>4289</v>
      </c>
    </row>
    <row r="108" spans="1:5" x14ac:dyDescent="0.2">
      <c r="A108" t="s">
        <v>6</v>
      </c>
      <c r="B108">
        <v>16</v>
      </c>
      <c r="D108" t="s">
        <v>8</v>
      </c>
      <c r="E108">
        <v>1815</v>
      </c>
    </row>
    <row r="109" spans="1:5" x14ac:dyDescent="0.2">
      <c r="A109" t="s">
        <v>6</v>
      </c>
      <c r="B109">
        <v>31</v>
      </c>
      <c r="D109" t="s">
        <v>8</v>
      </c>
      <c r="E109">
        <v>397</v>
      </c>
    </row>
    <row r="110" spans="1:5" x14ac:dyDescent="0.2">
      <c r="A110" t="s">
        <v>6</v>
      </c>
      <c r="B110">
        <v>108</v>
      </c>
      <c r="D110" t="s">
        <v>8</v>
      </c>
      <c r="E110">
        <v>1539</v>
      </c>
    </row>
    <row r="111" spans="1:5" x14ac:dyDescent="0.2">
      <c r="A111" t="s">
        <v>6</v>
      </c>
      <c r="B111">
        <v>30</v>
      </c>
      <c r="D111" t="s">
        <v>8</v>
      </c>
      <c r="E111">
        <v>138</v>
      </c>
    </row>
    <row r="112" spans="1:5" x14ac:dyDescent="0.2">
      <c r="A112" t="s">
        <v>6</v>
      </c>
      <c r="B112">
        <v>17</v>
      </c>
      <c r="D112" t="s">
        <v>8</v>
      </c>
      <c r="E112">
        <v>3594</v>
      </c>
    </row>
    <row r="113" spans="1:5" x14ac:dyDescent="0.2">
      <c r="A113" t="s">
        <v>6</v>
      </c>
      <c r="B113">
        <v>80</v>
      </c>
      <c r="D113" t="s">
        <v>8</v>
      </c>
      <c r="E113">
        <v>112</v>
      </c>
    </row>
    <row r="114" spans="1:5" x14ac:dyDescent="0.2">
      <c r="A114" t="s">
        <v>6</v>
      </c>
      <c r="B114">
        <v>2468</v>
      </c>
      <c r="D114" t="s">
        <v>8</v>
      </c>
      <c r="E114">
        <v>943</v>
      </c>
    </row>
    <row r="115" spans="1:5" x14ac:dyDescent="0.2">
      <c r="A115" t="s">
        <v>6</v>
      </c>
      <c r="B115">
        <v>26</v>
      </c>
      <c r="D115" t="s">
        <v>8</v>
      </c>
      <c r="E115">
        <v>2468</v>
      </c>
    </row>
    <row r="116" spans="1:5" x14ac:dyDescent="0.2">
      <c r="A116" t="s">
        <v>6</v>
      </c>
      <c r="B116">
        <v>73</v>
      </c>
      <c r="D116" t="s">
        <v>8</v>
      </c>
      <c r="E116">
        <v>2551</v>
      </c>
    </row>
    <row r="117" spans="1:5" x14ac:dyDescent="0.2">
      <c r="A117" t="s">
        <v>6</v>
      </c>
      <c r="B117">
        <v>128</v>
      </c>
      <c r="D117" t="s">
        <v>8</v>
      </c>
      <c r="E117">
        <v>101</v>
      </c>
    </row>
    <row r="118" spans="1:5" x14ac:dyDescent="0.2">
      <c r="A118" t="s">
        <v>6</v>
      </c>
      <c r="B118">
        <v>33</v>
      </c>
      <c r="D118" t="s">
        <v>8</v>
      </c>
      <c r="E118">
        <v>92</v>
      </c>
    </row>
    <row r="119" spans="1:5" x14ac:dyDescent="0.2">
      <c r="A119" t="s">
        <v>6</v>
      </c>
      <c r="B119">
        <v>1072</v>
      </c>
      <c r="D119" t="s">
        <v>8</v>
      </c>
      <c r="E119">
        <v>149</v>
      </c>
    </row>
    <row r="120" spans="1:5" x14ac:dyDescent="0.2">
      <c r="A120" t="s">
        <v>6</v>
      </c>
      <c r="B120">
        <v>393</v>
      </c>
      <c r="D120" t="s">
        <v>8</v>
      </c>
      <c r="E120">
        <v>97</v>
      </c>
    </row>
    <row r="121" spans="1:5" x14ac:dyDescent="0.2">
      <c r="A121" t="s">
        <v>6</v>
      </c>
      <c r="B121">
        <v>1257</v>
      </c>
      <c r="D121" t="s">
        <v>8</v>
      </c>
      <c r="E121">
        <v>1784</v>
      </c>
    </row>
    <row r="122" spans="1:5" x14ac:dyDescent="0.2">
      <c r="A122" t="s">
        <v>6</v>
      </c>
      <c r="B122">
        <v>328</v>
      </c>
      <c r="D122" t="s">
        <v>8</v>
      </c>
      <c r="E122">
        <v>1684</v>
      </c>
    </row>
    <row r="123" spans="1:5" x14ac:dyDescent="0.2">
      <c r="A123" t="s">
        <v>6</v>
      </c>
      <c r="B123">
        <v>147</v>
      </c>
      <c r="D123" t="s">
        <v>8</v>
      </c>
      <c r="E123">
        <v>250</v>
      </c>
    </row>
    <row r="124" spans="1:5" x14ac:dyDescent="0.2">
      <c r="A124" t="s">
        <v>6</v>
      </c>
      <c r="B124">
        <v>830</v>
      </c>
      <c r="D124" t="s">
        <v>8</v>
      </c>
      <c r="E124">
        <v>238</v>
      </c>
    </row>
    <row r="125" spans="1:5" x14ac:dyDescent="0.2">
      <c r="A125" t="s">
        <v>6</v>
      </c>
      <c r="B125">
        <v>331</v>
      </c>
      <c r="D125" t="s">
        <v>8</v>
      </c>
      <c r="E125">
        <v>53</v>
      </c>
    </row>
    <row r="126" spans="1:5" x14ac:dyDescent="0.2">
      <c r="A126" t="s">
        <v>6</v>
      </c>
      <c r="B126">
        <v>25</v>
      </c>
      <c r="D126" t="s">
        <v>8</v>
      </c>
      <c r="E126">
        <v>214</v>
      </c>
    </row>
    <row r="127" spans="1:5" x14ac:dyDescent="0.2">
      <c r="A127" t="s">
        <v>6</v>
      </c>
      <c r="B127">
        <v>3483</v>
      </c>
      <c r="D127" t="s">
        <v>8</v>
      </c>
      <c r="E127">
        <v>222</v>
      </c>
    </row>
    <row r="128" spans="1:5" x14ac:dyDescent="0.2">
      <c r="A128" t="s">
        <v>6</v>
      </c>
      <c r="B128">
        <v>923</v>
      </c>
      <c r="D128" t="s">
        <v>8</v>
      </c>
      <c r="E128">
        <v>1884</v>
      </c>
    </row>
    <row r="129" spans="1:5" x14ac:dyDescent="0.2">
      <c r="A129" t="s">
        <v>6</v>
      </c>
      <c r="B129">
        <v>1</v>
      </c>
      <c r="D129" t="s">
        <v>8</v>
      </c>
      <c r="E129">
        <v>218</v>
      </c>
    </row>
    <row r="130" spans="1:5" x14ac:dyDescent="0.2">
      <c r="A130" t="s">
        <v>6</v>
      </c>
      <c r="B130">
        <v>33</v>
      </c>
      <c r="D130" t="s">
        <v>8</v>
      </c>
      <c r="E130">
        <v>6465</v>
      </c>
    </row>
    <row r="131" spans="1:5" x14ac:dyDescent="0.2">
      <c r="A131" t="s">
        <v>6</v>
      </c>
      <c r="B131">
        <v>40</v>
      </c>
      <c r="D131" t="s">
        <v>8</v>
      </c>
      <c r="E131">
        <v>88</v>
      </c>
    </row>
    <row r="132" spans="1:5" x14ac:dyDescent="0.2">
      <c r="A132" t="s">
        <v>6</v>
      </c>
      <c r="B132">
        <v>23</v>
      </c>
      <c r="D132" t="s">
        <v>8</v>
      </c>
      <c r="E132">
        <v>1697</v>
      </c>
    </row>
    <row r="133" spans="1:5" x14ac:dyDescent="0.2">
      <c r="A133" t="s">
        <v>6</v>
      </c>
      <c r="B133">
        <v>75</v>
      </c>
      <c r="D133" t="s">
        <v>8</v>
      </c>
      <c r="E133">
        <v>92</v>
      </c>
    </row>
    <row r="134" spans="1:5" x14ac:dyDescent="0.2">
      <c r="A134" t="s">
        <v>6</v>
      </c>
      <c r="B134">
        <v>2176</v>
      </c>
      <c r="D134" t="s">
        <v>8</v>
      </c>
      <c r="E134">
        <v>186</v>
      </c>
    </row>
    <row r="135" spans="1:5" x14ac:dyDescent="0.2">
      <c r="A135" t="s">
        <v>6</v>
      </c>
      <c r="B135">
        <v>441</v>
      </c>
      <c r="D135" t="s">
        <v>8</v>
      </c>
      <c r="E135">
        <v>138</v>
      </c>
    </row>
    <row r="136" spans="1:5" x14ac:dyDescent="0.2">
      <c r="A136" t="s">
        <v>6</v>
      </c>
      <c r="B136">
        <v>25</v>
      </c>
      <c r="D136" t="s">
        <v>8</v>
      </c>
      <c r="E136">
        <v>261</v>
      </c>
    </row>
    <row r="137" spans="1:5" x14ac:dyDescent="0.2">
      <c r="A137" t="s">
        <v>6</v>
      </c>
      <c r="B137">
        <v>127</v>
      </c>
      <c r="D137" t="s">
        <v>8</v>
      </c>
      <c r="E137">
        <v>107</v>
      </c>
    </row>
    <row r="138" spans="1:5" x14ac:dyDescent="0.2">
      <c r="A138" t="s">
        <v>6</v>
      </c>
      <c r="B138">
        <v>355</v>
      </c>
      <c r="D138" t="s">
        <v>8</v>
      </c>
      <c r="E138">
        <v>199</v>
      </c>
    </row>
    <row r="139" spans="1:5" x14ac:dyDescent="0.2">
      <c r="A139" t="s">
        <v>6</v>
      </c>
      <c r="B139">
        <v>44</v>
      </c>
      <c r="D139" t="s">
        <v>8</v>
      </c>
      <c r="E139">
        <v>5512</v>
      </c>
    </row>
    <row r="140" spans="1:5" x14ac:dyDescent="0.2">
      <c r="A140" t="s">
        <v>6</v>
      </c>
      <c r="B140">
        <v>67</v>
      </c>
      <c r="D140" t="s">
        <v>8</v>
      </c>
      <c r="E140">
        <v>86</v>
      </c>
    </row>
    <row r="141" spans="1:5" x14ac:dyDescent="0.2">
      <c r="A141" t="s">
        <v>6</v>
      </c>
      <c r="B141">
        <v>1068</v>
      </c>
      <c r="D141" t="s">
        <v>8</v>
      </c>
      <c r="E141">
        <v>2768</v>
      </c>
    </row>
    <row r="142" spans="1:5" x14ac:dyDescent="0.2">
      <c r="A142" t="s">
        <v>6</v>
      </c>
      <c r="B142">
        <v>424</v>
      </c>
      <c r="D142" t="s">
        <v>8</v>
      </c>
      <c r="E142">
        <v>48</v>
      </c>
    </row>
    <row r="143" spans="1:5" x14ac:dyDescent="0.2">
      <c r="A143" t="s">
        <v>6</v>
      </c>
      <c r="B143">
        <v>151</v>
      </c>
      <c r="D143" t="s">
        <v>8</v>
      </c>
      <c r="E143">
        <v>1894</v>
      </c>
    </row>
    <row r="144" spans="1:5" x14ac:dyDescent="0.2">
      <c r="A144" t="s">
        <v>6</v>
      </c>
      <c r="B144">
        <v>1608</v>
      </c>
      <c r="D144" t="s">
        <v>8</v>
      </c>
      <c r="E144">
        <v>282</v>
      </c>
    </row>
    <row r="145" spans="1:5" x14ac:dyDescent="0.2">
      <c r="A145" t="s">
        <v>6</v>
      </c>
      <c r="B145">
        <v>941</v>
      </c>
      <c r="D145" t="s">
        <v>8</v>
      </c>
      <c r="E145">
        <v>116</v>
      </c>
    </row>
    <row r="146" spans="1:5" x14ac:dyDescent="0.2">
      <c r="A146" t="s">
        <v>6</v>
      </c>
      <c r="B146">
        <v>1</v>
      </c>
      <c r="D146" t="s">
        <v>8</v>
      </c>
      <c r="E146">
        <v>83</v>
      </c>
    </row>
    <row r="147" spans="1:5" x14ac:dyDescent="0.2">
      <c r="A147" t="s">
        <v>6</v>
      </c>
      <c r="B147">
        <v>40</v>
      </c>
      <c r="D147" t="s">
        <v>8</v>
      </c>
      <c r="E147">
        <v>91</v>
      </c>
    </row>
    <row r="148" spans="1:5" x14ac:dyDescent="0.2">
      <c r="A148" t="s">
        <v>6</v>
      </c>
      <c r="B148">
        <v>3015</v>
      </c>
      <c r="D148" t="s">
        <v>8</v>
      </c>
      <c r="E148">
        <v>546</v>
      </c>
    </row>
    <row r="149" spans="1:5" x14ac:dyDescent="0.2">
      <c r="A149" t="s">
        <v>6</v>
      </c>
      <c r="B149">
        <v>435</v>
      </c>
      <c r="D149" t="s">
        <v>8</v>
      </c>
      <c r="E149">
        <v>393</v>
      </c>
    </row>
    <row r="150" spans="1:5" x14ac:dyDescent="0.2">
      <c r="A150" t="s">
        <v>6</v>
      </c>
      <c r="B150">
        <v>714</v>
      </c>
      <c r="D150" t="s">
        <v>8</v>
      </c>
      <c r="E150">
        <v>133</v>
      </c>
    </row>
    <row r="151" spans="1:5" x14ac:dyDescent="0.2">
      <c r="A151" t="s">
        <v>6</v>
      </c>
      <c r="B151">
        <v>5497</v>
      </c>
      <c r="D151" t="s">
        <v>8</v>
      </c>
      <c r="E151">
        <v>337</v>
      </c>
    </row>
    <row r="152" spans="1:5" x14ac:dyDescent="0.2">
      <c r="A152" t="s">
        <v>6</v>
      </c>
      <c r="B152">
        <v>418</v>
      </c>
      <c r="D152" t="s">
        <v>8</v>
      </c>
      <c r="E152">
        <v>107</v>
      </c>
    </row>
    <row r="153" spans="1:5" x14ac:dyDescent="0.2">
      <c r="A153" t="s">
        <v>6</v>
      </c>
      <c r="B153">
        <v>1439</v>
      </c>
      <c r="D153" t="s">
        <v>8</v>
      </c>
      <c r="E153">
        <v>183</v>
      </c>
    </row>
    <row r="154" spans="1:5" x14ac:dyDescent="0.2">
      <c r="A154" t="s">
        <v>6</v>
      </c>
      <c r="B154">
        <v>15</v>
      </c>
      <c r="D154" t="s">
        <v>8</v>
      </c>
      <c r="E154">
        <v>72</v>
      </c>
    </row>
    <row r="155" spans="1:5" x14ac:dyDescent="0.2">
      <c r="A155" t="s">
        <v>6</v>
      </c>
      <c r="B155">
        <v>1999</v>
      </c>
      <c r="D155" t="s">
        <v>8</v>
      </c>
      <c r="E155">
        <v>295</v>
      </c>
    </row>
    <row r="156" spans="1:5" x14ac:dyDescent="0.2">
      <c r="A156" t="s">
        <v>6</v>
      </c>
      <c r="B156">
        <v>118</v>
      </c>
      <c r="D156" t="s">
        <v>8</v>
      </c>
      <c r="E156">
        <v>142</v>
      </c>
    </row>
    <row r="157" spans="1:5" x14ac:dyDescent="0.2">
      <c r="A157" t="s">
        <v>6</v>
      </c>
      <c r="B157">
        <v>162</v>
      </c>
      <c r="D157" t="s">
        <v>8</v>
      </c>
      <c r="E157">
        <v>85</v>
      </c>
    </row>
    <row r="158" spans="1:5" x14ac:dyDescent="0.2">
      <c r="A158" t="s">
        <v>6</v>
      </c>
      <c r="B158">
        <v>83</v>
      </c>
      <c r="D158" t="s">
        <v>8</v>
      </c>
      <c r="E158">
        <v>659</v>
      </c>
    </row>
    <row r="159" spans="1:5" x14ac:dyDescent="0.2">
      <c r="A159" t="s">
        <v>6</v>
      </c>
      <c r="B159">
        <v>747</v>
      </c>
      <c r="D159" t="s">
        <v>8</v>
      </c>
      <c r="E159">
        <v>121</v>
      </c>
    </row>
    <row r="160" spans="1:5" x14ac:dyDescent="0.2">
      <c r="A160" t="s">
        <v>6</v>
      </c>
      <c r="B160">
        <v>84</v>
      </c>
      <c r="D160" t="s">
        <v>8</v>
      </c>
      <c r="E160">
        <v>223</v>
      </c>
    </row>
    <row r="161" spans="1:5" x14ac:dyDescent="0.2">
      <c r="A161" t="s">
        <v>6</v>
      </c>
      <c r="B161">
        <v>91</v>
      </c>
      <c r="D161" t="s">
        <v>8</v>
      </c>
      <c r="E161">
        <v>133</v>
      </c>
    </row>
    <row r="162" spans="1:5" x14ac:dyDescent="0.2">
      <c r="A162" t="s">
        <v>6</v>
      </c>
      <c r="B162">
        <v>792</v>
      </c>
      <c r="D162" t="s">
        <v>8</v>
      </c>
      <c r="E162">
        <v>5168</v>
      </c>
    </row>
    <row r="163" spans="1:5" x14ac:dyDescent="0.2">
      <c r="A163" t="s">
        <v>6</v>
      </c>
      <c r="B163">
        <v>32</v>
      </c>
      <c r="D163" t="s">
        <v>8</v>
      </c>
      <c r="E163">
        <v>2441</v>
      </c>
    </row>
    <row r="164" spans="1:5" x14ac:dyDescent="0.2">
      <c r="A164" t="s">
        <v>6</v>
      </c>
      <c r="B164">
        <v>186</v>
      </c>
      <c r="D164" t="s">
        <v>8</v>
      </c>
      <c r="E164">
        <v>190</v>
      </c>
    </row>
    <row r="165" spans="1:5" x14ac:dyDescent="0.2">
      <c r="A165" t="s">
        <v>6</v>
      </c>
      <c r="B165">
        <v>605</v>
      </c>
      <c r="D165" t="s">
        <v>8</v>
      </c>
      <c r="E165">
        <v>253</v>
      </c>
    </row>
    <row r="166" spans="1:5" x14ac:dyDescent="0.2">
      <c r="A166" t="s">
        <v>6</v>
      </c>
      <c r="B166">
        <v>1</v>
      </c>
      <c r="D166" t="s">
        <v>8</v>
      </c>
      <c r="E166">
        <v>1113</v>
      </c>
    </row>
    <row r="167" spans="1:5" x14ac:dyDescent="0.2">
      <c r="A167" t="s">
        <v>6</v>
      </c>
      <c r="B167">
        <v>31</v>
      </c>
      <c r="D167" t="s">
        <v>8</v>
      </c>
      <c r="E167">
        <v>2283</v>
      </c>
    </row>
    <row r="168" spans="1:5" x14ac:dyDescent="0.2">
      <c r="A168" t="s">
        <v>6</v>
      </c>
      <c r="B168">
        <v>1181</v>
      </c>
      <c r="D168" t="s">
        <v>8</v>
      </c>
      <c r="E168">
        <v>1095</v>
      </c>
    </row>
    <row r="169" spans="1:5" x14ac:dyDescent="0.2">
      <c r="A169" t="s">
        <v>6</v>
      </c>
      <c r="B169">
        <v>39</v>
      </c>
      <c r="D169" t="s">
        <v>8</v>
      </c>
      <c r="E169">
        <v>1690</v>
      </c>
    </row>
    <row r="170" spans="1:5" x14ac:dyDescent="0.2">
      <c r="A170" t="s">
        <v>6</v>
      </c>
      <c r="B170">
        <v>46</v>
      </c>
      <c r="D170" t="s">
        <v>8</v>
      </c>
      <c r="E170">
        <v>191</v>
      </c>
    </row>
    <row r="171" spans="1:5" x14ac:dyDescent="0.2">
      <c r="A171" t="s">
        <v>6</v>
      </c>
      <c r="B171">
        <v>105</v>
      </c>
      <c r="D171" t="s">
        <v>8</v>
      </c>
      <c r="E171">
        <v>2013</v>
      </c>
    </row>
    <row r="172" spans="1:5" x14ac:dyDescent="0.2">
      <c r="A172" t="s">
        <v>6</v>
      </c>
      <c r="B172">
        <v>535</v>
      </c>
      <c r="D172" t="s">
        <v>8</v>
      </c>
      <c r="E172">
        <v>1703</v>
      </c>
    </row>
    <row r="173" spans="1:5" x14ac:dyDescent="0.2">
      <c r="A173" t="s">
        <v>6</v>
      </c>
      <c r="B173">
        <v>16</v>
      </c>
      <c r="D173" t="s">
        <v>8</v>
      </c>
      <c r="E173">
        <v>80</v>
      </c>
    </row>
    <row r="174" spans="1:5" x14ac:dyDescent="0.2">
      <c r="A174" t="s">
        <v>6</v>
      </c>
      <c r="B174">
        <v>575</v>
      </c>
      <c r="D174" t="s">
        <v>8</v>
      </c>
      <c r="E174">
        <v>41</v>
      </c>
    </row>
    <row r="175" spans="1:5" x14ac:dyDescent="0.2">
      <c r="A175" t="s">
        <v>6</v>
      </c>
      <c r="B175">
        <v>1120</v>
      </c>
      <c r="D175" t="s">
        <v>8</v>
      </c>
      <c r="E175">
        <v>187</v>
      </c>
    </row>
    <row r="176" spans="1:5" x14ac:dyDescent="0.2">
      <c r="A176" t="s">
        <v>6</v>
      </c>
      <c r="B176">
        <v>113</v>
      </c>
      <c r="D176" t="s">
        <v>8</v>
      </c>
      <c r="E176">
        <v>2875</v>
      </c>
    </row>
    <row r="177" spans="1:5" x14ac:dyDescent="0.2">
      <c r="A177" t="s">
        <v>6</v>
      </c>
      <c r="B177">
        <v>1538</v>
      </c>
      <c r="D177" t="s">
        <v>8</v>
      </c>
      <c r="E177">
        <v>88</v>
      </c>
    </row>
    <row r="178" spans="1:5" x14ac:dyDescent="0.2">
      <c r="A178" t="s">
        <v>6</v>
      </c>
      <c r="B178">
        <v>9</v>
      </c>
      <c r="D178" t="s">
        <v>8</v>
      </c>
      <c r="E178">
        <v>191</v>
      </c>
    </row>
    <row r="179" spans="1:5" x14ac:dyDescent="0.2">
      <c r="A179" t="s">
        <v>6</v>
      </c>
      <c r="B179">
        <v>554</v>
      </c>
      <c r="D179" t="s">
        <v>8</v>
      </c>
      <c r="E179">
        <v>139</v>
      </c>
    </row>
    <row r="180" spans="1:5" x14ac:dyDescent="0.2">
      <c r="A180" t="s">
        <v>6</v>
      </c>
      <c r="B180">
        <v>648</v>
      </c>
      <c r="D180" t="s">
        <v>8</v>
      </c>
      <c r="E180">
        <v>186</v>
      </c>
    </row>
    <row r="181" spans="1:5" x14ac:dyDescent="0.2">
      <c r="A181" t="s">
        <v>6</v>
      </c>
      <c r="B181">
        <v>21</v>
      </c>
      <c r="D181" t="s">
        <v>8</v>
      </c>
      <c r="E181">
        <v>112</v>
      </c>
    </row>
    <row r="182" spans="1:5" x14ac:dyDescent="0.2">
      <c r="A182" t="s">
        <v>6</v>
      </c>
      <c r="B182">
        <v>54</v>
      </c>
      <c r="D182" t="s">
        <v>8</v>
      </c>
      <c r="E182">
        <v>206</v>
      </c>
    </row>
    <row r="183" spans="1:5" x14ac:dyDescent="0.2">
      <c r="A183" t="s">
        <v>6</v>
      </c>
      <c r="B183">
        <v>120</v>
      </c>
      <c r="D183" t="s">
        <v>8</v>
      </c>
      <c r="E183">
        <v>154</v>
      </c>
    </row>
    <row r="184" spans="1:5" x14ac:dyDescent="0.2">
      <c r="A184" t="s">
        <v>6</v>
      </c>
      <c r="B184">
        <v>579</v>
      </c>
      <c r="D184" t="s">
        <v>8</v>
      </c>
      <c r="E184">
        <v>5966</v>
      </c>
    </row>
    <row r="185" spans="1:5" x14ac:dyDescent="0.2">
      <c r="A185" t="s">
        <v>6</v>
      </c>
      <c r="B185">
        <v>2072</v>
      </c>
      <c r="D185" t="s">
        <v>8</v>
      </c>
      <c r="E185">
        <v>169</v>
      </c>
    </row>
    <row r="186" spans="1:5" x14ac:dyDescent="0.2">
      <c r="A186" t="s">
        <v>6</v>
      </c>
      <c r="B186">
        <v>0</v>
      </c>
      <c r="D186" t="s">
        <v>8</v>
      </c>
      <c r="E186">
        <v>2106</v>
      </c>
    </row>
    <row r="187" spans="1:5" x14ac:dyDescent="0.2">
      <c r="A187" t="s">
        <v>6</v>
      </c>
      <c r="B187">
        <v>1796</v>
      </c>
      <c r="D187" t="s">
        <v>8</v>
      </c>
      <c r="E187">
        <v>131</v>
      </c>
    </row>
    <row r="188" spans="1:5" x14ac:dyDescent="0.2">
      <c r="A188" t="s">
        <v>6</v>
      </c>
      <c r="B188">
        <v>62</v>
      </c>
      <c r="D188" t="s">
        <v>8</v>
      </c>
      <c r="E188">
        <v>84</v>
      </c>
    </row>
    <row r="189" spans="1:5" x14ac:dyDescent="0.2">
      <c r="A189" t="s">
        <v>6</v>
      </c>
      <c r="B189">
        <v>347</v>
      </c>
      <c r="D189" t="s">
        <v>8</v>
      </c>
      <c r="E189">
        <v>155</v>
      </c>
    </row>
    <row r="190" spans="1:5" x14ac:dyDescent="0.2">
      <c r="A190" t="s">
        <v>6</v>
      </c>
      <c r="B190">
        <v>19</v>
      </c>
      <c r="D190" t="s">
        <v>8</v>
      </c>
      <c r="E190">
        <v>189</v>
      </c>
    </row>
    <row r="191" spans="1:5" x14ac:dyDescent="0.2">
      <c r="A191" t="s">
        <v>6</v>
      </c>
      <c r="B191">
        <v>1258</v>
      </c>
      <c r="D191" t="s">
        <v>8</v>
      </c>
      <c r="E191">
        <v>4799</v>
      </c>
    </row>
    <row r="192" spans="1:5" x14ac:dyDescent="0.2">
      <c r="A192" t="s">
        <v>6</v>
      </c>
      <c r="B192">
        <v>362</v>
      </c>
      <c r="D192" t="s">
        <v>8</v>
      </c>
      <c r="E192">
        <v>1137</v>
      </c>
    </row>
    <row r="193" spans="1:5" x14ac:dyDescent="0.2">
      <c r="A193" t="s">
        <v>6</v>
      </c>
      <c r="B193">
        <v>133</v>
      </c>
      <c r="D193" t="s">
        <v>8</v>
      </c>
      <c r="E193">
        <v>3059</v>
      </c>
    </row>
    <row r="194" spans="1:5" x14ac:dyDescent="0.2">
      <c r="A194" t="s">
        <v>6</v>
      </c>
      <c r="B194">
        <v>846</v>
      </c>
      <c r="D194" t="s">
        <v>8</v>
      </c>
      <c r="E194">
        <v>34</v>
      </c>
    </row>
    <row r="195" spans="1:5" x14ac:dyDescent="0.2">
      <c r="A195" t="s">
        <v>6</v>
      </c>
      <c r="B195">
        <v>10</v>
      </c>
      <c r="D195" t="s">
        <v>8</v>
      </c>
      <c r="E195">
        <v>220</v>
      </c>
    </row>
    <row r="196" spans="1:5" x14ac:dyDescent="0.2">
      <c r="A196" t="s">
        <v>6</v>
      </c>
      <c r="B196">
        <v>191</v>
      </c>
      <c r="D196" t="s">
        <v>8</v>
      </c>
      <c r="E196">
        <v>1604</v>
      </c>
    </row>
    <row r="197" spans="1:5" x14ac:dyDescent="0.2">
      <c r="A197" t="s">
        <v>6</v>
      </c>
      <c r="B197">
        <v>1979</v>
      </c>
      <c r="D197" t="s">
        <v>8</v>
      </c>
      <c r="E197">
        <v>454</v>
      </c>
    </row>
    <row r="198" spans="1:5" x14ac:dyDescent="0.2">
      <c r="A198" t="s">
        <v>6</v>
      </c>
      <c r="B198">
        <v>63</v>
      </c>
      <c r="D198" t="s">
        <v>8</v>
      </c>
      <c r="E198">
        <v>123</v>
      </c>
    </row>
    <row r="199" spans="1:5" x14ac:dyDescent="0.2">
      <c r="A199" t="s">
        <v>6</v>
      </c>
      <c r="B199">
        <v>6080</v>
      </c>
      <c r="D199" t="s">
        <v>8</v>
      </c>
      <c r="E199">
        <v>299</v>
      </c>
    </row>
    <row r="200" spans="1:5" x14ac:dyDescent="0.2">
      <c r="A200" t="s">
        <v>6</v>
      </c>
      <c r="B200">
        <v>80</v>
      </c>
      <c r="D200" t="s">
        <v>8</v>
      </c>
      <c r="E200">
        <v>2237</v>
      </c>
    </row>
    <row r="201" spans="1:5" x14ac:dyDescent="0.2">
      <c r="A201" t="s">
        <v>6</v>
      </c>
      <c r="B201">
        <v>9</v>
      </c>
      <c r="D201" t="s">
        <v>8</v>
      </c>
      <c r="E201">
        <v>645</v>
      </c>
    </row>
    <row r="202" spans="1:5" x14ac:dyDescent="0.2">
      <c r="A202" t="s">
        <v>6</v>
      </c>
      <c r="B202">
        <v>1784</v>
      </c>
      <c r="D202" t="s">
        <v>8</v>
      </c>
      <c r="E202">
        <v>484</v>
      </c>
    </row>
    <row r="203" spans="1:5" x14ac:dyDescent="0.2">
      <c r="A203" t="s">
        <v>6</v>
      </c>
      <c r="B203">
        <v>243</v>
      </c>
      <c r="D203" t="s">
        <v>8</v>
      </c>
      <c r="E203">
        <v>82</v>
      </c>
    </row>
    <row r="204" spans="1:5" x14ac:dyDescent="0.2">
      <c r="A204" t="s">
        <v>6</v>
      </c>
      <c r="B204">
        <v>1296</v>
      </c>
      <c r="D204" t="s">
        <v>8</v>
      </c>
      <c r="E204">
        <v>134</v>
      </c>
    </row>
    <row r="205" spans="1:5" x14ac:dyDescent="0.2">
      <c r="A205" t="s">
        <v>6</v>
      </c>
      <c r="B205">
        <v>77</v>
      </c>
      <c r="D205" t="s">
        <v>8</v>
      </c>
      <c r="E205">
        <v>5203</v>
      </c>
    </row>
    <row r="206" spans="1:5" x14ac:dyDescent="0.2">
      <c r="A206" t="s">
        <v>6</v>
      </c>
      <c r="B206">
        <v>395</v>
      </c>
      <c r="D206" t="s">
        <v>8</v>
      </c>
      <c r="E206">
        <v>94</v>
      </c>
    </row>
    <row r="207" spans="1:5" x14ac:dyDescent="0.2">
      <c r="A207" t="s">
        <v>6</v>
      </c>
      <c r="B207">
        <v>49</v>
      </c>
      <c r="D207" t="s">
        <v>8</v>
      </c>
      <c r="E207">
        <v>205</v>
      </c>
    </row>
    <row r="208" spans="1:5" x14ac:dyDescent="0.2">
      <c r="A208" t="s">
        <v>6</v>
      </c>
      <c r="B208">
        <v>180</v>
      </c>
      <c r="D208" t="s">
        <v>8</v>
      </c>
      <c r="E208">
        <v>92</v>
      </c>
    </row>
    <row r="209" spans="1:5" x14ac:dyDescent="0.2">
      <c r="A209" t="s">
        <v>6</v>
      </c>
      <c r="B209">
        <v>2690</v>
      </c>
      <c r="D209" t="s">
        <v>8</v>
      </c>
      <c r="E209">
        <v>219</v>
      </c>
    </row>
    <row r="210" spans="1:5" x14ac:dyDescent="0.2">
      <c r="A210" t="s">
        <v>6</v>
      </c>
      <c r="B210">
        <v>2779</v>
      </c>
      <c r="D210" t="s">
        <v>8</v>
      </c>
      <c r="E210">
        <v>94</v>
      </c>
    </row>
    <row r="211" spans="1:5" x14ac:dyDescent="0.2">
      <c r="A211" t="s">
        <v>6</v>
      </c>
      <c r="B211">
        <v>92</v>
      </c>
      <c r="D211" t="s">
        <v>8</v>
      </c>
      <c r="E211">
        <v>1713</v>
      </c>
    </row>
    <row r="212" spans="1:5" x14ac:dyDescent="0.2">
      <c r="A212" t="s">
        <v>6</v>
      </c>
      <c r="B212">
        <v>1028</v>
      </c>
      <c r="D212" t="s">
        <v>8</v>
      </c>
      <c r="E212">
        <v>249</v>
      </c>
    </row>
    <row r="213" spans="1:5" x14ac:dyDescent="0.2">
      <c r="A213" t="s">
        <v>6</v>
      </c>
      <c r="B213">
        <v>26</v>
      </c>
      <c r="D213" t="s">
        <v>8</v>
      </c>
      <c r="E213">
        <v>192</v>
      </c>
    </row>
    <row r="214" spans="1:5" x14ac:dyDescent="0.2">
      <c r="A214" t="s">
        <v>6</v>
      </c>
      <c r="B214">
        <v>1790</v>
      </c>
      <c r="D214" t="s">
        <v>8</v>
      </c>
      <c r="E214">
        <v>247</v>
      </c>
    </row>
    <row r="215" spans="1:5" x14ac:dyDescent="0.2">
      <c r="A215" t="s">
        <v>6</v>
      </c>
      <c r="B215">
        <v>37</v>
      </c>
      <c r="D215" t="s">
        <v>8</v>
      </c>
      <c r="E215">
        <v>2293</v>
      </c>
    </row>
    <row r="216" spans="1:5" x14ac:dyDescent="0.2">
      <c r="A216" t="s">
        <v>6</v>
      </c>
      <c r="B216">
        <v>35</v>
      </c>
      <c r="D216" t="s">
        <v>8</v>
      </c>
      <c r="E216">
        <v>3131</v>
      </c>
    </row>
    <row r="217" spans="1:5" x14ac:dyDescent="0.2">
      <c r="A217" t="s">
        <v>6</v>
      </c>
      <c r="B217">
        <v>558</v>
      </c>
      <c r="D217" t="s">
        <v>8</v>
      </c>
      <c r="E217">
        <v>296</v>
      </c>
    </row>
    <row r="218" spans="1:5" x14ac:dyDescent="0.2">
      <c r="A218" t="s">
        <v>6</v>
      </c>
      <c r="B218">
        <v>64</v>
      </c>
      <c r="D218" t="s">
        <v>8</v>
      </c>
      <c r="E218">
        <v>170</v>
      </c>
    </row>
    <row r="219" spans="1:5" x14ac:dyDescent="0.2">
      <c r="A219" t="s">
        <v>6</v>
      </c>
      <c r="B219">
        <v>245</v>
      </c>
      <c r="D219" t="s">
        <v>8</v>
      </c>
      <c r="E219">
        <v>6286</v>
      </c>
    </row>
    <row r="220" spans="1:5" x14ac:dyDescent="0.2">
      <c r="A220" t="s">
        <v>6</v>
      </c>
      <c r="B220">
        <v>71</v>
      </c>
      <c r="D220" t="s">
        <v>8</v>
      </c>
      <c r="E220">
        <v>3727</v>
      </c>
    </row>
    <row r="221" spans="1:5" x14ac:dyDescent="0.2">
      <c r="A221" t="s">
        <v>6</v>
      </c>
      <c r="B221">
        <v>42</v>
      </c>
      <c r="D221" t="s">
        <v>8</v>
      </c>
      <c r="E221">
        <v>1605</v>
      </c>
    </row>
    <row r="222" spans="1:5" x14ac:dyDescent="0.2">
      <c r="A222" t="s">
        <v>6</v>
      </c>
      <c r="B222">
        <v>156</v>
      </c>
      <c r="D222" t="s">
        <v>8</v>
      </c>
      <c r="E222">
        <v>2120</v>
      </c>
    </row>
    <row r="223" spans="1:5" x14ac:dyDescent="0.2">
      <c r="A223" t="s">
        <v>6</v>
      </c>
      <c r="B223">
        <v>1368</v>
      </c>
      <c r="D223" t="s">
        <v>8</v>
      </c>
      <c r="E223">
        <v>50</v>
      </c>
    </row>
    <row r="224" spans="1:5" x14ac:dyDescent="0.2">
      <c r="A224" t="s">
        <v>6</v>
      </c>
      <c r="B224">
        <v>102</v>
      </c>
      <c r="D224" t="s">
        <v>8</v>
      </c>
      <c r="E224">
        <v>2080</v>
      </c>
    </row>
    <row r="225" spans="1:5" x14ac:dyDescent="0.2">
      <c r="A225" t="s">
        <v>6</v>
      </c>
      <c r="B225">
        <v>86</v>
      </c>
      <c r="D225" t="s">
        <v>8</v>
      </c>
      <c r="E225">
        <v>2105</v>
      </c>
    </row>
    <row r="226" spans="1:5" x14ac:dyDescent="0.2">
      <c r="A226" t="s">
        <v>6</v>
      </c>
      <c r="B226">
        <v>253</v>
      </c>
      <c r="D226" t="s">
        <v>8</v>
      </c>
      <c r="E226">
        <v>2436</v>
      </c>
    </row>
    <row r="227" spans="1:5" x14ac:dyDescent="0.2">
      <c r="A227" t="s">
        <v>6</v>
      </c>
      <c r="B227">
        <v>157</v>
      </c>
      <c r="D227" t="s">
        <v>8</v>
      </c>
      <c r="E227">
        <v>80</v>
      </c>
    </row>
    <row r="228" spans="1:5" x14ac:dyDescent="0.2">
      <c r="A228" t="s">
        <v>6</v>
      </c>
      <c r="B228">
        <v>183</v>
      </c>
      <c r="D228" t="s">
        <v>8</v>
      </c>
      <c r="E228">
        <v>42</v>
      </c>
    </row>
    <row r="229" spans="1:5" x14ac:dyDescent="0.2">
      <c r="A229" t="s">
        <v>6</v>
      </c>
      <c r="B229">
        <v>82</v>
      </c>
      <c r="D229" t="s">
        <v>8</v>
      </c>
      <c r="E229">
        <v>139</v>
      </c>
    </row>
    <row r="230" spans="1:5" x14ac:dyDescent="0.2">
      <c r="A230" t="s">
        <v>6</v>
      </c>
      <c r="B230">
        <v>1</v>
      </c>
      <c r="D230" t="s">
        <v>8</v>
      </c>
      <c r="E230">
        <v>159</v>
      </c>
    </row>
    <row r="231" spans="1:5" x14ac:dyDescent="0.2">
      <c r="A231" t="s">
        <v>6</v>
      </c>
      <c r="B231">
        <v>1198</v>
      </c>
      <c r="D231" t="s">
        <v>8</v>
      </c>
      <c r="E231">
        <v>194</v>
      </c>
    </row>
    <row r="232" spans="1:5" x14ac:dyDescent="0.2">
      <c r="A232" t="s">
        <v>6</v>
      </c>
      <c r="B232">
        <v>648</v>
      </c>
      <c r="D232" t="s">
        <v>8</v>
      </c>
      <c r="E232">
        <v>106</v>
      </c>
    </row>
    <row r="233" spans="1:5" x14ac:dyDescent="0.2">
      <c r="A233" t="s">
        <v>6</v>
      </c>
      <c r="B233">
        <v>64</v>
      </c>
      <c r="D233" t="s">
        <v>8</v>
      </c>
      <c r="E233">
        <v>142</v>
      </c>
    </row>
    <row r="234" spans="1:5" x14ac:dyDescent="0.2">
      <c r="A234" t="s">
        <v>6</v>
      </c>
      <c r="B234">
        <v>62</v>
      </c>
      <c r="D234" t="s">
        <v>8</v>
      </c>
      <c r="E234">
        <v>211</v>
      </c>
    </row>
    <row r="235" spans="1:5" x14ac:dyDescent="0.2">
      <c r="A235" t="s">
        <v>6</v>
      </c>
      <c r="B235">
        <v>750</v>
      </c>
      <c r="D235" t="s">
        <v>8</v>
      </c>
      <c r="E235">
        <v>2756</v>
      </c>
    </row>
    <row r="236" spans="1:5" x14ac:dyDescent="0.2">
      <c r="A236" t="s">
        <v>6</v>
      </c>
      <c r="B236">
        <v>105</v>
      </c>
      <c r="D236" t="s">
        <v>8</v>
      </c>
      <c r="E236">
        <v>1572</v>
      </c>
    </row>
    <row r="237" spans="1:5" x14ac:dyDescent="0.2">
      <c r="A237" t="s">
        <v>6</v>
      </c>
      <c r="B237">
        <v>2604</v>
      </c>
      <c r="D237" t="s">
        <v>8</v>
      </c>
      <c r="E237">
        <v>115</v>
      </c>
    </row>
    <row r="238" spans="1:5" x14ac:dyDescent="0.2">
      <c r="A238" t="s">
        <v>6</v>
      </c>
      <c r="B238">
        <v>65</v>
      </c>
      <c r="D238" t="s">
        <v>8</v>
      </c>
      <c r="E238">
        <v>85</v>
      </c>
    </row>
    <row r="239" spans="1:5" x14ac:dyDescent="0.2">
      <c r="A239" t="s">
        <v>6</v>
      </c>
      <c r="B239">
        <v>94</v>
      </c>
      <c r="D239" t="s">
        <v>8</v>
      </c>
      <c r="E239">
        <v>144</v>
      </c>
    </row>
    <row r="240" spans="1:5" x14ac:dyDescent="0.2">
      <c r="A240" t="s">
        <v>6</v>
      </c>
      <c r="B240">
        <v>257</v>
      </c>
      <c r="D240" t="s">
        <v>8</v>
      </c>
      <c r="E240">
        <v>64</v>
      </c>
    </row>
    <row r="241" spans="1:5" x14ac:dyDescent="0.2">
      <c r="A241" t="s">
        <v>6</v>
      </c>
      <c r="B241">
        <v>2928</v>
      </c>
      <c r="D241" t="s">
        <v>8</v>
      </c>
      <c r="E241">
        <v>268</v>
      </c>
    </row>
    <row r="242" spans="1:5" x14ac:dyDescent="0.2">
      <c r="A242" t="s">
        <v>6</v>
      </c>
      <c r="B242">
        <v>4697</v>
      </c>
      <c r="D242" t="s">
        <v>8</v>
      </c>
      <c r="E242">
        <v>195</v>
      </c>
    </row>
    <row r="243" spans="1:5" x14ac:dyDescent="0.2">
      <c r="A243" t="s">
        <v>6</v>
      </c>
      <c r="B243">
        <v>2915</v>
      </c>
      <c r="D243" t="s">
        <v>8</v>
      </c>
      <c r="E243">
        <v>186</v>
      </c>
    </row>
    <row r="244" spans="1:5" x14ac:dyDescent="0.2">
      <c r="A244" t="s">
        <v>6</v>
      </c>
      <c r="B244">
        <v>18</v>
      </c>
      <c r="D244" t="s">
        <v>8</v>
      </c>
      <c r="E244">
        <v>460</v>
      </c>
    </row>
    <row r="245" spans="1:5" x14ac:dyDescent="0.2">
      <c r="A245" t="s">
        <v>6</v>
      </c>
      <c r="B245">
        <v>602</v>
      </c>
      <c r="D245" t="s">
        <v>8</v>
      </c>
      <c r="E245">
        <v>3657</v>
      </c>
    </row>
    <row r="246" spans="1:5" x14ac:dyDescent="0.2">
      <c r="A246" t="s">
        <v>6</v>
      </c>
      <c r="B246">
        <v>1</v>
      </c>
      <c r="D246" t="s">
        <v>8</v>
      </c>
      <c r="E246">
        <v>131</v>
      </c>
    </row>
    <row r="247" spans="1:5" x14ac:dyDescent="0.2">
      <c r="A247" t="s">
        <v>6</v>
      </c>
      <c r="B247">
        <v>3868</v>
      </c>
      <c r="D247" t="s">
        <v>8</v>
      </c>
      <c r="E247">
        <v>239</v>
      </c>
    </row>
    <row r="248" spans="1:5" x14ac:dyDescent="0.2">
      <c r="A248" t="s">
        <v>6</v>
      </c>
      <c r="B248">
        <v>504</v>
      </c>
      <c r="D248" t="s">
        <v>8</v>
      </c>
      <c r="E248">
        <v>78</v>
      </c>
    </row>
    <row r="249" spans="1:5" x14ac:dyDescent="0.2">
      <c r="A249" t="s">
        <v>6</v>
      </c>
      <c r="B249">
        <v>14</v>
      </c>
      <c r="D249" t="s">
        <v>8</v>
      </c>
      <c r="E249">
        <v>1773</v>
      </c>
    </row>
    <row r="250" spans="1:5" x14ac:dyDescent="0.2">
      <c r="A250" t="s">
        <v>6</v>
      </c>
      <c r="B250">
        <v>750</v>
      </c>
      <c r="D250" t="s">
        <v>8</v>
      </c>
      <c r="E250">
        <v>369</v>
      </c>
    </row>
    <row r="251" spans="1:5" x14ac:dyDescent="0.2">
      <c r="A251" t="s">
        <v>6</v>
      </c>
      <c r="B251">
        <v>77</v>
      </c>
      <c r="D251" t="s">
        <v>8</v>
      </c>
      <c r="E251">
        <v>89</v>
      </c>
    </row>
    <row r="252" spans="1:5" x14ac:dyDescent="0.2">
      <c r="A252" t="s">
        <v>6</v>
      </c>
      <c r="B252">
        <v>752</v>
      </c>
      <c r="D252" t="s">
        <v>8</v>
      </c>
      <c r="E252">
        <v>147</v>
      </c>
    </row>
    <row r="253" spans="1:5" x14ac:dyDescent="0.2">
      <c r="A253" t="s">
        <v>6</v>
      </c>
      <c r="B253">
        <v>131</v>
      </c>
      <c r="D253" t="s">
        <v>8</v>
      </c>
      <c r="E253">
        <v>126</v>
      </c>
    </row>
    <row r="254" spans="1:5" x14ac:dyDescent="0.2">
      <c r="A254" t="s">
        <v>6</v>
      </c>
      <c r="B254">
        <v>87</v>
      </c>
      <c r="D254" t="s">
        <v>8</v>
      </c>
      <c r="E254">
        <v>2218</v>
      </c>
    </row>
    <row r="255" spans="1:5" x14ac:dyDescent="0.2">
      <c r="A255" t="s">
        <v>6</v>
      </c>
      <c r="B255">
        <v>1063</v>
      </c>
      <c r="D255" t="s">
        <v>8</v>
      </c>
      <c r="E255">
        <v>202</v>
      </c>
    </row>
    <row r="256" spans="1:5" x14ac:dyDescent="0.2">
      <c r="A256" t="s">
        <v>6</v>
      </c>
      <c r="B256">
        <v>76</v>
      </c>
      <c r="D256" t="s">
        <v>8</v>
      </c>
      <c r="E256">
        <v>1052</v>
      </c>
    </row>
    <row r="257" spans="1:5" x14ac:dyDescent="0.2">
      <c r="A257" t="s">
        <v>6</v>
      </c>
      <c r="B257">
        <v>4428</v>
      </c>
      <c r="D257" t="s">
        <v>8</v>
      </c>
      <c r="E257">
        <v>247</v>
      </c>
    </row>
    <row r="258" spans="1:5" x14ac:dyDescent="0.2">
      <c r="A258" t="s">
        <v>6</v>
      </c>
      <c r="B258">
        <v>58</v>
      </c>
      <c r="D258" t="s">
        <v>8</v>
      </c>
      <c r="E258">
        <v>84</v>
      </c>
    </row>
    <row r="259" spans="1:5" x14ac:dyDescent="0.2">
      <c r="A259" t="s">
        <v>6</v>
      </c>
      <c r="B259">
        <v>111</v>
      </c>
      <c r="D259" t="s">
        <v>8</v>
      </c>
      <c r="E259">
        <v>156</v>
      </c>
    </row>
    <row r="260" spans="1:5" x14ac:dyDescent="0.2">
      <c r="A260" t="s">
        <v>6</v>
      </c>
      <c r="B260">
        <v>2955</v>
      </c>
      <c r="D260" t="s">
        <v>8</v>
      </c>
      <c r="E260">
        <v>762</v>
      </c>
    </row>
    <row r="261" spans="1:5" x14ac:dyDescent="0.2">
      <c r="A261" t="s">
        <v>6</v>
      </c>
      <c r="B261">
        <v>1657</v>
      </c>
      <c r="D261" t="s">
        <v>8</v>
      </c>
      <c r="E261">
        <v>554</v>
      </c>
    </row>
    <row r="262" spans="1:5" x14ac:dyDescent="0.2">
      <c r="A262" t="s">
        <v>6</v>
      </c>
      <c r="B262">
        <v>926</v>
      </c>
      <c r="D262" t="s">
        <v>8</v>
      </c>
      <c r="E262">
        <v>135</v>
      </c>
    </row>
    <row r="263" spans="1:5" x14ac:dyDescent="0.2">
      <c r="A263" t="s">
        <v>6</v>
      </c>
      <c r="B263">
        <v>77</v>
      </c>
      <c r="D263" t="s">
        <v>8</v>
      </c>
      <c r="E263">
        <v>122</v>
      </c>
    </row>
    <row r="264" spans="1:5" x14ac:dyDescent="0.2">
      <c r="A264" t="s">
        <v>6</v>
      </c>
      <c r="B264">
        <v>1748</v>
      </c>
      <c r="D264" t="s">
        <v>8</v>
      </c>
      <c r="E264">
        <v>221</v>
      </c>
    </row>
    <row r="265" spans="1:5" x14ac:dyDescent="0.2">
      <c r="A265" t="s">
        <v>6</v>
      </c>
      <c r="B265">
        <v>79</v>
      </c>
      <c r="D265" t="s">
        <v>8</v>
      </c>
      <c r="E265">
        <v>126</v>
      </c>
    </row>
    <row r="266" spans="1:5" x14ac:dyDescent="0.2">
      <c r="A266" t="s">
        <v>6</v>
      </c>
      <c r="B266">
        <v>889</v>
      </c>
      <c r="D266" t="s">
        <v>8</v>
      </c>
      <c r="E266">
        <v>1022</v>
      </c>
    </row>
    <row r="267" spans="1:5" x14ac:dyDescent="0.2">
      <c r="A267" t="s">
        <v>6</v>
      </c>
      <c r="B267">
        <v>56</v>
      </c>
      <c r="D267" t="s">
        <v>8</v>
      </c>
      <c r="E267">
        <v>3177</v>
      </c>
    </row>
    <row r="268" spans="1:5" x14ac:dyDescent="0.2">
      <c r="A268" t="s">
        <v>6</v>
      </c>
      <c r="B268">
        <v>1</v>
      </c>
      <c r="D268" t="s">
        <v>8</v>
      </c>
      <c r="E268">
        <v>198</v>
      </c>
    </row>
    <row r="269" spans="1:5" x14ac:dyDescent="0.2">
      <c r="A269" t="s">
        <v>6</v>
      </c>
      <c r="B269">
        <v>83</v>
      </c>
      <c r="D269" t="s">
        <v>8</v>
      </c>
      <c r="E269">
        <v>85</v>
      </c>
    </row>
    <row r="270" spans="1:5" x14ac:dyDescent="0.2">
      <c r="A270" t="s">
        <v>6</v>
      </c>
      <c r="B270">
        <v>2025</v>
      </c>
      <c r="D270" t="s">
        <v>8</v>
      </c>
      <c r="E270">
        <v>3596</v>
      </c>
    </row>
    <row r="271" spans="1:5" x14ac:dyDescent="0.2">
      <c r="A271" t="s">
        <v>6</v>
      </c>
      <c r="B271">
        <v>14</v>
      </c>
      <c r="D271" t="s">
        <v>8</v>
      </c>
      <c r="E271">
        <v>244</v>
      </c>
    </row>
    <row r="272" spans="1:5" x14ac:dyDescent="0.2">
      <c r="A272" t="s">
        <v>6</v>
      </c>
      <c r="B272">
        <v>656</v>
      </c>
      <c r="D272" t="s">
        <v>8</v>
      </c>
      <c r="E272">
        <v>5180</v>
      </c>
    </row>
    <row r="273" spans="1:5" x14ac:dyDescent="0.2">
      <c r="A273" t="s">
        <v>6</v>
      </c>
      <c r="B273">
        <v>1596</v>
      </c>
      <c r="D273" t="s">
        <v>8</v>
      </c>
      <c r="E273">
        <v>300</v>
      </c>
    </row>
    <row r="274" spans="1:5" x14ac:dyDescent="0.2">
      <c r="A274" t="s">
        <v>6</v>
      </c>
      <c r="B274">
        <v>10</v>
      </c>
      <c r="D274" t="s">
        <v>8</v>
      </c>
      <c r="E274">
        <v>87</v>
      </c>
    </row>
    <row r="275" spans="1:5" x14ac:dyDescent="0.2">
      <c r="A275" t="s">
        <v>6</v>
      </c>
      <c r="B275">
        <v>1121</v>
      </c>
      <c r="D275" t="s">
        <v>8</v>
      </c>
      <c r="E275">
        <v>909</v>
      </c>
    </row>
    <row r="276" spans="1:5" x14ac:dyDescent="0.2">
      <c r="A276" t="s">
        <v>6</v>
      </c>
      <c r="B276">
        <v>15</v>
      </c>
      <c r="D276" t="s">
        <v>8</v>
      </c>
      <c r="E276">
        <v>136</v>
      </c>
    </row>
    <row r="277" spans="1:5" x14ac:dyDescent="0.2">
      <c r="A277" t="s">
        <v>6</v>
      </c>
      <c r="B277">
        <v>191</v>
      </c>
      <c r="D277" t="s">
        <v>8</v>
      </c>
      <c r="E277">
        <v>130</v>
      </c>
    </row>
    <row r="278" spans="1:5" x14ac:dyDescent="0.2">
      <c r="A278" t="s">
        <v>6</v>
      </c>
      <c r="B278">
        <v>16</v>
      </c>
      <c r="D278" t="s">
        <v>8</v>
      </c>
      <c r="E278">
        <v>102</v>
      </c>
    </row>
    <row r="279" spans="1:5" x14ac:dyDescent="0.2">
      <c r="A279" t="s">
        <v>6</v>
      </c>
      <c r="B279">
        <v>17</v>
      </c>
      <c r="D279" t="s">
        <v>8</v>
      </c>
      <c r="E279">
        <v>4006</v>
      </c>
    </row>
    <row r="280" spans="1:5" x14ac:dyDescent="0.2">
      <c r="A280" t="s">
        <v>6</v>
      </c>
      <c r="B280">
        <v>34</v>
      </c>
      <c r="D280" t="s">
        <v>8</v>
      </c>
      <c r="E280">
        <v>1629</v>
      </c>
    </row>
    <row r="281" spans="1:5" x14ac:dyDescent="0.2">
      <c r="A281" t="s">
        <v>6</v>
      </c>
      <c r="B281">
        <v>1</v>
      </c>
      <c r="D281" t="s">
        <v>8</v>
      </c>
      <c r="E281">
        <v>2409</v>
      </c>
    </row>
    <row r="282" spans="1:5" x14ac:dyDescent="0.2">
      <c r="A282" t="s">
        <v>6</v>
      </c>
      <c r="B282">
        <v>1274</v>
      </c>
      <c r="D282" t="s">
        <v>8</v>
      </c>
      <c r="E282">
        <v>1140</v>
      </c>
    </row>
    <row r="283" spans="1:5" x14ac:dyDescent="0.2">
      <c r="A283" t="s">
        <v>6</v>
      </c>
      <c r="B283">
        <v>210</v>
      </c>
      <c r="D283" t="s">
        <v>8</v>
      </c>
      <c r="E283">
        <v>102</v>
      </c>
    </row>
    <row r="284" spans="1:5" x14ac:dyDescent="0.2">
      <c r="A284" t="s">
        <v>6</v>
      </c>
      <c r="B284">
        <v>248</v>
      </c>
      <c r="D284" t="s">
        <v>8</v>
      </c>
      <c r="E284">
        <v>2857</v>
      </c>
    </row>
    <row r="285" spans="1:5" x14ac:dyDescent="0.2">
      <c r="A285" t="s">
        <v>6</v>
      </c>
      <c r="B285">
        <v>513</v>
      </c>
      <c r="D285" t="s">
        <v>8</v>
      </c>
      <c r="E285">
        <v>107</v>
      </c>
    </row>
    <row r="286" spans="1:5" x14ac:dyDescent="0.2">
      <c r="A286" t="s">
        <v>6</v>
      </c>
      <c r="B286">
        <v>3410</v>
      </c>
      <c r="D286" t="s">
        <v>8</v>
      </c>
      <c r="E286">
        <v>160</v>
      </c>
    </row>
    <row r="287" spans="1:5" x14ac:dyDescent="0.2">
      <c r="A287" t="s">
        <v>6</v>
      </c>
      <c r="B287">
        <v>10</v>
      </c>
      <c r="D287" t="s">
        <v>8</v>
      </c>
      <c r="E287">
        <v>316</v>
      </c>
    </row>
    <row r="288" spans="1:5" x14ac:dyDescent="0.2">
      <c r="A288" t="s">
        <v>6</v>
      </c>
      <c r="B288">
        <v>2201</v>
      </c>
      <c r="D288" t="s">
        <v>8</v>
      </c>
      <c r="E288">
        <v>117</v>
      </c>
    </row>
    <row r="289" spans="1:5" x14ac:dyDescent="0.2">
      <c r="A289" t="s">
        <v>6</v>
      </c>
      <c r="B289">
        <v>676</v>
      </c>
      <c r="D289" t="s">
        <v>8</v>
      </c>
      <c r="E289">
        <v>6406</v>
      </c>
    </row>
    <row r="290" spans="1:5" x14ac:dyDescent="0.2">
      <c r="A290" t="s">
        <v>6</v>
      </c>
      <c r="B290">
        <v>831</v>
      </c>
      <c r="D290" t="s">
        <v>8</v>
      </c>
      <c r="E290">
        <v>192</v>
      </c>
    </row>
    <row r="291" spans="1:5" x14ac:dyDescent="0.2">
      <c r="A291" t="s">
        <v>6</v>
      </c>
      <c r="B291">
        <v>859</v>
      </c>
      <c r="D291" t="s">
        <v>8</v>
      </c>
      <c r="E291">
        <v>723</v>
      </c>
    </row>
    <row r="292" spans="1:5" x14ac:dyDescent="0.2">
      <c r="A292" t="s">
        <v>6</v>
      </c>
      <c r="B292">
        <v>45</v>
      </c>
      <c r="D292" t="s">
        <v>8</v>
      </c>
      <c r="E292">
        <v>238</v>
      </c>
    </row>
    <row r="293" spans="1:5" x14ac:dyDescent="0.2">
      <c r="A293" t="s">
        <v>6</v>
      </c>
      <c r="B293">
        <v>6</v>
      </c>
      <c r="D293" t="s">
        <v>8</v>
      </c>
      <c r="E293">
        <v>128</v>
      </c>
    </row>
    <row r="294" spans="1:5" x14ac:dyDescent="0.2">
      <c r="A294" t="s">
        <v>6</v>
      </c>
      <c r="B294">
        <v>7</v>
      </c>
      <c r="D294" t="s">
        <v>8</v>
      </c>
      <c r="E294">
        <v>2144</v>
      </c>
    </row>
    <row r="295" spans="1:5" x14ac:dyDescent="0.2">
      <c r="A295" t="s">
        <v>6</v>
      </c>
      <c r="B295">
        <v>31</v>
      </c>
      <c r="D295" t="s">
        <v>8</v>
      </c>
      <c r="E295">
        <v>2693</v>
      </c>
    </row>
    <row r="296" spans="1:5" x14ac:dyDescent="0.2">
      <c r="A296" t="s">
        <v>6</v>
      </c>
      <c r="B296">
        <v>78</v>
      </c>
      <c r="D296" t="s">
        <v>8</v>
      </c>
      <c r="E296">
        <v>432</v>
      </c>
    </row>
    <row r="297" spans="1:5" x14ac:dyDescent="0.2">
      <c r="A297" t="s">
        <v>6</v>
      </c>
      <c r="B297">
        <v>1225</v>
      </c>
      <c r="D297" t="s">
        <v>8</v>
      </c>
      <c r="E297">
        <v>189</v>
      </c>
    </row>
    <row r="298" spans="1:5" x14ac:dyDescent="0.2">
      <c r="A298" t="s">
        <v>6</v>
      </c>
      <c r="B298">
        <v>1</v>
      </c>
      <c r="D298" t="s">
        <v>8</v>
      </c>
      <c r="E298">
        <v>154</v>
      </c>
    </row>
    <row r="299" spans="1:5" x14ac:dyDescent="0.2">
      <c r="A299" t="s">
        <v>6</v>
      </c>
      <c r="B299">
        <v>67</v>
      </c>
      <c r="D299" t="s">
        <v>8</v>
      </c>
      <c r="E299">
        <v>96</v>
      </c>
    </row>
    <row r="300" spans="1:5" x14ac:dyDescent="0.2">
      <c r="A300" t="s">
        <v>6</v>
      </c>
      <c r="B300">
        <v>19</v>
      </c>
      <c r="D300" t="s">
        <v>8</v>
      </c>
      <c r="E300">
        <v>3063</v>
      </c>
    </row>
    <row r="301" spans="1:5" x14ac:dyDescent="0.2">
      <c r="A301" t="s">
        <v>6</v>
      </c>
      <c r="B301">
        <v>2108</v>
      </c>
      <c r="D301" t="s">
        <v>8</v>
      </c>
      <c r="E301">
        <v>2266</v>
      </c>
    </row>
    <row r="302" spans="1:5" x14ac:dyDescent="0.2">
      <c r="A302" t="s">
        <v>6</v>
      </c>
      <c r="B302">
        <v>679</v>
      </c>
      <c r="D302" t="s">
        <v>8</v>
      </c>
      <c r="E302">
        <v>194</v>
      </c>
    </row>
    <row r="303" spans="1:5" x14ac:dyDescent="0.2">
      <c r="A303" t="s">
        <v>6</v>
      </c>
      <c r="B303">
        <v>36</v>
      </c>
      <c r="D303" t="s">
        <v>8</v>
      </c>
      <c r="E303">
        <v>129</v>
      </c>
    </row>
    <row r="304" spans="1:5" x14ac:dyDescent="0.2">
      <c r="A304" t="s">
        <v>6</v>
      </c>
      <c r="B304">
        <v>47</v>
      </c>
      <c r="D304" t="s">
        <v>8</v>
      </c>
      <c r="E304">
        <v>375</v>
      </c>
    </row>
    <row r="305" spans="1:5" x14ac:dyDescent="0.2">
      <c r="A305" t="s">
        <v>6</v>
      </c>
      <c r="B305">
        <v>70</v>
      </c>
      <c r="D305" t="s">
        <v>8</v>
      </c>
      <c r="E305">
        <v>409</v>
      </c>
    </row>
    <row r="306" spans="1:5" x14ac:dyDescent="0.2">
      <c r="A306" t="s">
        <v>6</v>
      </c>
      <c r="B306">
        <v>154</v>
      </c>
      <c r="D306" t="s">
        <v>8</v>
      </c>
      <c r="E306">
        <v>234</v>
      </c>
    </row>
    <row r="307" spans="1:5" x14ac:dyDescent="0.2">
      <c r="A307" t="s">
        <v>6</v>
      </c>
      <c r="B307">
        <v>22</v>
      </c>
      <c r="D307" t="s">
        <v>8</v>
      </c>
      <c r="E307">
        <v>3016</v>
      </c>
    </row>
    <row r="308" spans="1:5" x14ac:dyDescent="0.2">
      <c r="A308" t="s">
        <v>6</v>
      </c>
      <c r="B308">
        <v>1758</v>
      </c>
      <c r="D308" t="s">
        <v>8</v>
      </c>
      <c r="E308">
        <v>264</v>
      </c>
    </row>
    <row r="309" spans="1:5" x14ac:dyDescent="0.2">
      <c r="A309" t="s">
        <v>6</v>
      </c>
      <c r="B309">
        <v>94</v>
      </c>
      <c r="D309" t="s">
        <v>8</v>
      </c>
      <c r="E309">
        <v>272</v>
      </c>
    </row>
    <row r="310" spans="1:5" x14ac:dyDescent="0.2">
      <c r="A310" t="s">
        <v>6</v>
      </c>
      <c r="B310">
        <v>33</v>
      </c>
      <c r="D310" t="s">
        <v>8</v>
      </c>
      <c r="E310">
        <v>419</v>
      </c>
    </row>
    <row r="311" spans="1:5" x14ac:dyDescent="0.2">
      <c r="A311" t="s">
        <v>6</v>
      </c>
      <c r="B311">
        <v>1</v>
      </c>
      <c r="D311" t="s">
        <v>8</v>
      </c>
      <c r="E311">
        <v>1101</v>
      </c>
    </row>
    <row r="312" spans="1:5" x14ac:dyDescent="0.2">
      <c r="A312" t="s">
        <v>6</v>
      </c>
      <c r="B312">
        <v>31</v>
      </c>
      <c r="D312" t="s">
        <v>8</v>
      </c>
      <c r="E312">
        <v>1073</v>
      </c>
    </row>
    <row r="313" spans="1:5" x14ac:dyDescent="0.2">
      <c r="A313" t="s">
        <v>6</v>
      </c>
      <c r="B313">
        <v>35</v>
      </c>
      <c r="D313" t="s">
        <v>8</v>
      </c>
      <c r="E313">
        <v>331</v>
      </c>
    </row>
    <row r="314" spans="1:5" x14ac:dyDescent="0.2">
      <c r="A314" t="s">
        <v>6</v>
      </c>
      <c r="B314">
        <v>63</v>
      </c>
      <c r="D314" t="s">
        <v>8</v>
      </c>
      <c r="E314">
        <v>1170</v>
      </c>
    </row>
    <row r="315" spans="1:5" x14ac:dyDescent="0.2">
      <c r="A315" t="s">
        <v>6</v>
      </c>
      <c r="B315">
        <v>526</v>
      </c>
      <c r="D315" t="s">
        <v>8</v>
      </c>
      <c r="E315">
        <v>103</v>
      </c>
    </row>
    <row r="316" spans="1:5" x14ac:dyDescent="0.2">
      <c r="A316" t="s">
        <v>6</v>
      </c>
      <c r="B316">
        <v>121</v>
      </c>
      <c r="D316" t="s">
        <v>8</v>
      </c>
      <c r="E316">
        <v>147</v>
      </c>
    </row>
    <row r="317" spans="1:5" x14ac:dyDescent="0.2">
      <c r="A317" t="s">
        <v>6</v>
      </c>
      <c r="B317">
        <v>67</v>
      </c>
      <c r="D317" t="s">
        <v>8</v>
      </c>
      <c r="E317">
        <v>110</v>
      </c>
    </row>
    <row r="318" spans="1:5" x14ac:dyDescent="0.2">
      <c r="A318" t="s">
        <v>6</v>
      </c>
      <c r="B318">
        <v>57</v>
      </c>
      <c r="D318" t="s">
        <v>8</v>
      </c>
      <c r="E318">
        <v>134</v>
      </c>
    </row>
    <row r="319" spans="1:5" x14ac:dyDescent="0.2">
      <c r="A319" t="s">
        <v>6</v>
      </c>
      <c r="B319">
        <v>1229</v>
      </c>
      <c r="D319" t="s">
        <v>8</v>
      </c>
      <c r="E319">
        <v>269</v>
      </c>
    </row>
    <row r="320" spans="1:5" x14ac:dyDescent="0.2">
      <c r="A320" t="s">
        <v>6</v>
      </c>
      <c r="B320">
        <v>12</v>
      </c>
      <c r="D320" t="s">
        <v>8</v>
      </c>
      <c r="E320">
        <v>175</v>
      </c>
    </row>
    <row r="321" spans="1:5" x14ac:dyDescent="0.2">
      <c r="A321" t="s">
        <v>6</v>
      </c>
      <c r="B321">
        <v>452</v>
      </c>
      <c r="D321" t="s">
        <v>8</v>
      </c>
      <c r="E321">
        <v>69</v>
      </c>
    </row>
    <row r="322" spans="1:5" x14ac:dyDescent="0.2">
      <c r="A322" t="s">
        <v>6</v>
      </c>
      <c r="B322">
        <v>1886</v>
      </c>
      <c r="D322" t="s">
        <v>8</v>
      </c>
      <c r="E322">
        <v>190</v>
      </c>
    </row>
    <row r="323" spans="1:5" x14ac:dyDescent="0.2">
      <c r="A323" t="s">
        <v>6</v>
      </c>
      <c r="B323">
        <v>1825</v>
      </c>
      <c r="D323" t="s">
        <v>8</v>
      </c>
      <c r="E323">
        <v>237</v>
      </c>
    </row>
    <row r="324" spans="1:5" x14ac:dyDescent="0.2">
      <c r="A324" t="s">
        <v>6</v>
      </c>
      <c r="B324">
        <v>31</v>
      </c>
      <c r="D324" t="s">
        <v>8</v>
      </c>
      <c r="E324">
        <v>196</v>
      </c>
    </row>
    <row r="325" spans="1:5" x14ac:dyDescent="0.2">
      <c r="A325" t="s">
        <v>6</v>
      </c>
      <c r="B325">
        <v>107</v>
      </c>
      <c r="D325" t="s">
        <v>8</v>
      </c>
      <c r="E325">
        <v>7295</v>
      </c>
    </row>
    <row r="326" spans="1:5" x14ac:dyDescent="0.2">
      <c r="A326" t="s">
        <v>6</v>
      </c>
      <c r="B326">
        <v>27</v>
      </c>
      <c r="D326" t="s">
        <v>8</v>
      </c>
      <c r="E326">
        <v>2893</v>
      </c>
    </row>
    <row r="327" spans="1:5" x14ac:dyDescent="0.2">
      <c r="A327" t="s">
        <v>6</v>
      </c>
      <c r="B327">
        <v>1221</v>
      </c>
      <c r="D327" t="s">
        <v>8</v>
      </c>
      <c r="E327">
        <v>820</v>
      </c>
    </row>
    <row r="328" spans="1:5" x14ac:dyDescent="0.2">
      <c r="A328" t="s">
        <v>6</v>
      </c>
      <c r="B328">
        <v>1</v>
      </c>
      <c r="D328" t="s">
        <v>8</v>
      </c>
      <c r="E328">
        <v>2038</v>
      </c>
    </row>
    <row r="329" spans="1:5" x14ac:dyDescent="0.2">
      <c r="A329" t="s">
        <v>6</v>
      </c>
      <c r="B329">
        <v>16</v>
      </c>
      <c r="D329" t="s">
        <v>8</v>
      </c>
      <c r="E329">
        <v>1345</v>
      </c>
    </row>
    <row r="330" spans="1:5" x14ac:dyDescent="0.2">
      <c r="A330" t="s">
        <v>6</v>
      </c>
      <c r="B330">
        <v>41</v>
      </c>
      <c r="D330" t="s">
        <v>8</v>
      </c>
      <c r="E330">
        <v>168</v>
      </c>
    </row>
    <row r="331" spans="1:5" x14ac:dyDescent="0.2">
      <c r="A331" t="s">
        <v>6</v>
      </c>
      <c r="B331">
        <v>523</v>
      </c>
      <c r="D331" t="s">
        <v>8</v>
      </c>
      <c r="E331">
        <v>186</v>
      </c>
    </row>
    <row r="332" spans="1:5" x14ac:dyDescent="0.2">
      <c r="A332" t="s">
        <v>6</v>
      </c>
      <c r="B332">
        <v>141</v>
      </c>
      <c r="D332" t="s">
        <v>8</v>
      </c>
      <c r="E332">
        <v>125</v>
      </c>
    </row>
    <row r="333" spans="1:5" x14ac:dyDescent="0.2">
      <c r="A333" t="s">
        <v>6</v>
      </c>
      <c r="B333">
        <v>52</v>
      </c>
      <c r="D333" t="s">
        <v>8</v>
      </c>
      <c r="E333">
        <v>202</v>
      </c>
    </row>
    <row r="334" spans="1:5" x14ac:dyDescent="0.2">
      <c r="A334" t="s">
        <v>6</v>
      </c>
      <c r="B334">
        <v>225</v>
      </c>
      <c r="D334" t="s">
        <v>8</v>
      </c>
      <c r="E334">
        <v>1785</v>
      </c>
    </row>
    <row r="335" spans="1:5" x14ac:dyDescent="0.2">
      <c r="A335" t="s">
        <v>6</v>
      </c>
      <c r="B335">
        <v>38</v>
      </c>
      <c r="D335" t="s">
        <v>8</v>
      </c>
      <c r="E335">
        <v>157</v>
      </c>
    </row>
    <row r="336" spans="1:5" x14ac:dyDescent="0.2">
      <c r="A336" t="s">
        <v>6</v>
      </c>
      <c r="B336">
        <v>15</v>
      </c>
      <c r="D336" t="s">
        <v>8</v>
      </c>
      <c r="E336">
        <v>555</v>
      </c>
    </row>
    <row r="337" spans="1:5" x14ac:dyDescent="0.2">
      <c r="A337" t="s">
        <v>6</v>
      </c>
      <c r="B337">
        <v>37</v>
      </c>
      <c r="D337" t="s">
        <v>8</v>
      </c>
      <c r="E337">
        <v>297</v>
      </c>
    </row>
    <row r="338" spans="1:5" x14ac:dyDescent="0.2">
      <c r="A338" t="s">
        <v>6</v>
      </c>
      <c r="B338">
        <v>112</v>
      </c>
      <c r="D338" t="s">
        <v>8</v>
      </c>
      <c r="E338">
        <v>123</v>
      </c>
    </row>
    <row r="339" spans="1:5" x14ac:dyDescent="0.2">
      <c r="A339" t="s">
        <v>6</v>
      </c>
      <c r="B339">
        <v>21</v>
      </c>
      <c r="D339" t="s">
        <v>8</v>
      </c>
      <c r="E339">
        <v>3036</v>
      </c>
    </row>
    <row r="340" spans="1:5" x14ac:dyDescent="0.2">
      <c r="A340" t="s">
        <v>6</v>
      </c>
      <c r="B340">
        <v>67</v>
      </c>
      <c r="D340" t="s">
        <v>8</v>
      </c>
      <c r="E340">
        <v>121</v>
      </c>
    </row>
    <row r="341" spans="1:5" x14ac:dyDescent="0.2">
      <c r="A341" t="s">
        <v>6</v>
      </c>
      <c r="B341">
        <v>78</v>
      </c>
      <c r="D341" t="s">
        <v>8</v>
      </c>
      <c r="E341">
        <v>122</v>
      </c>
    </row>
    <row r="342" spans="1:5" x14ac:dyDescent="0.2">
      <c r="A342" t="s">
        <v>6</v>
      </c>
      <c r="B342">
        <v>67</v>
      </c>
      <c r="D342" t="s">
        <v>8</v>
      </c>
      <c r="E342">
        <v>1071</v>
      </c>
    </row>
    <row r="343" spans="1:5" x14ac:dyDescent="0.2">
      <c r="A343" t="s">
        <v>6</v>
      </c>
      <c r="B343">
        <v>263</v>
      </c>
      <c r="D343" t="s">
        <v>8</v>
      </c>
      <c r="E343">
        <v>980</v>
      </c>
    </row>
    <row r="344" spans="1:5" x14ac:dyDescent="0.2">
      <c r="A344" t="s">
        <v>6</v>
      </c>
      <c r="B344">
        <v>1691</v>
      </c>
      <c r="D344" t="s">
        <v>8</v>
      </c>
      <c r="E344">
        <v>536</v>
      </c>
    </row>
    <row r="345" spans="1:5" x14ac:dyDescent="0.2">
      <c r="A345" t="s">
        <v>6</v>
      </c>
      <c r="B345">
        <v>181</v>
      </c>
      <c r="D345" t="s">
        <v>8</v>
      </c>
      <c r="E345">
        <v>1991</v>
      </c>
    </row>
    <row r="346" spans="1:5" x14ac:dyDescent="0.2">
      <c r="A346" t="s">
        <v>6</v>
      </c>
      <c r="B346">
        <v>13</v>
      </c>
      <c r="D346" t="s">
        <v>8</v>
      </c>
      <c r="E346">
        <v>180</v>
      </c>
    </row>
    <row r="347" spans="1:5" x14ac:dyDescent="0.2">
      <c r="A347" t="s">
        <v>6</v>
      </c>
      <c r="B347">
        <v>1</v>
      </c>
      <c r="D347" t="s">
        <v>8</v>
      </c>
      <c r="E347">
        <v>122</v>
      </c>
    </row>
    <row r="348" spans="1:5" x14ac:dyDescent="0.2">
      <c r="A348" t="s">
        <v>6</v>
      </c>
      <c r="B348">
        <v>21</v>
      </c>
      <c r="D348" t="s">
        <v>8</v>
      </c>
      <c r="E348">
        <v>3388</v>
      </c>
    </row>
    <row r="349" spans="1:5" x14ac:dyDescent="0.2">
      <c r="A349" t="s">
        <v>6</v>
      </c>
      <c r="B349">
        <v>830</v>
      </c>
      <c r="D349" t="s">
        <v>8</v>
      </c>
      <c r="E349">
        <v>280</v>
      </c>
    </row>
    <row r="350" spans="1:5" x14ac:dyDescent="0.2">
      <c r="A350" t="s">
        <v>6</v>
      </c>
      <c r="B350">
        <v>130</v>
      </c>
      <c r="D350" t="s">
        <v>8</v>
      </c>
      <c r="E350">
        <v>366</v>
      </c>
    </row>
    <row r="351" spans="1:5" x14ac:dyDescent="0.2">
      <c r="A351" t="s">
        <v>6</v>
      </c>
      <c r="B351">
        <v>55</v>
      </c>
      <c r="D351" t="s">
        <v>8</v>
      </c>
      <c r="E351">
        <v>270</v>
      </c>
    </row>
    <row r="352" spans="1:5" x14ac:dyDescent="0.2">
      <c r="A352" t="s">
        <v>6</v>
      </c>
      <c r="B352">
        <v>114</v>
      </c>
      <c r="D352" t="s">
        <v>8</v>
      </c>
      <c r="E352">
        <v>137</v>
      </c>
    </row>
    <row r="353" spans="1:5" x14ac:dyDescent="0.2">
      <c r="A353" t="s">
        <v>6</v>
      </c>
      <c r="B353">
        <v>594</v>
      </c>
      <c r="D353" t="s">
        <v>8</v>
      </c>
      <c r="E353">
        <v>3205</v>
      </c>
    </row>
    <row r="354" spans="1:5" x14ac:dyDescent="0.2">
      <c r="A354" t="s">
        <v>6</v>
      </c>
      <c r="B354">
        <v>24</v>
      </c>
      <c r="D354" t="s">
        <v>8</v>
      </c>
      <c r="E354">
        <v>288</v>
      </c>
    </row>
    <row r="355" spans="1:5" x14ac:dyDescent="0.2">
      <c r="A355" t="s">
        <v>6</v>
      </c>
      <c r="B355">
        <v>252</v>
      </c>
      <c r="D355" t="s">
        <v>8</v>
      </c>
      <c r="E355">
        <v>148</v>
      </c>
    </row>
    <row r="356" spans="1:5" x14ac:dyDescent="0.2">
      <c r="A356" t="s">
        <v>6</v>
      </c>
      <c r="B356">
        <v>67</v>
      </c>
      <c r="D356" t="s">
        <v>8</v>
      </c>
      <c r="E356">
        <v>114</v>
      </c>
    </row>
    <row r="357" spans="1:5" x14ac:dyDescent="0.2">
      <c r="A357" t="s">
        <v>6</v>
      </c>
      <c r="B357">
        <v>742</v>
      </c>
      <c r="D357" t="s">
        <v>8</v>
      </c>
      <c r="E357">
        <v>1518</v>
      </c>
    </row>
    <row r="358" spans="1:5" x14ac:dyDescent="0.2">
      <c r="A358" t="s">
        <v>6</v>
      </c>
      <c r="B358">
        <v>75</v>
      </c>
      <c r="D358" t="s">
        <v>8</v>
      </c>
      <c r="E358">
        <v>166</v>
      </c>
    </row>
    <row r="359" spans="1:5" x14ac:dyDescent="0.2">
      <c r="A359" t="s">
        <v>6</v>
      </c>
      <c r="B359">
        <v>4405</v>
      </c>
      <c r="D359" t="s">
        <v>8</v>
      </c>
      <c r="E359">
        <v>100</v>
      </c>
    </row>
    <row r="360" spans="1:5" x14ac:dyDescent="0.2">
      <c r="A360" t="s">
        <v>6</v>
      </c>
      <c r="B360">
        <v>92</v>
      </c>
      <c r="D360" t="s">
        <v>8</v>
      </c>
      <c r="E360">
        <v>235</v>
      </c>
    </row>
    <row r="361" spans="1:5" x14ac:dyDescent="0.2">
      <c r="A361" t="s">
        <v>6</v>
      </c>
      <c r="B361">
        <v>64</v>
      </c>
      <c r="D361" t="s">
        <v>8</v>
      </c>
      <c r="E361">
        <v>148</v>
      </c>
    </row>
    <row r="362" spans="1:5" x14ac:dyDescent="0.2">
      <c r="A362" t="s">
        <v>6</v>
      </c>
      <c r="B362">
        <v>64</v>
      </c>
      <c r="D362" t="s">
        <v>8</v>
      </c>
      <c r="E362">
        <v>198</v>
      </c>
    </row>
    <row r="363" spans="1:5" x14ac:dyDescent="0.2">
      <c r="A363" t="s">
        <v>6</v>
      </c>
      <c r="B363">
        <v>842</v>
      </c>
      <c r="D363" t="s">
        <v>8</v>
      </c>
      <c r="E363">
        <v>216</v>
      </c>
    </row>
    <row r="364" spans="1:5" x14ac:dyDescent="0.2">
      <c r="A364" t="s">
        <v>6</v>
      </c>
      <c r="B364">
        <v>112</v>
      </c>
      <c r="D364" t="s">
        <v>8</v>
      </c>
      <c r="E364">
        <v>5139</v>
      </c>
    </row>
    <row r="365" spans="1:5" x14ac:dyDescent="0.2">
      <c r="A365" t="s">
        <v>6</v>
      </c>
      <c r="B365">
        <v>374</v>
      </c>
      <c r="D365" t="s">
        <v>8</v>
      </c>
      <c r="E365">
        <v>78</v>
      </c>
    </row>
    <row r="366" spans="1:5" x14ac:dyDescent="0.2">
      <c r="D366" t="s">
        <v>8</v>
      </c>
      <c r="E366">
        <v>164</v>
      </c>
    </row>
    <row r="367" spans="1:5" x14ac:dyDescent="0.2">
      <c r="D367" t="s">
        <v>8</v>
      </c>
      <c r="E367">
        <v>161</v>
      </c>
    </row>
    <row r="368" spans="1:5" x14ac:dyDescent="0.2">
      <c r="D368" t="s">
        <v>8</v>
      </c>
      <c r="E368">
        <v>138</v>
      </c>
    </row>
    <row r="369" spans="4:5" x14ac:dyDescent="0.2">
      <c r="D369" t="s">
        <v>8</v>
      </c>
      <c r="E369">
        <v>3308</v>
      </c>
    </row>
    <row r="370" spans="4:5" x14ac:dyDescent="0.2">
      <c r="D370" t="s">
        <v>8</v>
      </c>
      <c r="E370">
        <v>127</v>
      </c>
    </row>
    <row r="371" spans="4:5" x14ac:dyDescent="0.2">
      <c r="D371" t="s">
        <v>8</v>
      </c>
      <c r="E371">
        <v>207</v>
      </c>
    </row>
    <row r="372" spans="4:5" x14ac:dyDescent="0.2">
      <c r="D372" t="s">
        <v>8</v>
      </c>
      <c r="E372">
        <v>181</v>
      </c>
    </row>
    <row r="373" spans="4:5" x14ac:dyDescent="0.2">
      <c r="D373" t="s">
        <v>8</v>
      </c>
      <c r="E373">
        <v>110</v>
      </c>
    </row>
    <row r="374" spans="4:5" x14ac:dyDescent="0.2">
      <c r="D374" t="s">
        <v>8</v>
      </c>
      <c r="E374">
        <v>185</v>
      </c>
    </row>
    <row r="375" spans="4:5" x14ac:dyDescent="0.2">
      <c r="D375" t="s">
        <v>8</v>
      </c>
      <c r="E375">
        <v>121</v>
      </c>
    </row>
    <row r="376" spans="4:5" x14ac:dyDescent="0.2">
      <c r="D376" t="s">
        <v>8</v>
      </c>
      <c r="E376">
        <v>106</v>
      </c>
    </row>
    <row r="377" spans="4:5" x14ac:dyDescent="0.2">
      <c r="D377" t="s">
        <v>8</v>
      </c>
      <c r="E377">
        <v>142</v>
      </c>
    </row>
    <row r="378" spans="4:5" x14ac:dyDescent="0.2">
      <c r="D378" t="s">
        <v>8</v>
      </c>
      <c r="E378">
        <v>233</v>
      </c>
    </row>
    <row r="379" spans="4:5" x14ac:dyDescent="0.2">
      <c r="D379" t="s">
        <v>8</v>
      </c>
      <c r="E379">
        <v>218</v>
      </c>
    </row>
    <row r="380" spans="4:5" x14ac:dyDescent="0.2">
      <c r="D380" t="s">
        <v>8</v>
      </c>
      <c r="E380">
        <v>76</v>
      </c>
    </row>
    <row r="381" spans="4:5" x14ac:dyDescent="0.2">
      <c r="D381" t="s">
        <v>8</v>
      </c>
      <c r="E381">
        <v>43</v>
      </c>
    </row>
    <row r="382" spans="4:5" x14ac:dyDescent="0.2">
      <c r="D382" t="s">
        <v>8</v>
      </c>
      <c r="E382">
        <v>221</v>
      </c>
    </row>
    <row r="383" spans="4:5" x14ac:dyDescent="0.2">
      <c r="D383" t="s">
        <v>8</v>
      </c>
      <c r="E383">
        <v>2805</v>
      </c>
    </row>
    <row r="384" spans="4:5" x14ac:dyDescent="0.2">
      <c r="D384" t="s">
        <v>8</v>
      </c>
      <c r="E384">
        <v>68</v>
      </c>
    </row>
    <row r="385" spans="4:5" x14ac:dyDescent="0.2">
      <c r="D385" t="s">
        <v>8</v>
      </c>
      <c r="E385">
        <v>183</v>
      </c>
    </row>
    <row r="386" spans="4:5" x14ac:dyDescent="0.2">
      <c r="D386" t="s">
        <v>8</v>
      </c>
      <c r="E386">
        <v>133</v>
      </c>
    </row>
    <row r="387" spans="4:5" x14ac:dyDescent="0.2">
      <c r="D387" t="s">
        <v>8</v>
      </c>
      <c r="E387">
        <v>2489</v>
      </c>
    </row>
    <row r="388" spans="4:5" x14ac:dyDescent="0.2">
      <c r="D388" t="s">
        <v>8</v>
      </c>
      <c r="E388">
        <v>69</v>
      </c>
    </row>
    <row r="389" spans="4:5" x14ac:dyDescent="0.2">
      <c r="D389" t="s">
        <v>8</v>
      </c>
      <c r="E389">
        <v>279</v>
      </c>
    </row>
    <row r="390" spans="4:5" x14ac:dyDescent="0.2">
      <c r="D390" t="s">
        <v>8</v>
      </c>
      <c r="E390">
        <v>210</v>
      </c>
    </row>
    <row r="391" spans="4:5" x14ac:dyDescent="0.2">
      <c r="D391" t="s">
        <v>8</v>
      </c>
      <c r="E391">
        <v>2100</v>
      </c>
    </row>
    <row r="392" spans="4:5" x14ac:dyDescent="0.2">
      <c r="D392" t="s">
        <v>8</v>
      </c>
      <c r="E392">
        <v>252</v>
      </c>
    </row>
    <row r="393" spans="4:5" x14ac:dyDescent="0.2">
      <c r="D393" t="s">
        <v>8</v>
      </c>
      <c r="E393">
        <v>1280</v>
      </c>
    </row>
    <row r="394" spans="4:5" x14ac:dyDescent="0.2">
      <c r="D394" t="s">
        <v>8</v>
      </c>
      <c r="E394">
        <v>157</v>
      </c>
    </row>
    <row r="395" spans="4:5" x14ac:dyDescent="0.2">
      <c r="D395" t="s">
        <v>8</v>
      </c>
      <c r="E395">
        <v>194</v>
      </c>
    </row>
    <row r="396" spans="4:5" x14ac:dyDescent="0.2">
      <c r="D396" t="s">
        <v>8</v>
      </c>
      <c r="E396">
        <v>82</v>
      </c>
    </row>
    <row r="397" spans="4:5" x14ac:dyDescent="0.2">
      <c r="D397" t="s">
        <v>8</v>
      </c>
      <c r="E397">
        <v>4233</v>
      </c>
    </row>
    <row r="398" spans="4:5" x14ac:dyDescent="0.2">
      <c r="D398" t="s">
        <v>8</v>
      </c>
      <c r="E398">
        <v>1297</v>
      </c>
    </row>
    <row r="399" spans="4:5" x14ac:dyDescent="0.2">
      <c r="D399" t="s">
        <v>8</v>
      </c>
      <c r="E399">
        <v>165</v>
      </c>
    </row>
    <row r="400" spans="4:5" x14ac:dyDescent="0.2">
      <c r="D400" t="s">
        <v>8</v>
      </c>
      <c r="E400">
        <v>119</v>
      </c>
    </row>
    <row r="401" spans="4:5" x14ac:dyDescent="0.2">
      <c r="D401" t="s">
        <v>8</v>
      </c>
      <c r="E401">
        <v>1797</v>
      </c>
    </row>
    <row r="402" spans="4:5" x14ac:dyDescent="0.2">
      <c r="D402" t="s">
        <v>8</v>
      </c>
      <c r="E402">
        <v>261</v>
      </c>
    </row>
    <row r="403" spans="4:5" x14ac:dyDescent="0.2">
      <c r="D403" t="s">
        <v>8</v>
      </c>
      <c r="E403">
        <v>157</v>
      </c>
    </row>
    <row r="404" spans="4:5" x14ac:dyDescent="0.2">
      <c r="D404" t="s">
        <v>8</v>
      </c>
      <c r="E404">
        <v>3533</v>
      </c>
    </row>
    <row r="405" spans="4:5" x14ac:dyDescent="0.2">
      <c r="D405" t="s">
        <v>8</v>
      </c>
      <c r="E405">
        <v>155</v>
      </c>
    </row>
    <row r="406" spans="4:5" x14ac:dyDescent="0.2">
      <c r="D406" t="s">
        <v>8</v>
      </c>
      <c r="E406">
        <v>132</v>
      </c>
    </row>
    <row r="407" spans="4:5" x14ac:dyDescent="0.2">
      <c r="D407" t="s">
        <v>8</v>
      </c>
      <c r="E407">
        <v>1354</v>
      </c>
    </row>
    <row r="408" spans="4:5" x14ac:dyDescent="0.2">
      <c r="D408" t="s">
        <v>8</v>
      </c>
      <c r="E408">
        <v>48</v>
      </c>
    </row>
    <row r="409" spans="4:5" x14ac:dyDescent="0.2">
      <c r="D409" t="s">
        <v>8</v>
      </c>
      <c r="E409">
        <v>110</v>
      </c>
    </row>
    <row r="410" spans="4:5" x14ac:dyDescent="0.2">
      <c r="D410" t="s">
        <v>8</v>
      </c>
      <c r="E410">
        <v>172</v>
      </c>
    </row>
    <row r="411" spans="4:5" x14ac:dyDescent="0.2">
      <c r="D411" t="s">
        <v>8</v>
      </c>
      <c r="E411">
        <v>307</v>
      </c>
    </row>
    <row r="412" spans="4:5" x14ac:dyDescent="0.2">
      <c r="D412" t="s">
        <v>8</v>
      </c>
      <c r="E412">
        <v>160</v>
      </c>
    </row>
    <row r="413" spans="4:5" x14ac:dyDescent="0.2">
      <c r="D413" t="s">
        <v>8</v>
      </c>
      <c r="E413">
        <v>1467</v>
      </c>
    </row>
    <row r="414" spans="4:5" x14ac:dyDescent="0.2">
      <c r="D414" t="s">
        <v>8</v>
      </c>
      <c r="E414">
        <v>2662</v>
      </c>
    </row>
    <row r="415" spans="4:5" x14ac:dyDescent="0.2">
      <c r="D415" t="s">
        <v>8</v>
      </c>
      <c r="E415">
        <v>452</v>
      </c>
    </row>
    <row r="416" spans="4:5" x14ac:dyDescent="0.2">
      <c r="D416" t="s">
        <v>8</v>
      </c>
      <c r="E416">
        <v>158</v>
      </c>
    </row>
    <row r="417" spans="4:5" x14ac:dyDescent="0.2">
      <c r="D417" t="s">
        <v>8</v>
      </c>
      <c r="E417">
        <v>225</v>
      </c>
    </row>
    <row r="418" spans="4:5" x14ac:dyDescent="0.2">
      <c r="D418" t="s">
        <v>8</v>
      </c>
      <c r="E418">
        <v>65</v>
      </c>
    </row>
    <row r="419" spans="4:5" x14ac:dyDescent="0.2">
      <c r="D419" t="s">
        <v>8</v>
      </c>
      <c r="E419">
        <v>163</v>
      </c>
    </row>
    <row r="420" spans="4:5" x14ac:dyDescent="0.2">
      <c r="D420" t="s">
        <v>8</v>
      </c>
      <c r="E420">
        <v>85</v>
      </c>
    </row>
    <row r="421" spans="4:5" x14ac:dyDescent="0.2">
      <c r="D421" t="s">
        <v>8</v>
      </c>
      <c r="E421">
        <v>217</v>
      </c>
    </row>
    <row r="422" spans="4:5" x14ac:dyDescent="0.2">
      <c r="D422" t="s">
        <v>8</v>
      </c>
      <c r="E422">
        <v>150</v>
      </c>
    </row>
    <row r="423" spans="4:5" x14ac:dyDescent="0.2">
      <c r="D423" t="s">
        <v>8</v>
      </c>
      <c r="E423">
        <v>3272</v>
      </c>
    </row>
    <row r="424" spans="4:5" x14ac:dyDescent="0.2">
      <c r="D424" t="s">
        <v>8</v>
      </c>
      <c r="E424">
        <v>300</v>
      </c>
    </row>
    <row r="425" spans="4:5" x14ac:dyDescent="0.2">
      <c r="D425" t="s">
        <v>8</v>
      </c>
      <c r="E425">
        <v>126</v>
      </c>
    </row>
    <row r="426" spans="4:5" x14ac:dyDescent="0.2">
      <c r="D426" t="s">
        <v>8</v>
      </c>
      <c r="E426">
        <v>2320</v>
      </c>
    </row>
    <row r="427" spans="4:5" x14ac:dyDescent="0.2">
      <c r="D427" t="s">
        <v>8</v>
      </c>
      <c r="E427">
        <v>81</v>
      </c>
    </row>
    <row r="428" spans="4:5" x14ac:dyDescent="0.2">
      <c r="D428" t="s">
        <v>8</v>
      </c>
      <c r="E428">
        <v>1887</v>
      </c>
    </row>
    <row r="429" spans="4:5" x14ac:dyDescent="0.2">
      <c r="D429" t="s">
        <v>8</v>
      </c>
      <c r="E429">
        <v>4358</v>
      </c>
    </row>
    <row r="430" spans="4:5" x14ac:dyDescent="0.2">
      <c r="D430" t="s">
        <v>8</v>
      </c>
      <c r="E430">
        <v>53</v>
      </c>
    </row>
    <row r="431" spans="4:5" x14ac:dyDescent="0.2">
      <c r="D431" t="s">
        <v>8</v>
      </c>
      <c r="E431">
        <v>2414</v>
      </c>
    </row>
    <row r="432" spans="4:5" x14ac:dyDescent="0.2">
      <c r="D432" t="s">
        <v>8</v>
      </c>
      <c r="E432">
        <v>80</v>
      </c>
    </row>
    <row r="433" spans="4:5" x14ac:dyDescent="0.2">
      <c r="D433" t="s">
        <v>8</v>
      </c>
      <c r="E433">
        <v>193</v>
      </c>
    </row>
    <row r="434" spans="4:5" x14ac:dyDescent="0.2">
      <c r="D434" t="s">
        <v>8</v>
      </c>
      <c r="E434">
        <v>52</v>
      </c>
    </row>
    <row r="435" spans="4:5" x14ac:dyDescent="0.2">
      <c r="D435" t="s">
        <v>8</v>
      </c>
      <c r="E435">
        <v>290</v>
      </c>
    </row>
    <row r="436" spans="4:5" x14ac:dyDescent="0.2">
      <c r="D436" t="s">
        <v>8</v>
      </c>
      <c r="E436">
        <v>122</v>
      </c>
    </row>
    <row r="437" spans="4:5" x14ac:dyDescent="0.2">
      <c r="D437" t="s">
        <v>8</v>
      </c>
      <c r="E437">
        <v>1470</v>
      </c>
    </row>
    <row r="438" spans="4:5" x14ac:dyDescent="0.2">
      <c r="D438" t="s">
        <v>8</v>
      </c>
      <c r="E438">
        <v>165</v>
      </c>
    </row>
    <row r="439" spans="4:5" x14ac:dyDescent="0.2">
      <c r="D439" t="s">
        <v>8</v>
      </c>
      <c r="E439">
        <v>182</v>
      </c>
    </row>
    <row r="440" spans="4:5" x14ac:dyDescent="0.2">
      <c r="D440" t="s">
        <v>8</v>
      </c>
      <c r="E440">
        <v>199</v>
      </c>
    </row>
    <row r="441" spans="4:5" x14ac:dyDescent="0.2">
      <c r="D441" t="s">
        <v>8</v>
      </c>
      <c r="E441">
        <v>56</v>
      </c>
    </row>
    <row r="442" spans="4:5" x14ac:dyDescent="0.2">
      <c r="D442" t="s">
        <v>8</v>
      </c>
      <c r="E442">
        <v>1460</v>
      </c>
    </row>
    <row r="443" spans="4:5" x14ac:dyDescent="0.2">
      <c r="D443" t="s">
        <v>8</v>
      </c>
      <c r="E443">
        <v>123</v>
      </c>
    </row>
    <row r="444" spans="4:5" x14ac:dyDescent="0.2">
      <c r="D444" t="s">
        <v>8</v>
      </c>
      <c r="E444">
        <v>159</v>
      </c>
    </row>
    <row r="445" spans="4:5" x14ac:dyDescent="0.2">
      <c r="D445" t="s">
        <v>8</v>
      </c>
      <c r="E445">
        <v>110</v>
      </c>
    </row>
    <row r="446" spans="4:5" x14ac:dyDescent="0.2">
      <c r="D446" t="s">
        <v>8</v>
      </c>
      <c r="E446">
        <v>236</v>
      </c>
    </row>
    <row r="447" spans="4:5" x14ac:dyDescent="0.2">
      <c r="D447" t="s">
        <v>8</v>
      </c>
      <c r="E447">
        <v>191</v>
      </c>
    </row>
    <row r="448" spans="4:5" x14ac:dyDescent="0.2">
      <c r="D448" t="s">
        <v>8</v>
      </c>
      <c r="E448">
        <v>3934</v>
      </c>
    </row>
    <row r="449" spans="4:5" x14ac:dyDescent="0.2">
      <c r="D449" t="s">
        <v>8</v>
      </c>
      <c r="E449">
        <v>80</v>
      </c>
    </row>
    <row r="450" spans="4:5" x14ac:dyDescent="0.2">
      <c r="D450" t="s">
        <v>8</v>
      </c>
      <c r="E450">
        <v>462</v>
      </c>
    </row>
    <row r="451" spans="4:5" x14ac:dyDescent="0.2">
      <c r="D451" t="s">
        <v>8</v>
      </c>
      <c r="E451">
        <v>179</v>
      </c>
    </row>
    <row r="452" spans="4:5" x14ac:dyDescent="0.2">
      <c r="D452" t="s">
        <v>8</v>
      </c>
      <c r="E452">
        <v>1866</v>
      </c>
    </row>
    <row r="453" spans="4:5" x14ac:dyDescent="0.2">
      <c r="D453" t="s">
        <v>8</v>
      </c>
      <c r="E453">
        <v>156</v>
      </c>
    </row>
    <row r="454" spans="4:5" x14ac:dyDescent="0.2">
      <c r="D454" t="s">
        <v>8</v>
      </c>
      <c r="E454">
        <v>255</v>
      </c>
    </row>
    <row r="455" spans="4:5" x14ac:dyDescent="0.2">
      <c r="D455" t="s">
        <v>8</v>
      </c>
      <c r="E455">
        <v>2261</v>
      </c>
    </row>
    <row r="456" spans="4:5" x14ac:dyDescent="0.2">
      <c r="D456" t="s">
        <v>8</v>
      </c>
      <c r="E456">
        <v>40</v>
      </c>
    </row>
    <row r="457" spans="4:5" x14ac:dyDescent="0.2">
      <c r="D457" t="s">
        <v>8</v>
      </c>
      <c r="E457">
        <v>2289</v>
      </c>
    </row>
    <row r="458" spans="4:5" x14ac:dyDescent="0.2">
      <c r="D458" t="s">
        <v>8</v>
      </c>
      <c r="E458">
        <v>65</v>
      </c>
    </row>
    <row r="459" spans="4:5" x14ac:dyDescent="0.2">
      <c r="D459" t="s">
        <v>8</v>
      </c>
      <c r="E459">
        <v>3777</v>
      </c>
    </row>
    <row r="460" spans="4:5" x14ac:dyDescent="0.2">
      <c r="D460" t="s">
        <v>8</v>
      </c>
      <c r="E460">
        <v>184</v>
      </c>
    </row>
    <row r="461" spans="4:5" x14ac:dyDescent="0.2">
      <c r="D461" t="s">
        <v>8</v>
      </c>
      <c r="E461">
        <v>85</v>
      </c>
    </row>
    <row r="462" spans="4:5" x14ac:dyDescent="0.2">
      <c r="D462" t="s">
        <v>8</v>
      </c>
      <c r="E462">
        <v>144</v>
      </c>
    </row>
    <row r="463" spans="4:5" x14ac:dyDescent="0.2">
      <c r="D463" t="s">
        <v>8</v>
      </c>
      <c r="E463">
        <v>1902</v>
      </c>
    </row>
    <row r="464" spans="4:5" x14ac:dyDescent="0.2">
      <c r="D464" t="s">
        <v>8</v>
      </c>
      <c r="E464">
        <v>105</v>
      </c>
    </row>
    <row r="465" spans="4:5" x14ac:dyDescent="0.2">
      <c r="D465" t="s">
        <v>8</v>
      </c>
      <c r="E465">
        <v>132</v>
      </c>
    </row>
    <row r="466" spans="4:5" x14ac:dyDescent="0.2">
      <c r="D466" t="s">
        <v>8</v>
      </c>
      <c r="E466">
        <v>96</v>
      </c>
    </row>
    <row r="467" spans="4:5" x14ac:dyDescent="0.2">
      <c r="D467" t="s">
        <v>8</v>
      </c>
      <c r="E467">
        <v>114</v>
      </c>
    </row>
    <row r="468" spans="4:5" x14ac:dyDescent="0.2">
      <c r="D468" t="s">
        <v>8</v>
      </c>
      <c r="E468">
        <v>203</v>
      </c>
    </row>
    <row r="469" spans="4:5" x14ac:dyDescent="0.2">
      <c r="D469" t="s">
        <v>8</v>
      </c>
      <c r="E469">
        <v>1559</v>
      </c>
    </row>
    <row r="470" spans="4:5" x14ac:dyDescent="0.2">
      <c r="D470" t="s">
        <v>8</v>
      </c>
      <c r="E470">
        <v>1548</v>
      </c>
    </row>
    <row r="471" spans="4:5" x14ac:dyDescent="0.2">
      <c r="D471" t="s">
        <v>8</v>
      </c>
      <c r="E471">
        <v>80</v>
      </c>
    </row>
    <row r="472" spans="4:5" x14ac:dyDescent="0.2">
      <c r="D472" t="s">
        <v>8</v>
      </c>
      <c r="E472">
        <v>131</v>
      </c>
    </row>
    <row r="473" spans="4:5" x14ac:dyDescent="0.2">
      <c r="D473" t="s">
        <v>8</v>
      </c>
      <c r="E473">
        <v>112</v>
      </c>
    </row>
    <row r="474" spans="4:5" x14ac:dyDescent="0.2">
      <c r="D474" t="s">
        <v>8</v>
      </c>
      <c r="E474">
        <v>155</v>
      </c>
    </row>
    <row r="475" spans="4:5" x14ac:dyDescent="0.2">
      <c r="D475" t="s">
        <v>8</v>
      </c>
      <c r="E475">
        <v>266</v>
      </c>
    </row>
    <row r="476" spans="4:5" x14ac:dyDescent="0.2">
      <c r="D476" t="s">
        <v>8</v>
      </c>
      <c r="E476">
        <v>155</v>
      </c>
    </row>
    <row r="477" spans="4:5" x14ac:dyDescent="0.2">
      <c r="D477" t="s">
        <v>8</v>
      </c>
      <c r="E477">
        <v>207</v>
      </c>
    </row>
    <row r="478" spans="4:5" x14ac:dyDescent="0.2">
      <c r="D478" t="s">
        <v>8</v>
      </c>
      <c r="E478">
        <v>245</v>
      </c>
    </row>
    <row r="479" spans="4:5" x14ac:dyDescent="0.2">
      <c r="D479" t="s">
        <v>8</v>
      </c>
      <c r="E479">
        <v>1573</v>
      </c>
    </row>
    <row r="480" spans="4:5" x14ac:dyDescent="0.2">
      <c r="D480" t="s">
        <v>8</v>
      </c>
      <c r="E480">
        <v>114</v>
      </c>
    </row>
    <row r="481" spans="4:5" x14ac:dyDescent="0.2">
      <c r="D481" t="s">
        <v>8</v>
      </c>
      <c r="E481">
        <v>93</v>
      </c>
    </row>
    <row r="482" spans="4:5" x14ac:dyDescent="0.2">
      <c r="D482" t="s">
        <v>8</v>
      </c>
      <c r="E482">
        <v>1681</v>
      </c>
    </row>
    <row r="483" spans="4:5" x14ac:dyDescent="0.2">
      <c r="D483" t="s">
        <v>8</v>
      </c>
      <c r="E483">
        <v>32</v>
      </c>
    </row>
    <row r="484" spans="4:5" x14ac:dyDescent="0.2">
      <c r="D484" t="s">
        <v>8</v>
      </c>
      <c r="E484">
        <v>135</v>
      </c>
    </row>
    <row r="485" spans="4:5" x14ac:dyDescent="0.2">
      <c r="D485" t="s">
        <v>8</v>
      </c>
      <c r="E485">
        <v>140</v>
      </c>
    </row>
    <row r="486" spans="4:5" x14ac:dyDescent="0.2">
      <c r="D486" t="s">
        <v>8</v>
      </c>
      <c r="E486">
        <v>92</v>
      </c>
    </row>
    <row r="487" spans="4:5" x14ac:dyDescent="0.2">
      <c r="D487" t="s">
        <v>8</v>
      </c>
      <c r="E487">
        <v>1015</v>
      </c>
    </row>
    <row r="488" spans="4:5" x14ac:dyDescent="0.2">
      <c r="D488" t="s">
        <v>8</v>
      </c>
      <c r="E488">
        <v>323</v>
      </c>
    </row>
    <row r="489" spans="4:5" x14ac:dyDescent="0.2">
      <c r="D489" t="s">
        <v>8</v>
      </c>
      <c r="E489">
        <v>2326</v>
      </c>
    </row>
    <row r="490" spans="4:5" x14ac:dyDescent="0.2">
      <c r="D490" t="s">
        <v>8</v>
      </c>
      <c r="E490">
        <v>381</v>
      </c>
    </row>
    <row r="491" spans="4:5" x14ac:dyDescent="0.2">
      <c r="D491" t="s">
        <v>8</v>
      </c>
      <c r="E491">
        <v>480</v>
      </c>
    </row>
    <row r="492" spans="4:5" x14ac:dyDescent="0.2">
      <c r="D492" t="s">
        <v>8</v>
      </c>
      <c r="E492">
        <v>226</v>
      </c>
    </row>
    <row r="493" spans="4:5" x14ac:dyDescent="0.2">
      <c r="D493" t="s">
        <v>8</v>
      </c>
      <c r="E493">
        <v>241</v>
      </c>
    </row>
    <row r="494" spans="4:5" x14ac:dyDescent="0.2">
      <c r="D494" t="s">
        <v>8</v>
      </c>
      <c r="E494">
        <v>132</v>
      </c>
    </row>
    <row r="495" spans="4:5" x14ac:dyDescent="0.2">
      <c r="D495" t="s">
        <v>8</v>
      </c>
      <c r="E495">
        <v>2043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73EF-F8C1-4983-84B8-0B3F91F177E5}">
  <dimension ref="A1:H13"/>
  <sheetViews>
    <sheetView workbookViewId="0">
      <selection activeCell="F13" sqref="F13"/>
    </sheetView>
  </sheetViews>
  <sheetFormatPr baseColWidth="10" defaultColWidth="8.83203125" defaultRowHeight="16" x14ac:dyDescent="0.2"/>
  <cols>
    <col min="1" max="1" width="13.83203125" bestFit="1" customWidth="1"/>
    <col min="3" max="3" width="36.83203125" customWidth="1"/>
    <col min="7" max="7" width="10.6640625" customWidth="1"/>
    <col min="8" max="8" width="13.33203125" customWidth="1"/>
    <col min="9" max="9" width="12.33203125" customWidth="1"/>
  </cols>
  <sheetData>
    <row r="1" spans="1:8" ht="85" x14ac:dyDescent="0.2">
      <c r="A1" t="s">
        <v>69</v>
      </c>
      <c r="B1" s="7" t="s">
        <v>70</v>
      </c>
      <c r="C1" s="7" t="s">
        <v>71</v>
      </c>
      <c r="D1" s="7" t="s">
        <v>72</v>
      </c>
      <c r="E1" s="7" t="s">
        <v>73</v>
      </c>
      <c r="F1" s="7" t="s">
        <v>74</v>
      </c>
      <c r="G1" s="7" t="s">
        <v>75</v>
      </c>
      <c r="H1" s="7" t="s">
        <v>76</v>
      </c>
    </row>
    <row r="2" spans="1:8" x14ac:dyDescent="0.2">
      <c r="A2" s="8" t="s">
        <v>77</v>
      </c>
      <c r="B2">
        <f>COUNTIFS('Crowdfunding (2)'!$D$1:$D$1001, "&lt;1000", 'Crowdfunding (2)'!$G$1:$G$1001, "successful")</f>
        <v>30</v>
      </c>
      <c r="C2">
        <f>COUNTIFS('Crowdfunding (2)'!$D$1:$D$1001, "&lt;1000", 'Crowdfunding (2)'!$G$1:$G$1001, "failed")</f>
        <v>20</v>
      </c>
      <c r="D2">
        <f>COUNTIFS('Crowdfunding (2)'!$D$1:$D$1001, "&lt;1000", 'Crowdfunding (2)'!$G$1:$G$1001, "canceled")</f>
        <v>1</v>
      </c>
      <c r="E2">
        <f>COUNTIFS('Crowdfunding (2)'!$D$1:$D$1001, "&lt;1000")</f>
        <v>51</v>
      </c>
      <c r="F2" s="5">
        <f>B2/E2</f>
        <v>0.58823529411764708</v>
      </c>
      <c r="G2" s="5">
        <f>C2/E2</f>
        <v>0.39215686274509803</v>
      </c>
      <c r="H2" s="5">
        <f>D2/E2</f>
        <v>1.9607843137254902E-2</v>
      </c>
    </row>
    <row r="3" spans="1:8" ht="17" x14ac:dyDescent="0.2">
      <c r="A3" s="7" t="s">
        <v>78</v>
      </c>
      <c r="B3">
        <f>COUNTIFS('Crowdfunding (2)'!$D$1:$D$1001, "&gt;=1000", 'Crowdfunding (2)'!$D$1:$D$1001, "&lt;=4999", 'Crowdfunding (2)'!$G$1:$G$1001, "successful")</f>
        <v>191</v>
      </c>
      <c r="C3">
        <f>COUNTIFS('Crowdfunding (2)'!$D$1:$D$1001, "&gt;=1000", 'Crowdfunding (2)'!$D$1:$D$1001, "&lt;=4999", 'Crowdfunding (2)'!$G$1:$G$1001, "Failed")</f>
        <v>38</v>
      </c>
      <c r="D3">
        <f>COUNTIFS('Crowdfunding (2)'!$D$1:$D$1001, "&gt;=1000", 'Crowdfunding (2)'!$D$1:$D$1001, "&lt;=4999", 'Crowdfunding (2)'!$G$1:$G$1001, "canceled")</f>
        <v>2</v>
      </c>
      <c r="E3">
        <f>COUNTIFS('Crowdfunding (2)'!$D$1:$D$1001, "&gt;=1000", 'Crowdfunding (2)'!$D$1:$D$1001, "&lt;=4999")</f>
        <v>234</v>
      </c>
      <c r="F3" s="5">
        <f t="shared" ref="F3:F13" si="0">B3/E3</f>
        <v>0.81623931623931623</v>
      </c>
      <c r="G3" s="5">
        <f t="shared" ref="G3:G13" si="1">C3/E3</f>
        <v>0.1623931623931624</v>
      </c>
      <c r="H3" s="5">
        <f t="shared" ref="H3:H13" si="2">D3/E3</f>
        <v>8.5470085470085479E-3</v>
      </c>
    </row>
    <row r="4" spans="1:8" x14ac:dyDescent="0.2">
      <c r="A4" t="s">
        <v>79</v>
      </c>
      <c r="B4">
        <f>COUNTIFS('Crowdfunding (2)'!$D$1:$D$1001, "&gt;=5000", 'Crowdfunding (2)'!$D$1:$D$1001, "&lt;=9999", 'Crowdfunding (2)'!$G$1:$G$1001, "successful")</f>
        <v>164</v>
      </c>
      <c r="C4">
        <f>COUNTIFS('Crowdfunding (2)'!$D$1:$D$1001, "&gt;=5000", 'Crowdfunding (2)'!$D$1:$D$1001, "&lt;=9999", 'Crowdfunding (2)'!$G$1:$G$1001, "failed")</f>
        <v>126</v>
      </c>
      <c r="D4">
        <f>COUNTIFS('Crowdfunding (2)'!$D$1:$D$1001, "&gt;=5000", 'Crowdfunding (2)'!$D$1:$D$1001, "&lt;=9999", 'Crowdfunding (2)'!$G$1:$G$1001, "canceled")</f>
        <v>25</v>
      </c>
      <c r="E4">
        <f>COUNTIFS('Crowdfunding (2)'!$D$1:$D$1001, "&gt;=5000", 'Crowdfunding (2)'!$D$1:$D$1001, "&lt;=9999")</f>
        <v>317</v>
      </c>
      <c r="F4" s="5">
        <f t="shared" si="0"/>
        <v>0.51735015772870663</v>
      </c>
      <c r="G4" s="5">
        <f t="shared" si="1"/>
        <v>0.39747634069400634</v>
      </c>
      <c r="H4" s="5">
        <f t="shared" si="2"/>
        <v>7.8864353312302835E-2</v>
      </c>
    </row>
    <row r="5" spans="1:8" x14ac:dyDescent="0.2">
      <c r="A5" t="s">
        <v>80</v>
      </c>
      <c r="B5">
        <f>COUNTIFS('Crowdfunding (2)'!$D$1:$D$1001, "&gt;=10000", 'Crowdfunding (2)'!$D$1:$D$1001, "&lt;=14999", 'Crowdfunding (2)'!$G$1:$G$1001, "successful")</f>
        <v>4</v>
      </c>
      <c r="C5">
        <f>COUNTIFS('Crowdfunding (2)'!$D$1:$D$1001, "&gt;=10000", 'Crowdfunding (2)'!$D$1:$D$1001, "&lt;=14999", 'Crowdfunding (2)'!$G$1:$G$1001, "failed")</f>
        <v>5</v>
      </c>
      <c r="D5">
        <f>COUNTIFS('Crowdfunding (2)'!$D$1:$D$1001, "&gt;=10000", 'Crowdfunding (2)'!$D$1:$D$1001, "&lt;=14999", 'Crowdfunding (2)'!$G$1:$G$1001, "canceled")</f>
        <v>0</v>
      </c>
      <c r="E5">
        <f>COUNTIFS('Crowdfunding (2)'!$D$1:$D$1001, "&gt;=10000", 'Crowdfunding (2)'!$D$1:$D$1001, "&lt;=14999")</f>
        <v>9</v>
      </c>
      <c r="F5" s="5">
        <f t="shared" si="0"/>
        <v>0.44444444444444442</v>
      </c>
      <c r="G5" s="5">
        <f t="shared" si="1"/>
        <v>0.55555555555555558</v>
      </c>
      <c r="H5" s="5">
        <f t="shared" si="2"/>
        <v>0</v>
      </c>
    </row>
    <row r="6" spans="1:8" x14ac:dyDescent="0.2">
      <c r="A6" t="s">
        <v>81</v>
      </c>
      <c r="B6">
        <f>COUNTIFS('Crowdfunding (2)'!$D$1:$D$1001, "&gt;=15000", 'Crowdfunding (2)'!$D$1:$D$1001, "&lt;=19999", 'Crowdfunding (2)'!$G$1:$G$1001, "successful")</f>
        <v>10</v>
      </c>
      <c r="C6">
        <f>COUNTIFS('Crowdfunding (2)'!$D$1:$D$1001, "&gt;=15000", 'Crowdfunding (2)'!$D$1:$D$1001, "&lt;=19999", 'Crowdfunding (2)'!$G$1:$G$1001, "failed")</f>
        <v>0</v>
      </c>
      <c r="D6">
        <f>COUNTIFS('Crowdfunding (2)'!$D$1:$D$1001, "&gt;=15000", 'Crowdfunding (2)'!$D$1:$D$1001, "&lt;=19999", 'Crowdfunding (2)'!$G$1:$G$1001, "canceled")</f>
        <v>0</v>
      </c>
      <c r="E6">
        <f>COUNTIFS('Crowdfunding (2)'!$D$1:$D$1001, "&gt;=15000", 'Crowdfunding (2)'!$D$1:$D$1001, "&lt;=19999")</f>
        <v>10</v>
      </c>
      <c r="F6" s="5">
        <f t="shared" si="0"/>
        <v>1</v>
      </c>
      <c r="G6" s="5">
        <f t="shared" si="1"/>
        <v>0</v>
      </c>
      <c r="H6" s="5">
        <f t="shared" si="2"/>
        <v>0</v>
      </c>
    </row>
    <row r="7" spans="1:8" x14ac:dyDescent="0.2">
      <c r="A7" t="s">
        <v>82</v>
      </c>
      <c r="B7">
        <f>COUNTIFS('Crowdfunding (2)'!$D$1:$D$1001, "&gt;=20000", 'Crowdfunding (2)'!$D$1:$D$1001, "&lt;=24999", 'Crowdfunding (2)'!$G$1:$G$1001, "successful")</f>
        <v>7</v>
      </c>
      <c r="C7">
        <f>COUNTIFS('Crowdfunding (2)'!$D$1:$D$1001, "&gt;=20000", 'Crowdfunding (2)'!$D$1:$D$1001, "&lt;=24999", 'Crowdfunding (2)'!$G$1:$G$1001, "failed")</f>
        <v>0</v>
      </c>
      <c r="D7">
        <f>COUNTIFS('Crowdfunding (2)'!$D$1:$D$1001, "&gt;=20000", 'Crowdfunding (2)'!$D$1:$D$1001, "&lt;=24999", 'Crowdfunding (2)'!$G$1:$G$1001, "canceled")</f>
        <v>0</v>
      </c>
      <c r="E7">
        <f>COUNTIFS('Crowdfunding (2)'!$D$1:$D$1001, "&gt;=20000", 'Crowdfunding (2)'!$D$1:$D$1001, "&lt;=24999")</f>
        <v>7</v>
      </c>
      <c r="F7" s="5">
        <f t="shared" si="0"/>
        <v>1</v>
      </c>
      <c r="G7" s="5">
        <f t="shared" si="1"/>
        <v>0</v>
      </c>
      <c r="H7" s="5">
        <f t="shared" si="2"/>
        <v>0</v>
      </c>
    </row>
    <row r="8" spans="1:8" x14ac:dyDescent="0.2">
      <c r="A8" t="s">
        <v>83</v>
      </c>
      <c r="B8">
        <f>COUNTIFS('Crowdfunding (2)'!$D$1:$D$1001, "&gt;=25000", 'Crowdfunding (2)'!$D$1:$D$1001, "&lt;=29999", 'Crowdfunding (2)'!$G$1:$G$1001, "successful")</f>
        <v>11</v>
      </c>
      <c r="C8">
        <f>COUNTIFS('Crowdfunding (2)'!$D$1:$D$1001, "&gt;=25000", 'Crowdfunding (2)'!$D$1:$D$1001, "&lt;=29999", 'Crowdfunding (2)'!$G$1:$G$1001, "failed")</f>
        <v>3</v>
      </c>
      <c r="D8">
        <f>COUNTIFS('Crowdfunding (2)'!$D$1:$D$1001, "&gt;=25000", 'Crowdfunding (2)'!$D$1:$D$1001, "&lt;=29999", 'Crowdfunding (2)'!$G$1:$G$1001, "canceled")</f>
        <v>0</v>
      </c>
      <c r="E8">
        <f>COUNTIFS('Crowdfunding (2)'!$D$1:$D$1001, "&gt;=25000", 'Crowdfunding (2)'!$D$1:$D$1001, "&lt;=29999")</f>
        <v>14</v>
      </c>
      <c r="F8" s="5">
        <f t="shared" si="0"/>
        <v>0.7857142857142857</v>
      </c>
      <c r="G8" s="5">
        <f t="shared" si="1"/>
        <v>0.21428571428571427</v>
      </c>
      <c r="H8" s="5">
        <f t="shared" si="2"/>
        <v>0</v>
      </c>
    </row>
    <row r="9" spans="1:8" ht="17" x14ac:dyDescent="0.2">
      <c r="A9" s="7" t="s">
        <v>84</v>
      </c>
      <c r="B9">
        <f>COUNTIFS('Crowdfunding (2)'!$D$1:$D$1001, "&gt;=30000", 'Crowdfunding (2)'!$D$1:$D$1001, "&lt;=34999", 'Crowdfunding (2)'!$G$1:$G$1001, "successful")</f>
        <v>7</v>
      </c>
      <c r="C9">
        <f>COUNTIFS('Crowdfunding (2)'!$D$1:$D$1001, "&gt;=30000", 'Crowdfunding (2)'!$D$1:$D$1001, "&lt;=34999", 'Crowdfunding (2)'!$G$1:$G$1001, "failed")</f>
        <v>0</v>
      </c>
      <c r="D9">
        <f>COUNTIFS('Crowdfunding (2)'!$D$1:$D$1001, "&gt;=30000", 'Crowdfunding (2)'!$D$1:$D$1001, "&lt;=34999", 'Crowdfunding (2)'!$G$1:$G$1001, "canceled")</f>
        <v>0</v>
      </c>
      <c r="E9">
        <f>COUNTIFS('Crowdfunding (2)'!$D$1:$D$1001, "&gt;=30000", 'Crowdfunding (2)'!$D$1:$D$1001, "&lt;=34999")</f>
        <v>7</v>
      </c>
      <c r="F9" s="5">
        <f t="shared" si="0"/>
        <v>1</v>
      </c>
      <c r="G9" s="5">
        <f t="shared" si="1"/>
        <v>0</v>
      </c>
      <c r="H9" s="5">
        <f t="shared" si="2"/>
        <v>0</v>
      </c>
    </row>
    <row r="10" spans="1:8" ht="17" x14ac:dyDescent="0.2">
      <c r="A10" s="7" t="s">
        <v>85</v>
      </c>
      <c r="B10">
        <f>COUNTIFS('Crowdfunding (2)'!$D$1:$D$1001, "&gt;=35000", 'Crowdfunding (2)'!$D$1:$D$1001, "&lt;=39999", 'Crowdfunding (2)'!$G$1:$G$1001, "successful")</f>
        <v>8</v>
      </c>
      <c r="C10">
        <f>COUNTIFS('Crowdfunding (2)'!$D$1:$D$1001, "&gt;=35000", 'Crowdfunding (2)'!$D$1:$D$1001, "&lt;=39999", 'Crowdfunding (2)'!$G$1:$G$1001, "failed")</f>
        <v>3</v>
      </c>
      <c r="D10">
        <f>COUNTIFS('Crowdfunding (2)'!$D$1:$D$1001, "&gt;=35000", 'Crowdfunding (2)'!$D$1:$D$1001, "&lt;=39999", 'Crowdfunding (2)'!$G$1:$G$1001, "canceled")</f>
        <v>1</v>
      </c>
      <c r="E10">
        <f>COUNTIFS('Crowdfunding (2)'!$D$1:$D$1001, "&gt;=35000", 'Crowdfunding (2)'!$D$1:$D$1001, "&lt;=39999")</f>
        <v>12</v>
      </c>
      <c r="F10" s="5">
        <f t="shared" si="0"/>
        <v>0.66666666666666663</v>
      </c>
      <c r="G10" s="5">
        <f t="shared" si="1"/>
        <v>0.25</v>
      </c>
      <c r="H10" s="5">
        <f t="shared" si="2"/>
        <v>8.3333333333333329E-2</v>
      </c>
    </row>
    <row r="11" spans="1:8" ht="17" x14ac:dyDescent="0.2">
      <c r="A11" s="7" t="s">
        <v>86</v>
      </c>
      <c r="B11">
        <f>COUNTIFS('Crowdfunding (2)'!$D$1:$D$1001, "&gt;=40000", 'Crowdfunding (2)'!$D$1:$D$1001, "&lt;=44999", 'Crowdfunding (2)'!$G$1:$G$1001, "successful")</f>
        <v>11</v>
      </c>
      <c r="C11">
        <f>COUNTIFS('Crowdfunding (2)'!$D$1:$D$1001, "&gt;=40000", 'Crowdfunding (2)'!$D$1:$D$1001, "&lt;=44999", 'Crowdfunding (2)'!$G$1:$G$1001, "failed")</f>
        <v>3</v>
      </c>
      <c r="D11">
        <f>COUNTIFS('Crowdfunding (2)'!$D$1:$D$1001, "&gt;=40000", 'Crowdfunding (2)'!$D$1:$D$1001, "&lt;=44999", 'Crowdfunding (2)'!$G$1:$G$1001, "canceled")</f>
        <v>0</v>
      </c>
      <c r="E11">
        <f>COUNTIFS('Crowdfunding (2)'!$D$1:$D$1001, "&gt;=40000", 'Crowdfunding (2)'!$D$1:$D$1001, "&lt;=44999")</f>
        <v>15</v>
      </c>
      <c r="F11" s="5">
        <f t="shared" si="0"/>
        <v>0.73333333333333328</v>
      </c>
      <c r="G11" s="5">
        <f t="shared" si="1"/>
        <v>0.2</v>
      </c>
      <c r="H11" s="5">
        <f t="shared" si="2"/>
        <v>0</v>
      </c>
    </row>
    <row r="12" spans="1:8" x14ac:dyDescent="0.2">
      <c r="A12" t="s">
        <v>87</v>
      </c>
      <c r="B12">
        <f>COUNTIFS('Crowdfunding (2)'!$D$1:$D$1001, "&gt;=45000", 'Crowdfunding (2)'!$D$1:$D$1001, "&lt;=49999", 'Crowdfunding (2)'!$G$1:$G$1001, "successful")</f>
        <v>8</v>
      </c>
      <c r="C12">
        <f>COUNTIFS('Crowdfunding (2)'!$D$1:$D$1001, "&gt;=45000", 'Crowdfunding (2)'!$D$1:$D$1001, "&lt;=49999", 'Crowdfunding (2)'!$G$1:$G$1001, "failed")</f>
        <v>3</v>
      </c>
      <c r="D12">
        <f>COUNTIFS('Crowdfunding (2)'!$D$1:$D$1001, "&gt;=45000", 'Crowdfunding (2)'!$D$1:$D$1001, "&lt;=49999", 'Crowdfunding (2)'!$G$1:$G$1001, "canceled")</f>
        <v>0</v>
      </c>
      <c r="E12">
        <f>COUNTIFS('Crowdfunding (2)'!$D$1:$D$1001, "&gt;=45000", 'Crowdfunding (2)'!$D$1:$D$1001, "&lt;=49999")</f>
        <v>11</v>
      </c>
      <c r="F12" s="5">
        <f t="shared" si="0"/>
        <v>0.72727272727272729</v>
      </c>
      <c r="G12" s="5">
        <f t="shared" si="1"/>
        <v>0.27272727272727271</v>
      </c>
      <c r="H12" s="5">
        <f t="shared" si="2"/>
        <v>0</v>
      </c>
    </row>
    <row r="13" spans="1:8" ht="32.25" customHeight="1" x14ac:dyDescent="0.2">
      <c r="A13" s="7" t="s">
        <v>88</v>
      </c>
      <c r="B13">
        <f>COUNTIFS('Crowdfunding (2)'!$D$1:$D$1001, "&gt;=50000", 'Crowdfunding (2)'!$G$1:$G$1001, "successful")</f>
        <v>114</v>
      </c>
      <c r="C13">
        <f>COUNTIFS('Crowdfunding (2)'!$D$1:$D$1001, "&gt;=50000", 'Crowdfunding (2)'!$G$1:$G$1001, "failed")</f>
        <v>163</v>
      </c>
      <c r="D13">
        <f>COUNTIFS('Crowdfunding (2)'!$D$1:$D$1001, "&gt;=50000", 'Crowdfunding (2)'!$G$1:$G$1001, "canceled")</f>
        <v>28</v>
      </c>
      <c r="E13">
        <f>COUNTIFS('Crowdfunding (2)'!$D$1:$D$1001, "&gt;=50000")</f>
        <v>313</v>
      </c>
      <c r="F13" s="5">
        <f t="shared" si="0"/>
        <v>0.36421725239616615</v>
      </c>
      <c r="G13" s="5">
        <f t="shared" si="1"/>
        <v>0.52076677316293929</v>
      </c>
      <c r="H13" s="5">
        <f t="shared" si="2"/>
        <v>8.9456869009584661E-2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8DE1-B42D-4DAA-8C06-A983C44F9B07}">
  <dimension ref="A1:S1001"/>
  <sheetViews>
    <sheetView workbookViewId="0">
      <selection activeCell="Q18" sqref="Q18"/>
    </sheetView>
  </sheetViews>
  <sheetFormatPr baseColWidth="10" defaultColWidth="11" defaultRowHeight="15.75" customHeight="1" x14ac:dyDescent="0.2"/>
  <cols>
    <col min="1" max="1" width="4.1640625" bestFit="1" customWidth="1"/>
    <col min="2" max="2" width="30.6640625" bestFit="1" customWidth="1"/>
    <col min="3" max="3" width="33.5" style="3" customWidth="1"/>
    <col min="4" max="5" width="9"/>
    <col min="6" max="6" width="13.83203125" bestFit="1" customWidth="1"/>
    <col min="7" max="7" width="9"/>
    <col min="8" max="8" width="13.1640625" bestFit="1" customWidth="1"/>
    <col min="9" max="10" width="9"/>
    <col min="11" max="11" width="11.1640625" bestFit="1" customWidth="1"/>
    <col min="12" max="12" width="18.1640625" bestFit="1" customWidth="1"/>
    <col min="13" max="13" width="16.1640625" bestFit="1" customWidth="1"/>
    <col min="14" max="14" width="10.6640625" bestFit="1" customWidth="1"/>
    <col min="15" max="16" width="9"/>
    <col min="17" max="17" width="28" bestFit="1" customWidth="1"/>
    <col min="18" max="18" width="14.33203125" bestFit="1" customWidth="1"/>
    <col min="19" max="19" width="11.1640625" bestFit="1" customWidth="1"/>
    <col min="20" max="21" width="9"/>
  </cols>
  <sheetData>
    <row r="1" spans="1:19" s="1" customFormat="1" ht="17" x14ac:dyDescent="0.2">
      <c r="A1" s="1" t="s">
        <v>89</v>
      </c>
      <c r="B1" s="1" t="s">
        <v>90</v>
      </c>
      <c r="C1" s="2" t="s">
        <v>91</v>
      </c>
      <c r="D1" s="1" t="s">
        <v>92</v>
      </c>
      <c r="E1" s="1" t="s">
        <v>93</v>
      </c>
      <c r="F1" s="1" t="s">
        <v>94</v>
      </c>
      <c r="G1" s="1" t="s">
        <v>3</v>
      </c>
      <c r="H1" s="1" t="s">
        <v>59</v>
      </c>
      <c r="I1" s="1" t="s">
        <v>0</v>
      </c>
      <c r="J1" s="1" t="s">
        <v>95</v>
      </c>
      <c r="K1" s="1" t="s">
        <v>96</v>
      </c>
      <c r="L1" s="1" t="s">
        <v>46</v>
      </c>
      <c r="M1" s="1" t="s">
        <v>45</v>
      </c>
      <c r="N1" s="1" t="s">
        <v>97</v>
      </c>
      <c r="O1" s="1" t="s">
        <v>98</v>
      </c>
      <c r="P1" s="1" t="s">
        <v>99</v>
      </c>
      <c r="Q1" s="1" t="s">
        <v>100</v>
      </c>
      <c r="R1" s="1" t="s">
        <v>4</v>
      </c>
      <c r="S1" s="1" t="s">
        <v>19</v>
      </c>
    </row>
    <row r="2" spans="1:19" ht="17" x14ac:dyDescent="0.2">
      <c r="A2">
        <v>0</v>
      </c>
      <c r="B2" t="s">
        <v>101</v>
      </c>
      <c r="C2" s="3" t="s">
        <v>102</v>
      </c>
      <c r="D2">
        <v>100</v>
      </c>
      <c r="E2">
        <v>0</v>
      </c>
      <c r="F2" s="5">
        <f>E2/D2</f>
        <v>0</v>
      </c>
      <c r="G2" t="s">
        <v>6</v>
      </c>
      <c r="H2">
        <v>0</v>
      </c>
      <c r="I2" t="s">
        <v>103</v>
      </c>
      <c r="J2" t="s">
        <v>104</v>
      </c>
      <c r="K2" s="4">
        <v>42336.25</v>
      </c>
      <c r="L2" s="4" t="s">
        <v>57</v>
      </c>
      <c r="M2" s="4" t="s">
        <v>105</v>
      </c>
      <c r="N2" s="4">
        <v>42353.25</v>
      </c>
      <c r="O2" t="b">
        <v>0</v>
      </c>
      <c r="P2" t="b">
        <v>0</v>
      </c>
      <c r="Q2" t="s">
        <v>106</v>
      </c>
      <c r="R2" t="str" cm="1">
        <f t="array" ref="R2:S2">_xlfn.TEXTSPLIT(Q2, "/", , FALSE)</f>
        <v>food</v>
      </c>
      <c r="S2" t="str">
        <v>food trucks</v>
      </c>
    </row>
    <row r="3" spans="1:19" ht="17" x14ac:dyDescent="0.2">
      <c r="A3">
        <v>1</v>
      </c>
      <c r="B3" t="s">
        <v>107</v>
      </c>
      <c r="C3" s="3" t="s">
        <v>108</v>
      </c>
      <c r="D3">
        <v>1400</v>
      </c>
      <c r="E3">
        <v>14560</v>
      </c>
      <c r="F3" s="5">
        <f t="shared" ref="F3:F66" si="0">E3/D3</f>
        <v>10.4</v>
      </c>
      <c r="G3" t="s">
        <v>8</v>
      </c>
      <c r="H3">
        <v>158</v>
      </c>
      <c r="I3" t="s">
        <v>109</v>
      </c>
      <c r="J3" t="s">
        <v>110</v>
      </c>
      <c r="K3" s="4">
        <v>41870.208333333336</v>
      </c>
      <c r="L3" s="4" t="s">
        <v>54</v>
      </c>
      <c r="M3" s="4" t="s">
        <v>111</v>
      </c>
      <c r="N3" s="4">
        <v>41872.208333333336</v>
      </c>
      <c r="O3" t="b">
        <v>0</v>
      </c>
      <c r="P3" t="b">
        <v>1</v>
      </c>
      <c r="Q3" t="s">
        <v>112</v>
      </c>
      <c r="R3" t="str" cm="1">
        <f t="array" ref="R3:S3">_xlfn.TEXTSPLIT(Q3, "/", , FALSE)</f>
        <v>music</v>
      </c>
      <c r="S3" t="str">
        <v>rock</v>
      </c>
    </row>
    <row r="4" spans="1:19" ht="34" x14ac:dyDescent="0.2">
      <c r="A4">
        <v>2</v>
      </c>
      <c r="B4" t="s">
        <v>113</v>
      </c>
      <c r="C4" s="3" t="s">
        <v>114</v>
      </c>
      <c r="D4">
        <v>108400</v>
      </c>
      <c r="E4">
        <v>142523</v>
      </c>
      <c r="F4" s="5">
        <f t="shared" si="0"/>
        <v>1.3147878228782288</v>
      </c>
      <c r="G4" t="s">
        <v>8</v>
      </c>
      <c r="H4">
        <v>1425</v>
      </c>
      <c r="I4" t="s">
        <v>115</v>
      </c>
      <c r="J4" t="s">
        <v>116</v>
      </c>
      <c r="K4" s="4">
        <v>41595.25</v>
      </c>
      <c r="L4" s="4" t="s">
        <v>57</v>
      </c>
      <c r="M4" s="4" t="s">
        <v>117</v>
      </c>
      <c r="N4" s="4">
        <v>41597.25</v>
      </c>
      <c r="O4" t="b">
        <v>0</v>
      </c>
      <c r="P4" t="b">
        <v>0</v>
      </c>
      <c r="Q4" t="s">
        <v>118</v>
      </c>
      <c r="R4" t="str" cm="1">
        <f t="array" ref="R4:S4">_xlfn.TEXTSPLIT(Q4, "/", , FALSE)</f>
        <v>technology</v>
      </c>
      <c r="S4" t="str">
        <v>web</v>
      </c>
    </row>
    <row r="5" spans="1:19" ht="34" x14ac:dyDescent="0.2">
      <c r="A5">
        <v>3</v>
      </c>
      <c r="B5" t="s">
        <v>119</v>
      </c>
      <c r="C5" s="3" t="s">
        <v>120</v>
      </c>
      <c r="D5">
        <v>4200</v>
      </c>
      <c r="E5">
        <v>2477</v>
      </c>
      <c r="F5" s="5">
        <f t="shared" si="0"/>
        <v>0.58976190476190471</v>
      </c>
      <c r="G5" t="s">
        <v>6</v>
      </c>
      <c r="H5">
        <v>24</v>
      </c>
      <c r="I5" t="s">
        <v>109</v>
      </c>
      <c r="J5" t="s">
        <v>110</v>
      </c>
      <c r="K5" s="4">
        <v>43688.208333333328</v>
      </c>
      <c r="L5" s="4" t="s">
        <v>54</v>
      </c>
      <c r="M5" s="4" t="s">
        <v>121</v>
      </c>
      <c r="N5" s="4">
        <v>43728.208333333328</v>
      </c>
      <c r="O5" t="b">
        <v>0</v>
      </c>
      <c r="P5" t="b">
        <v>0</v>
      </c>
      <c r="Q5" t="s">
        <v>112</v>
      </c>
      <c r="R5" t="str" cm="1">
        <f t="array" ref="R5:S5">_xlfn.TEXTSPLIT(Q5, "/", , FALSE)</f>
        <v>music</v>
      </c>
      <c r="S5" t="str">
        <v>rock</v>
      </c>
    </row>
    <row r="6" spans="1:19" ht="17" x14ac:dyDescent="0.2">
      <c r="A6">
        <v>4</v>
      </c>
      <c r="B6" t="s">
        <v>122</v>
      </c>
      <c r="C6" s="3" t="s">
        <v>123</v>
      </c>
      <c r="D6">
        <v>7600</v>
      </c>
      <c r="E6">
        <v>5265</v>
      </c>
      <c r="F6" s="5">
        <f t="shared" si="0"/>
        <v>0.69276315789473686</v>
      </c>
      <c r="G6" t="s">
        <v>6</v>
      </c>
      <c r="H6">
        <v>53</v>
      </c>
      <c r="I6" t="s">
        <v>109</v>
      </c>
      <c r="J6" t="s">
        <v>110</v>
      </c>
      <c r="K6" s="4">
        <v>43485.25</v>
      </c>
      <c r="L6" s="4" t="s">
        <v>47</v>
      </c>
      <c r="M6" s="4" t="s">
        <v>121</v>
      </c>
      <c r="N6" s="4">
        <v>43489.25</v>
      </c>
      <c r="O6" t="b">
        <v>0</v>
      </c>
      <c r="P6" t="b">
        <v>0</v>
      </c>
      <c r="Q6" t="s">
        <v>124</v>
      </c>
      <c r="R6" t="str" cm="1">
        <f t="array" ref="R6:S6">_xlfn.TEXTSPLIT(Q6, "/", , FALSE)</f>
        <v>theater</v>
      </c>
      <c r="S6" t="str">
        <v>plays</v>
      </c>
    </row>
    <row r="7" spans="1:19" ht="17" x14ac:dyDescent="0.2">
      <c r="A7">
        <v>5</v>
      </c>
      <c r="B7" t="s">
        <v>125</v>
      </c>
      <c r="C7" s="3" t="s">
        <v>126</v>
      </c>
      <c r="D7">
        <v>7600</v>
      </c>
      <c r="E7">
        <v>13195</v>
      </c>
      <c r="F7" s="5">
        <f t="shared" si="0"/>
        <v>1.7361842105263159</v>
      </c>
      <c r="G7" t="s">
        <v>8</v>
      </c>
      <c r="H7">
        <v>174</v>
      </c>
      <c r="I7" t="s">
        <v>127</v>
      </c>
      <c r="J7" t="s">
        <v>128</v>
      </c>
      <c r="K7" s="4">
        <v>41149.208333333336</v>
      </c>
      <c r="L7" s="4" t="s">
        <v>54</v>
      </c>
      <c r="M7" s="4" t="s">
        <v>129</v>
      </c>
      <c r="N7" s="4">
        <v>41160.208333333336</v>
      </c>
      <c r="O7" t="b">
        <v>0</v>
      </c>
      <c r="P7" t="b">
        <v>0</v>
      </c>
      <c r="Q7" t="s">
        <v>124</v>
      </c>
      <c r="R7" t="str" cm="1">
        <f t="array" ref="R7:S7">_xlfn.TEXTSPLIT(Q7, "/", , FALSE)</f>
        <v>theater</v>
      </c>
      <c r="S7" t="str">
        <v>plays</v>
      </c>
    </row>
    <row r="8" spans="1:19" ht="17" x14ac:dyDescent="0.2">
      <c r="A8">
        <v>6</v>
      </c>
      <c r="B8" t="s">
        <v>130</v>
      </c>
      <c r="C8" s="3" t="s">
        <v>131</v>
      </c>
      <c r="D8">
        <v>5200</v>
      </c>
      <c r="E8">
        <v>1090</v>
      </c>
      <c r="F8" s="5">
        <f t="shared" si="0"/>
        <v>0.20961538461538462</v>
      </c>
      <c r="G8" t="s">
        <v>6</v>
      </c>
      <c r="H8">
        <v>18</v>
      </c>
      <c r="I8" t="s">
        <v>132</v>
      </c>
      <c r="J8" t="s">
        <v>133</v>
      </c>
      <c r="K8" s="4">
        <v>42991.208333333328</v>
      </c>
      <c r="L8" s="4" t="s">
        <v>55</v>
      </c>
      <c r="M8" s="4" t="s">
        <v>134</v>
      </c>
      <c r="N8" s="4">
        <v>42992.208333333328</v>
      </c>
      <c r="O8" t="b">
        <v>0</v>
      </c>
      <c r="P8" t="b">
        <v>0</v>
      </c>
      <c r="Q8" t="s">
        <v>135</v>
      </c>
      <c r="R8" t="str" cm="1">
        <f t="array" ref="R8:S8">_xlfn.TEXTSPLIT(Q8, "/", , FALSE)</f>
        <v>film &amp; video</v>
      </c>
      <c r="S8" t="str">
        <v>documentary</v>
      </c>
    </row>
    <row r="9" spans="1:19" ht="17" x14ac:dyDescent="0.2">
      <c r="A9">
        <v>7</v>
      </c>
      <c r="B9" t="s">
        <v>136</v>
      </c>
      <c r="C9" s="3" t="s">
        <v>137</v>
      </c>
      <c r="D9">
        <v>4500</v>
      </c>
      <c r="E9">
        <v>14741</v>
      </c>
      <c r="F9" s="5">
        <f t="shared" si="0"/>
        <v>3.2757777777777779</v>
      </c>
      <c r="G9" t="s">
        <v>8</v>
      </c>
      <c r="H9">
        <v>227</v>
      </c>
      <c r="I9" t="s">
        <v>127</v>
      </c>
      <c r="J9" t="s">
        <v>128</v>
      </c>
      <c r="K9" s="4">
        <v>42229.208333333328</v>
      </c>
      <c r="L9" s="4" t="s">
        <v>54</v>
      </c>
      <c r="M9" s="4" t="s">
        <v>105</v>
      </c>
      <c r="N9" s="4">
        <v>42231.208333333328</v>
      </c>
      <c r="O9" t="b">
        <v>0</v>
      </c>
      <c r="P9" t="b">
        <v>0</v>
      </c>
      <c r="Q9" t="s">
        <v>124</v>
      </c>
      <c r="R9" t="str" cm="1">
        <f t="array" ref="R9:S9">_xlfn.TEXTSPLIT(Q9, "/", , FALSE)</f>
        <v>theater</v>
      </c>
      <c r="S9" t="str">
        <v>plays</v>
      </c>
    </row>
    <row r="10" spans="1:19" ht="17" x14ac:dyDescent="0.2">
      <c r="A10">
        <v>8</v>
      </c>
      <c r="B10" t="s">
        <v>138</v>
      </c>
      <c r="C10" s="3" t="s">
        <v>139</v>
      </c>
      <c r="D10">
        <v>110100</v>
      </c>
      <c r="E10">
        <v>21946</v>
      </c>
      <c r="F10" s="5">
        <f t="shared" si="0"/>
        <v>0.19932788374205268</v>
      </c>
      <c r="G10" t="s">
        <v>7</v>
      </c>
      <c r="H10">
        <v>708</v>
      </c>
      <c r="I10" t="s">
        <v>127</v>
      </c>
      <c r="J10" t="s">
        <v>128</v>
      </c>
      <c r="K10" s="4">
        <v>40399.208333333336</v>
      </c>
      <c r="L10" s="4" t="s">
        <v>54</v>
      </c>
      <c r="M10" s="4" t="s">
        <v>140</v>
      </c>
      <c r="N10" s="4">
        <v>40401.208333333336</v>
      </c>
      <c r="O10" t="b">
        <v>0</v>
      </c>
      <c r="P10" t="b">
        <v>0</v>
      </c>
      <c r="Q10" t="s">
        <v>124</v>
      </c>
      <c r="R10" t="str" cm="1">
        <f t="array" ref="R10:S10">_xlfn.TEXTSPLIT(Q10, "/", , FALSE)</f>
        <v>theater</v>
      </c>
      <c r="S10" t="str">
        <v>plays</v>
      </c>
    </row>
    <row r="11" spans="1:19" ht="17" x14ac:dyDescent="0.2">
      <c r="A11">
        <v>9</v>
      </c>
      <c r="B11" t="s">
        <v>141</v>
      </c>
      <c r="C11" s="3" t="s">
        <v>142</v>
      </c>
      <c r="D11">
        <v>6200</v>
      </c>
      <c r="E11">
        <v>3208</v>
      </c>
      <c r="F11" s="5">
        <f t="shared" si="0"/>
        <v>0.51741935483870971</v>
      </c>
      <c r="G11" t="s">
        <v>6</v>
      </c>
      <c r="H11">
        <v>44</v>
      </c>
      <c r="I11" t="s">
        <v>109</v>
      </c>
      <c r="J11" t="s">
        <v>110</v>
      </c>
      <c r="K11" s="4">
        <v>41536.208333333336</v>
      </c>
      <c r="L11" s="4" t="s">
        <v>55</v>
      </c>
      <c r="M11" s="4" t="s">
        <v>117</v>
      </c>
      <c r="N11" s="4">
        <v>41585.25</v>
      </c>
      <c r="O11" t="b">
        <v>0</v>
      </c>
      <c r="P11" t="b">
        <v>0</v>
      </c>
      <c r="Q11" t="s">
        <v>143</v>
      </c>
      <c r="R11" t="str" cm="1">
        <f t="array" ref="R11:S11">_xlfn.TEXTSPLIT(Q11, "/", , FALSE)</f>
        <v>music</v>
      </c>
      <c r="S11" t="str">
        <v>electric music</v>
      </c>
    </row>
    <row r="12" spans="1:19" ht="17" x14ac:dyDescent="0.2">
      <c r="A12">
        <v>10</v>
      </c>
      <c r="B12" t="s">
        <v>144</v>
      </c>
      <c r="C12" s="3" t="s">
        <v>145</v>
      </c>
      <c r="D12">
        <v>5200</v>
      </c>
      <c r="E12">
        <v>13838</v>
      </c>
      <c r="F12" s="5">
        <f t="shared" si="0"/>
        <v>2.6611538461538462</v>
      </c>
      <c r="G12" t="s">
        <v>8</v>
      </c>
      <c r="H12">
        <v>220</v>
      </c>
      <c r="I12" t="s">
        <v>109</v>
      </c>
      <c r="J12" t="s">
        <v>110</v>
      </c>
      <c r="K12" s="4">
        <v>40404.208333333336</v>
      </c>
      <c r="L12" s="4" t="s">
        <v>54</v>
      </c>
      <c r="M12" s="4" t="s">
        <v>140</v>
      </c>
      <c r="N12" s="4">
        <v>40452.208333333336</v>
      </c>
      <c r="O12" t="b">
        <v>0</v>
      </c>
      <c r="P12" t="b">
        <v>0</v>
      </c>
      <c r="Q12" t="s">
        <v>146</v>
      </c>
      <c r="R12" t="str" cm="1">
        <f t="array" ref="R12:S12">_xlfn.TEXTSPLIT(Q12, "/", , FALSE)</f>
        <v>film &amp; video</v>
      </c>
      <c r="S12" t="str">
        <v>drama</v>
      </c>
    </row>
    <row r="13" spans="1:19" ht="34" x14ac:dyDescent="0.2">
      <c r="A13">
        <v>11</v>
      </c>
      <c r="B13" t="s">
        <v>147</v>
      </c>
      <c r="C13" s="3" t="s">
        <v>148</v>
      </c>
      <c r="D13">
        <v>6300</v>
      </c>
      <c r="E13">
        <v>3030</v>
      </c>
      <c r="F13" s="5">
        <f t="shared" si="0"/>
        <v>0.48095238095238096</v>
      </c>
      <c r="G13" t="s">
        <v>6</v>
      </c>
      <c r="H13">
        <v>27</v>
      </c>
      <c r="I13" t="s">
        <v>109</v>
      </c>
      <c r="J13" t="s">
        <v>110</v>
      </c>
      <c r="K13" s="4">
        <v>40442.208333333336</v>
      </c>
      <c r="L13" s="4" t="s">
        <v>55</v>
      </c>
      <c r="M13" s="4" t="s">
        <v>140</v>
      </c>
      <c r="N13" s="4">
        <v>40448.208333333336</v>
      </c>
      <c r="O13" t="b">
        <v>0</v>
      </c>
      <c r="P13" t="b">
        <v>1</v>
      </c>
      <c r="Q13" t="s">
        <v>124</v>
      </c>
      <c r="R13" t="str" cm="1">
        <f t="array" ref="R13:S13">_xlfn.TEXTSPLIT(Q13, "/", , FALSE)</f>
        <v>theater</v>
      </c>
      <c r="S13" t="str">
        <v>plays</v>
      </c>
    </row>
    <row r="14" spans="1:19" ht="17" x14ac:dyDescent="0.2">
      <c r="A14">
        <v>12</v>
      </c>
      <c r="B14" t="s">
        <v>149</v>
      </c>
      <c r="C14" s="3" t="s">
        <v>150</v>
      </c>
      <c r="D14">
        <v>6300</v>
      </c>
      <c r="E14">
        <v>5629</v>
      </c>
      <c r="F14" s="5">
        <f t="shared" si="0"/>
        <v>0.89349206349206345</v>
      </c>
      <c r="G14" t="s">
        <v>6</v>
      </c>
      <c r="H14">
        <v>55</v>
      </c>
      <c r="I14" t="s">
        <v>109</v>
      </c>
      <c r="J14" t="s">
        <v>110</v>
      </c>
      <c r="K14" s="4">
        <v>43760.208333333328</v>
      </c>
      <c r="L14" s="4" t="s">
        <v>56</v>
      </c>
      <c r="M14" s="4" t="s">
        <v>121</v>
      </c>
      <c r="N14" s="4">
        <v>43768.208333333328</v>
      </c>
      <c r="O14" t="b">
        <v>0</v>
      </c>
      <c r="P14" t="b">
        <v>0</v>
      </c>
      <c r="Q14" t="s">
        <v>146</v>
      </c>
      <c r="R14" t="str" cm="1">
        <f t="array" ref="R14:S14">_xlfn.TEXTSPLIT(Q14, "/", , FALSE)</f>
        <v>film &amp; video</v>
      </c>
      <c r="S14" t="str">
        <v>drama</v>
      </c>
    </row>
    <row r="15" spans="1:19" ht="34" x14ac:dyDescent="0.2">
      <c r="A15">
        <v>13</v>
      </c>
      <c r="B15" t="s">
        <v>151</v>
      </c>
      <c r="C15" s="3" t="s">
        <v>152</v>
      </c>
      <c r="D15">
        <v>4200</v>
      </c>
      <c r="E15">
        <v>10295</v>
      </c>
      <c r="F15" s="5">
        <f t="shared" si="0"/>
        <v>2.4511904761904764</v>
      </c>
      <c r="G15" t="s">
        <v>8</v>
      </c>
      <c r="H15">
        <v>98</v>
      </c>
      <c r="I15" t="s">
        <v>109</v>
      </c>
      <c r="J15" t="s">
        <v>110</v>
      </c>
      <c r="K15" s="4">
        <v>42532.208333333328</v>
      </c>
      <c r="L15" s="4" t="s">
        <v>52</v>
      </c>
      <c r="M15" s="4" t="s">
        <v>153</v>
      </c>
      <c r="N15" s="4">
        <v>42544.208333333328</v>
      </c>
      <c r="O15" t="b">
        <v>0</v>
      </c>
      <c r="P15" t="b">
        <v>0</v>
      </c>
      <c r="Q15" t="s">
        <v>154</v>
      </c>
      <c r="R15" t="str" cm="1">
        <f t="array" ref="R15:S15">_xlfn.TEXTSPLIT(Q15, "/", , FALSE)</f>
        <v>music</v>
      </c>
      <c r="S15" t="str">
        <v>indie rock</v>
      </c>
    </row>
    <row r="16" spans="1:19" ht="17" x14ac:dyDescent="0.2">
      <c r="A16">
        <v>14</v>
      </c>
      <c r="B16" t="s">
        <v>155</v>
      </c>
      <c r="C16" s="3" t="s">
        <v>156</v>
      </c>
      <c r="D16">
        <v>28200</v>
      </c>
      <c r="E16">
        <v>18829</v>
      </c>
      <c r="F16" s="5">
        <f t="shared" si="0"/>
        <v>0.66769503546099296</v>
      </c>
      <c r="G16" t="s">
        <v>6</v>
      </c>
      <c r="H16">
        <v>200</v>
      </c>
      <c r="I16" t="s">
        <v>109</v>
      </c>
      <c r="J16" t="s">
        <v>110</v>
      </c>
      <c r="K16" s="4">
        <v>40974.25</v>
      </c>
      <c r="L16" s="4" t="s">
        <v>49</v>
      </c>
      <c r="M16" s="4" t="s">
        <v>129</v>
      </c>
      <c r="N16" s="4">
        <v>41001.208333333336</v>
      </c>
      <c r="O16" t="b">
        <v>0</v>
      </c>
      <c r="P16" t="b">
        <v>0</v>
      </c>
      <c r="Q16" t="s">
        <v>154</v>
      </c>
      <c r="R16" t="str" cm="1">
        <f t="array" ref="R16:S16">_xlfn.TEXTSPLIT(Q16, "/", , FALSE)</f>
        <v>music</v>
      </c>
      <c r="S16" t="str">
        <v>indie rock</v>
      </c>
    </row>
    <row r="17" spans="1:19" ht="17" x14ac:dyDescent="0.2">
      <c r="A17">
        <v>15</v>
      </c>
      <c r="B17" t="s">
        <v>157</v>
      </c>
      <c r="C17" s="3" t="s">
        <v>158</v>
      </c>
      <c r="D17">
        <v>81200</v>
      </c>
      <c r="E17">
        <v>38414</v>
      </c>
      <c r="F17" s="5">
        <f t="shared" si="0"/>
        <v>0.47307881773399013</v>
      </c>
      <c r="G17" t="s">
        <v>6</v>
      </c>
      <c r="H17">
        <v>452</v>
      </c>
      <c r="I17" t="s">
        <v>109</v>
      </c>
      <c r="J17" t="s">
        <v>110</v>
      </c>
      <c r="K17" s="4">
        <v>43809.25</v>
      </c>
      <c r="L17" s="4" t="s">
        <v>58</v>
      </c>
      <c r="M17" s="4" t="s">
        <v>121</v>
      </c>
      <c r="N17" s="4">
        <v>43813.25</v>
      </c>
      <c r="O17" t="b">
        <v>0</v>
      </c>
      <c r="P17" t="b">
        <v>0</v>
      </c>
      <c r="Q17" t="s">
        <v>159</v>
      </c>
      <c r="R17" t="str" cm="1">
        <f t="array" ref="R17:S17">_xlfn.TEXTSPLIT(Q17, "/", , FALSE)</f>
        <v>technology</v>
      </c>
      <c r="S17" t="str">
        <v>wearables</v>
      </c>
    </row>
    <row r="18" spans="1:19" ht="17" x14ac:dyDescent="0.2">
      <c r="A18">
        <v>16</v>
      </c>
      <c r="B18" t="s">
        <v>160</v>
      </c>
      <c r="C18" s="3" t="s">
        <v>161</v>
      </c>
      <c r="D18">
        <v>1700</v>
      </c>
      <c r="E18">
        <v>11041</v>
      </c>
      <c r="F18" s="5">
        <f t="shared" si="0"/>
        <v>6.4947058823529416</v>
      </c>
      <c r="G18" t="s">
        <v>8</v>
      </c>
      <c r="H18">
        <v>100</v>
      </c>
      <c r="I18" t="s">
        <v>109</v>
      </c>
      <c r="J18" t="s">
        <v>110</v>
      </c>
      <c r="K18" s="4">
        <v>41661.25</v>
      </c>
      <c r="L18" s="4" t="s">
        <v>47</v>
      </c>
      <c r="M18" s="4" t="s">
        <v>111</v>
      </c>
      <c r="N18" s="4">
        <v>41683.25</v>
      </c>
      <c r="O18" t="b">
        <v>0</v>
      </c>
      <c r="P18" t="b">
        <v>0</v>
      </c>
      <c r="Q18" t="s">
        <v>162</v>
      </c>
      <c r="R18" t="str" cm="1">
        <f t="array" ref="R18:S18">_xlfn.TEXTSPLIT(Q18, "/", , FALSE)</f>
        <v>publishing</v>
      </c>
      <c r="S18" t="str">
        <v>nonfiction</v>
      </c>
    </row>
    <row r="19" spans="1:19" ht="17" x14ac:dyDescent="0.2">
      <c r="A19">
        <v>17</v>
      </c>
      <c r="B19" t="s">
        <v>163</v>
      </c>
      <c r="C19" s="3" t="s">
        <v>164</v>
      </c>
      <c r="D19">
        <v>84600</v>
      </c>
      <c r="E19">
        <v>134845</v>
      </c>
      <c r="F19" s="5">
        <f t="shared" si="0"/>
        <v>1.5939125295508274</v>
      </c>
      <c r="G19" t="s">
        <v>8</v>
      </c>
      <c r="H19">
        <v>1249</v>
      </c>
      <c r="I19" t="s">
        <v>109</v>
      </c>
      <c r="J19" t="s">
        <v>110</v>
      </c>
      <c r="K19" s="4">
        <v>40555.25</v>
      </c>
      <c r="L19" s="4" t="s">
        <v>47</v>
      </c>
      <c r="M19" s="4" t="s">
        <v>165</v>
      </c>
      <c r="N19" s="4">
        <v>40556.25</v>
      </c>
      <c r="O19" t="b">
        <v>0</v>
      </c>
      <c r="P19" t="b">
        <v>0</v>
      </c>
      <c r="Q19" t="s">
        <v>166</v>
      </c>
      <c r="R19" t="str" cm="1">
        <f t="array" ref="R19:S19">_xlfn.TEXTSPLIT(Q19, "/", , FALSE)</f>
        <v>film &amp; video</v>
      </c>
      <c r="S19" t="str">
        <v>animation</v>
      </c>
    </row>
    <row r="20" spans="1:19" ht="17" x14ac:dyDescent="0.2">
      <c r="A20">
        <v>18</v>
      </c>
      <c r="B20" t="s">
        <v>167</v>
      </c>
      <c r="C20" s="3" t="s">
        <v>168</v>
      </c>
      <c r="D20">
        <v>9100</v>
      </c>
      <c r="E20">
        <v>6089</v>
      </c>
      <c r="F20" s="5">
        <f t="shared" si="0"/>
        <v>0.66912087912087914</v>
      </c>
      <c r="G20" t="s">
        <v>5</v>
      </c>
      <c r="H20">
        <v>135</v>
      </c>
      <c r="I20" t="s">
        <v>109</v>
      </c>
      <c r="J20" t="s">
        <v>110</v>
      </c>
      <c r="K20" s="4">
        <v>43351.208333333328</v>
      </c>
      <c r="L20" s="4" t="s">
        <v>55</v>
      </c>
      <c r="M20" s="4" t="s">
        <v>169</v>
      </c>
      <c r="N20" s="4">
        <v>43359.208333333328</v>
      </c>
      <c r="O20" t="b">
        <v>0</v>
      </c>
      <c r="P20" t="b">
        <v>0</v>
      </c>
      <c r="Q20" t="s">
        <v>124</v>
      </c>
      <c r="R20" t="str" cm="1">
        <f t="array" ref="R20:S20">_xlfn.TEXTSPLIT(Q20, "/", , FALSE)</f>
        <v>theater</v>
      </c>
      <c r="S20" t="str">
        <v>plays</v>
      </c>
    </row>
    <row r="21" spans="1:19" ht="17" x14ac:dyDescent="0.2">
      <c r="A21">
        <v>19</v>
      </c>
      <c r="B21" t="s">
        <v>170</v>
      </c>
      <c r="C21" s="3" t="s">
        <v>171</v>
      </c>
      <c r="D21">
        <v>62500</v>
      </c>
      <c r="E21">
        <v>30331</v>
      </c>
      <c r="F21" s="5">
        <f t="shared" si="0"/>
        <v>0.48529600000000001</v>
      </c>
      <c r="G21" t="s">
        <v>6</v>
      </c>
      <c r="H21">
        <v>674</v>
      </c>
      <c r="I21" t="s">
        <v>109</v>
      </c>
      <c r="J21" t="s">
        <v>110</v>
      </c>
      <c r="K21" s="4">
        <v>43528.25</v>
      </c>
      <c r="L21" s="4" t="s">
        <v>49</v>
      </c>
      <c r="M21" s="4" t="s">
        <v>121</v>
      </c>
      <c r="N21" s="4">
        <v>43549.208333333328</v>
      </c>
      <c r="O21" t="b">
        <v>0</v>
      </c>
      <c r="P21" t="b">
        <v>1</v>
      </c>
      <c r="Q21" t="s">
        <v>124</v>
      </c>
      <c r="R21" t="str" cm="1">
        <f t="array" ref="R21:S21">_xlfn.TEXTSPLIT(Q21, "/", , FALSE)</f>
        <v>theater</v>
      </c>
      <c r="S21" t="str">
        <v>plays</v>
      </c>
    </row>
    <row r="22" spans="1:19" ht="17" x14ac:dyDescent="0.2">
      <c r="A22">
        <v>20</v>
      </c>
      <c r="B22" t="s">
        <v>172</v>
      </c>
      <c r="C22" s="3" t="s">
        <v>173</v>
      </c>
      <c r="D22">
        <v>131800</v>
      </c>
      <c r="E22">
        <v>147936</v>
      </c>
      <c r="F22" s="5">
        <f t="shared" si="0"/>
        <v>1.1224279210925645</v>
      </c>
      <c r="G22" t="s">
        <v>8</v>
      </c>
      <c r="H22">
        <v>1396</v>
      </c>
      <c r="I22" t="s">
        <v>109</v>
      </c>
      <c r="J22" t="s">
        <v>110</v>
      </c>
      <c r="K22" s="4">
        <v>41848.208333333336</v>
      </c>
      <c r="L22" s="4" t="s">
        <v>53</v>
      </c>
      <c r="M22" s="4" t="s">
        <v>111</v>
      </c>
      <c r="N22" s="4">
        <v>41848.208333333336</v>
      </c>
      <c r="O22" t="b">
        <v>0</v>
      </c>
      <c r="P22" t="b">
        <v>0</v>
      </c>
      <c r="Q22" t="s">
        <v>146</v>
      </c>
      <c r="R22" t="str" cm="1">
        <f t="array" ref="R22:S22">_xlfn.TEXTSPLIT(Q22, "/", , FALSE)</f>
        <v>film &amp; video</v>
      </c>
      <c r="S22" t="str">
        <v>drama</v>
      </c>
    </row>
    <row r="23" spans="1:19" ht="17" x14ac:dyDescent="0.2">
      <c r="A23">
        <v>21</v>
      </c>
      <c r="B23" t="s">
        <v>174</v>
      </c>
      <c r="C23" s="3" t="s">
        <v>175</v>
      </c>
      <c r="D23">
        <v>94000</v>
      </c>
      <c r="E23">
        <v>38533</v>
      </c>
      <c r="F23" s="5">
        <f t="shared" si="0"/>
        <v>0.40992553191489361</v>
      </c>
      <c r="G23" t="s">
        <v>6</v>
      </c>
      <c r="H23">
        <v>558</v>
      </c>
      <c r="I23" t="s">
        <v>109</v>
      </c>
      <c r="J23" t="s">
        <v>110</v>
      </c>
      <c r="K23" s="4">
        <v>40770.208333333336</v>
      </c>
      <c r="L23" s="4" t="s">
        <v>54</v>
      </c>
      <c r="M23" s="4" t="s">
        <v>165</v>
      </c>
      <c r="N23" s="4">
        <v>40804.208333333336</v>
      </c>
      <c r="O23" t="b">
        <v>0</v>
      </c>
      <c r="P23" t="b">
        <v>0</v>
      </c>
      <c r="Q23" t="s">
        <v>124</v>
      </c>
      <c r="R23" t="str" cm="1">
        <f t="array" ref="R23:S23">_xlfn.TEXTSPLIT(Q23, "/", , FALSE)</f>
        <v>theater</v>
      </c>
      <c r="S23" t="str">
        <v>plays</v>
      </c>
    </row>
    <row r="24" spans="1:19" ht="17" x14ac:dyDescent="0.2">
      <c r="A24">
        <v>22</v>
      </c>
      <c r="B24" t="s">
        <v>176</v>
      </c>
      <c r="C24" s="3" t="s">
        <v>177</v>
      </c>
      <c r="D24">
        <v>59100</v>
      </c>
      <c r="E24">
        <v>75690</v>
      </c>
      <c r="F24" s="5">
        <f t="shared" si="0"/>
        <v>1.2807106598984772</v>
      </c>
      <c r="G24" t="s">
        <v>8</v>
      </c>
      <c r="H24">
        <v>890</v>
      </c>
      <c r="I24" t="s">
        <v>109</v>
      </c>
      <c r="J24" t="s">
        <v>110</v>
      </c>
      <c r="K24" s="4">
        <v>43193.208333333328</v>
      </c>
      <c r="L24" s="4" t="s">
        <v>50</v>
      </c>
      <c r="M24" s="4" t="s">
        <v>169</v>
      </c>
      <c r="N24" s="4">
        <v>43208.208333333328</v>
      </c>
      <c r="O24" t="b">
        <v>0</v>
      </c>
      <c r="P24" t="b">
        <v>0</v>
      </c>
      <c r="Q24" t="s">
        <v>124</v>
      </c>
      <c r="R24" t="str" cm="1">
        <f t="array" ref="R24:S24">_xlfn.TEXTSPLIT(Q24, "/", , FALSE)</f>
        <v>theater</v>
      </c>
      <c r="S24" t="str">
        <v>plays</v>
      </c>
    </row>
    <row r="25" spans="1:19" ht="17" x14ac:dyDescent="0.2">
      <c r="A25">
        <v>23</v>
      </c>
      <c r="B25" t="s">
        <v>178</v>
      </c>
      <c r="C25" s="3" t="s">
        <v>179</v>
      </c>
      <c r="D25">
        <v>4500</v>
      </c>
      <c r="E25">
        <v>14942</v>
      </c>
      <c r="F25" s="5">
        <f t="shared" si="0"/>
        <v>3.3204444444444445</v>
      </c>
      <c r="G25" t="s">
        <v>8</v>
      </c>
      <c r="H25">
        <v>142</v>
      </c>
      <c r="I25" t="s">
        <v>132</v>
      </c>
      <c r="J25" t="s">
        <v>133</v>
      </c>
      <c r="K25" s="4">
        <v>43510.25</v>
      </c>
      <c r="L25" s="4" t="s">
        <v>48</v>
      </c>
      <c r="M25" s="4" t="s">
        <v>121</v>
      </c>
      <c r="N25" s="4">
        <v>43563.208333333328</v>
      </c>
      <c r="O25" t="b">
        <v>0</v>
      </c>
      <c r="P25" t="b">
        <v>0</v>
      </c>
      <c r="Q25" t="s">
        <v>135</v>
      </c>
      <c r="R25" t="str" cm="1">
        <f t="array" ref="R25:S25">_xlfn.TEXTSPLIT(Q25, "/", , FALSE)</f>
        <v>film &amp; video</v>
      </c>
      <c r="S25" t="str">
        <v>documentary</v>
      </c>
    </row>
    <row r="26" spans="1:19" ht="17" x14ac:dyDescent="0.2">
      <c r="A26">
        <v>24</v>
      </c>
      <c r="B26" t="s">
        <v>180</v>
      </c>
      <c r="C26" s="3" t="s">
        <v>181</v>
      </c>
      <c r="D26">
        <v>92400</v>
      </c>
      <c r="E26">
        <v>104257</v>
      </c>
      <c r="F26" s="5">
        <f t="shared" si="0"/>
        <v>1.1283225108225108</v>
      </c>
      <c r="G26" t="s">
        <v>8</v>
      </c>
      <c r="H26">
        <v>2673</v>
      </c>
      <c r="I26" t="s">
        <v>109</v>
      </c>
      <c r="J26" t="s">
        <v>110</v>
      </c>
      <c r="K26" s="4">
        <v>41811.208333333336</v>
      </c>
      <c r="L26" s="4" t="s">
        <v>52</v>
      </c>
      <c r="M26" s="4" t="s">
        <v>111</v>
      </c>
      <c r="N26" s="4">
        <v>41813.208333333336</v>
      </c>
      <c r="O26" t="b">
        <v>0</v>
      </c>
      <c r="P26" t="b">
        <v>0</v>
      </c>
      <c r="Q26" t="s">
        <v>159</v>
      </c>
      <c r="R26" t="str" cm="1">
        <f t="array" ref="R26:S26">_xlfn.TEXTSPLIT(Q26, "/", , FALSE)</f>
        <v>technology</v>
      </c>
      <c r="S26" t="str">
        <v>wearables</v>
      </c>
    </row>
    <row r="27" spans="1:19" ht="17" x14ac:dyDescent="0.2">
      <c r="A27">
        <v>25</v>
      </c>
      <c r="B27" t="s">
        <v>182</v>
      </c>
      <c r="C27" s="3" t="s">
        <v>183</v>
      </c>
      <c r="D27">
        <v>5500</v>
      </c>
      <c r="E27">
        <v>11904</v>
      </c>
      <c r="F27" s="5">
        <f t="shared" si="0"/>
        <v>2.1643636363636363</v>
      </c>
      <c r="G27" t="s">
        <v>8</v>
      </c>
      <c r="H27">
        <v>163</v>
      </c>
      <c r="I27" t="s">
        <v>109</v>
      </c>
      <c r="J27" t="s">
        <v>110</v>
      </c>
      <c r="K27" s="4">
        <v>40681.208333333336</v>
      </c>
      <c r="L27" s="4" t="s">
        <v>51</v>
      </c>
      <c r="M27" s="4" t="s">
        <v>165</v>
      </c>
      <c r="N27" s="4">
        <v>40701.208333333336</v>
      </c>
      <c r="O27" t="b">
        <v>0</v>
      </c>
      <c r="P27" t="b">
        <v>1</v>
      </c>
      <c r="Q27" t="s">
        <v>184</v>
      </c>
      <c r="R27" t="str" cm="1">
        <f t="array" ref="R27:S27">_xlfn.TEXTSPLIT(Q27, "/", , FALSE)</f>
        <v>games</v>
      </c>
      <c r="S27" t="str">
        <v>video games</v>
      </c>
    </row>
    <row r="28" spans="1:19" ht="17" x14ac:dyDescent="0.2">
      <c r="A28">
        <v>26</v>
      </c>
      <c r="B28" t="s">
        <v>185</v>
      </c>
      <c r="C28" s="3" t="s">
        <v>186</v>
      </c>
      <c r="D28">
        <v>107500</v>
      </c>
      <c r="E28">
        <v>51814</v>
      </c>
      <c r="F28" s="5">
        <f t="shared" si="0"/>
        <v>0.4819906976744186</v>
      </c>
      <c r="G28" t="s">
        <v>5</v>
      </c>
      <c r="H28">
        <v>1480</v>
      </c>
      <c r="I28" t="s">
        <v>109</v>
      </c>
      <c r="J28" t="s">
        <v>110</v>
      </c>
      <c r="K28" s="4">
        <v>43312.208333333328</v>
      </c>
      <c r="L28" s="4" t="s">
        <v>53</v>
      </c>
      <c r="M28" s="4" t="s">
        <v>169</v>
      </c>
      <c r="N28" s="4">
        <v>43339.208333333328</v>
      </c>
      <c r="O28" t="b">
        <v>0</v>
      </c>
      <c r="P28" t="b">
        <v>0</v>
      </c>
      <c r="Q28" t="s">
        <v>124</v>
      </c>
      <c r="R28" t="str" cm="1">
        <f t="array" ref="R28:S28">_xlfn.TEXTSPLIT(Q28, "/", , FALSE)</f>
        <v>theater</v>
      </c>
      <c r="S28" t="str">
        <v>plays</v>
      </c>
    </row>
    <row r="29" spans="1:19" ht="17" x14ac:dyDescent="0.2">
      <c r="A29">
        <v>27</v>
      </c>
      <c r="B29" t="s">
        <v>187</v>
      </c>
      <c r="C29" s="3" t="s">
        <v>188</v>
      </c>
      <c r="D29">
        <v>2000</v>
      </c>
      <c r="E29">
        <v>1599</v>
      </c>
      <c r="F29" s="5">
        <f t="shared" si="0"/>
        <v>0.79949999999999999</v>
      </c>
      <c r="G29" t="s">
        <v>6</v>
      </c>
      <c r="H29">
        <v>15</v>
      </c>
      <c r="I29" t="s">
        <v>109</v>
      </c>
      <c r="J29" t="s">
        <v>110</v>
      </c>
      <c r="K29" s="4">
        <v>42280.208333333328</v>
      </c>
      <c r="L29" s="4" t="s">
        <v>56</v>
      </c>
      <c r="M29" s="4" t="s">
        <v>105</v>
      </c>
      <c r="N29" s="4">
        <v>42288.208333333328</v>
      </c>
      <c r="O29" t="b">
        <v>0</v>
      </c>
      <c r="P29" t="b">
        <v>0</v>
      </c>
      <c r="Q29" t="s">
        <v>112</v>
      </c>
      <c r="R29" t="str" cm="1">
        <f t="array" ref="R29:S29">_xlfn.TEXTSPLIT(Q29, "/", , FALSE)</f>
        <v>music</v>
      </c>
      <c r="S29" t="str">
        <v>rock</v>
      </c>
    </row>
    <row r="30" spans="1:19" ht="17" x14ac:dyDescent="0.2">
      <c r="A30">
        <v>28</v>
      </c>
      <c r="B30" t="s">
        <v>189</v>
      </c>
      <c r="C30" s="3" t="s">
        <v>190</v>
      </c>
      <c r="D30">
        <v>130800</v>
      </c>
      <c r="E30">
        <v>137635</v>
      </c>
      <c r="F30" s="5">
        <f t="shared" si="0"/>
        <v>1.0522553516819573</v>
      </c>
      <c r="G30" t="s">
        <v>8</v>
      </c>
      <c r="H30">
        <v>2220</v>
      </c>
      <c r="I30" t="s">
        <v>109</v>
      </c>
      <c r="J30" t="s">
        <v>110</v>
      </c>
      <c r="K30" s="4">
        <v>40218.25</v>
      </c>
      <c r="L30" s="4" t="s">
        <v>48</v>
      </c>
      <c r="M30" s="4" t="s">
        <v>140</v>
      </c>
      <c r="N30" s="4">
        <v>40241.25</v>
      </c>
      <c r="O30" t="b">
        <v>0</v>
      </c>
      <c r="P30" t="b">
        <v>1</v>
      </c>
      <c r="Q30" t="s">
        <v>124</v>
      </c>
      <c r="R30" t="str" cm="1">
        <f t="array" ref="R30:S30">_xlfn.TEXTSPLIT(Q30, "/", , FALSE)</f>
        <v>theater</v>
      </c>
      <c r="S30" t="str">
        <v>plays</v>
      </c>
    </row>
    <row r="31" spans="1:19" ht="17" x14ac:dyDescent="0.2">
      <c r="A31">
        <v>29</v>
      </c>
      <c r="B31" t="s">
        <v>191</v>
      </c>
      <c r="C31" s="3" t="s">
        <v>192</v>
      </c>
      <c r="D31">
        <v>45900</v>
      </c>
      <c r="E31">
        <v>150965</v>
      </c>
      <c r="F31" s="5">
        <f t="shared" si="0"/>
        <v>3.2889978213507627</v>
      </c>
      <c r="G31" t="s">
        <v>8</v>
      </c>
      <c r="H31">
        <v>1606</v>
      </c>
      <c r="I31" t="s">
        <v>193</v>
      </c>
      <c r="J31" t="s">
        <v>194</v>
      </c>
      <c r="K31" s="4">
        <v>43301.208333333328</v>
      </c>
      <c r="L31" s="4" t="s">
        <v>53</v>
      </c>
      <c r="M31" s="4" t="s">
        <v>169</v>
      </c>
      <c r="N31" s="4">
        <v>43341.208333333328</v>
      </c>
      <c r="O31" t="b">
        <v>0</v>
      </c>
      <c r="P31" t="b">
        <v>0</v>
      </c>
      <c r="Q31" t="s">
        <v>195</v>
      </c>
      <c r="R31" t="str" cm="1">
        <f t="array" ref="R31:S31">_xlfn.TEXTSPLIT(Q31, "/", , FALSE)</f>
        <v>film &amp; video</v>
      </c>
      <c r="S31" t="str">
        <v>shorts</v>
      </c>
    </row>
    <row r="32" spans="1:19" ht="17" x14ac:dyDescent="0.2">
      <c r="A32">
        <v>30</v>
      </c>
      <c r="B32" t="s">
        <v>196</v>
      </c>
      <c r="C32" s="3" t="s">
        <v>197</v>
      </c>
      <c r="D32">
        <v>9000</v>
      </c>
      <c r="E32">
        <v>14455</v>
      </c>
      <c r="F32" s="5">
        <f t="shared" si="0"/>
        <v>1.606111111111111</v>
      </c>
      <c r="G32" t="s">
        <v>8</v>
      </c>
      <c r="H32">
        <v>129</v>
      </c>
      <c r="I32" t="s">
        <v>109</v>
      </c>
      <c r="J32" t="s">
        <v>110</v>
      </c>
      <c r="K32" s="4">
        <v>43609.208333333328</v>
      </c>
      <c r="L32" s="4" t="s">
        <v>51</v>
      </c>
      <c r="M32" s="4" t="s">
        <v>121</v>
      </c>
      <c r="N32" s="4">
        <v>43614.208333333328</v>
      </c>
      <c r="O32" t="b">
        <v>0</v>
      </c>
      <c r="P32" t="b">
        <v>0</v>
      </c>
      <c r="Q32" t="s">
        <v>166</v>
      </c>
      <c r="R32" t="str" cm="1">
        <f t="array" ref="R32:S32">_xlfn.TEXTSPLIT(Q32, "/", , FALSE)</f>
        <v>film &amp; video</v>
      </c>
      <c r="S32" t="str">
        <v>animation</v>
      </c>
    </row>
    <row r="33" spans="1:19" ht="17" x14ac:dyDescent="0.2">
      <c r="A33">
        <v>31</v>
      </c>
      <c r="B33" t="s">
        <v>198</v>
      </c>
      <c r="C33" s="3" t="s">
        <v>199</v>
      </c>
      <c r="D33">
        <v>3500</v>
      </c>
      <c r="E33">
        <v>10850</v>
      </c>
      <c r="F33" s="5">
        <f t="shared" si="0"/>
        <v>3.1</v>
      </c>
      <c r="G33" t="s">
        <v>8</v>
      </c>
      <c r="H33">
        <v>226</v>
      </c>
      <c r="I33" t="s">
        <v>132</v>
      </c>
      <c r="J33" t="s">
        <v>133</v>
      </c>
      <c r="K33" s="4">
        <v>42374.25</v>
      </c>
      <c r="L33" s="4" t="s">
        <v>47</v>
      </c>
      <c r="M33" s="4" t="s">
        <v>153</v>
      </c>
      <c r="N33" s="4">
        <v>42402.25</v>
      </c>
      <c r="O33" t="b">
        <v>0</v>
      </c>
      <c r="P33" t="b">
        <v>0</v>
      </c>
      <c r="Q33" t="s">
        <v>184</v>
      </c>
      <c r="R33" t="str" cm="1">
        <f t="array" ref="R33:S33">_xlfn.TEXTSPLIT(Q33, "/", , FALSE)</f>
        <v>games</v>
      </c>
      <c r="S33" t="str">
        <v>video games</v>
      </c>
    </row>
    <row r="34" spans="1:19" ht="17" x14ac:dyDescent="0.2">
      <c r="A34">
        <v>32</v>
      </c>
      <c r="B34" t="s">
        <v>200</v>
      </c>
      <c r="C34" s="3" t="s">
        <v>201</v>
      </c>
      <c r="D34">
        <v>101000</v>
      </c>
      <c r="E34">
        <v>87676</v>
      </c>
      <c r="F34" s="5">
        <f t="shared" si="0"/>
        <v>0.86807920792079207</v>
      </c>
      <c r="G34" t="s">
        <v>6</v>
      </c>
      <c r="H34">
        <v>2307</v>
      </c>
      <c r="I34" t="s">
        <v>202</v>
      </c>
      <c r="J34" t="s">
        <v>203</v>
      </c>
      <c r="K34" s="4">
        <v>43110.25</v>
      </c>
      <c r="L34" s="4" t="s">
        <v>47</v>
      </c>
      <c r="M34" s="4" t="s">
        <v>169</v>
      </c>
      <c r="N34" s="4">
        <v>43137.25</v>
      </c>
      <c r="O34" t="b">
        <v>0</v>
      </c>
      <c r="P34" t="b">
        <v>0</v>
      </c>
      <c r="Q34" t="s">
        <v>135</v>
      </c>
      <c r="R34" t="str" cm="1">
        <f t="array" ref="R34:S34">_xlfn.TEXTSPLIT(Q34, "/", , FALSE)</f>
        <v>film &amp; video</v>
      </c>
      <c r="S34" t="str">
        <v>documentary</v>
      </c>
    </row>
    <row r="35" spans="1:19" ht="17" x14ac:dyDescent="0.2">
      <c r="A35">
        <v>33</v>
      </c>
      <c r="B35" t="s">
        <v>204</v>
      </c>
      <c r="C35" s="3" t="s">
        <v>205</v>
      </c>
      <c r="D35">
        <v>50200</v>
      </c>
      <c r="E35">
        <v>189666</v>
      </c>
      <c r="F35" s="5">
        <f t="shared" si="0"/>
        <v>3.7782071713147412</v>
      </c>
      <c r="G35" t="s">
        <v>8</v>
      </c>
      <c r="H35">
        <v>5419</v>
      </c>
      <c r="I35" t="s">
        <v>109</v>
      </c>
      <c r="J35" t="s">
        <v>110</v>
      </c>
      <c r="K35" s="4">
        <v>41917.208333333336</v>
      </c>
      <c r="L35" s="4" t="s">
        <v>56</v>
      </c>
      <c r="M35" s="4" t="s">
        <v>111</v>
      </c>
      <c r="N35" s="4">
        <v>41954.25</v>
      </c>
      <c r="O35" t="b">
        <v>0</v>
      </c>
      <c r="P35" t="b">
        <v>0</v>
      </c>
      <c r="Q35" t="s">
        <v>124</v>
      </c>
      <c r="R35" t="str" cm="1">
        <f t="array" ref="R35:S35">_xlfn.TEXTSPLIT(Q35, "/", , FALSE)</f>
        <v>theater</v>
      </c>
      <c r="S35" t="str">
        <v>plays</v>
      </c>
    </row>
    <row r="36" spans="1:19" ht="34" x14ac:dyDescent="0.2">
      <c r="A36">
        <v>34</v>
      </c>
      <c r="B36" t="s">
        <v>206</v>
      </c>
      <c r="C36" s="3" t="s">
        <v>207</v>
      </c>
      <c r="D36">
        <v>9300</v>
      </c>
      <c r="E36">
        <v>14025</v>
      </c>
      <c r="F36" s="5">
        <f t="shared" si="0"/>
        <v>1.5080645161290323</v>
      </c>
      <c r="G36" t="s">
        <v>8</v>
      </c>
      <c r="H36">
        <v>165</v>
      </c>
      <c r="I36" t="s">
        <v>109</v>
      </c>
      <c r="J36" t="s">
        <v>110</v>
      </c>
      <c r="K36" s="4">
        <v>42817.208333333328</v>
      </c>
      <c r="L36" s="4" t="s">
        <v>49</v>
      </c>
      <c r="M36" s="4" t="s">
        <v>134</v>
      </c>
      <c r="N36" s="4">
        <v>42822.208333333328</v>
      </c>
      <c r="O36" t="b">
        <v>0</v>
      </c>
      <c r="P36" t="b">
        <v>0</v>
      </c>
      <c r="Q36" t="s">
        <v>135</v>
      </c>
      <c r="R36" t="str" cm="1">
        <f t="array" ref="R36:S36">_xlfn.TEXTSPLIT(Q36, "/", , FALSE)</f>
        <v>film &amp; video</v>
      </c>
      <c r="S36" t="str">
        <v>documentary</v>
      </c>
    </row>
    <row r="37" spans="1:19" ht="17" x14ac:dyDescent="0.2">
      <c r="A37">
        <v>35</v>
      </c>
      <c r="B37" t="s">
        <v>208</v>
      </c>
      <c r="C37" s="3" t="s">
        <v>209</v>
      </c>
      <c r="D37">
        <v>125500</v>
      </c>
      <c r="E37">
        <v>188628</v>
      </c>
      <c r="F37" s="5">
        <f t="shared" si="0"/>
        <v>1.5030119521912351</v>
      </c>
      <c r="G37" t="s">
        <v>8</v>
      </c>
      <c r="H37">
        <v>1965</v>
      </c>
      <c r="I37" t="s">
        <v>127</v>
      </c>
      <c r="J37" t="s">
        <v>128</v>
      </c>
      <c r="K37" s="4">
        <v>43484.25</v>
      </c>
      <c r="L37" s="4" t="s">
        <v>47</v>
      </c>
      <c r="M37" s="4" t="s">
        <v>121</v>
      </c>
      <c r="N37" s="4">
        <v>43526.25</v>
      </c>
      <c r="O37" t="b">
        <v>0</v>
      </c>
      <c r="P37" t="b">
        <v>1</v>
      </c>
      <c r="Q37" t="s">
        <v>146</v>
      </c>
      <c r="R37" t="str" cm="1">
        <f t="array" ref="R37:S37">_xlfn.TEXTSPLIT(Q37, "/", , FALSE)</f>
        <v>film &amp; video</v>
      </c>
      <c r="S37" t="str">
        <v>drama</v>
      </c>
    </row>
    <row r="38" spans="1:19" ht="17" x14ac:dyDescent="0.2">
      <c r="A38">
        <v>36</v>
      </c>
      <c r="B38" t="s">
        <v>210</v>
      </c>
      <c r="C38" s="3" t="s">
        <v>211</v>
      </c>
      <c r="D38">
        <v>700</v>
      </c>
      <c r="E38">
        <v>1101</v>
      </c>
      <c r="F38" s="5">
        <f t="shared" si="0"/>
        <v>1.572857142857143</v>
      </c>
      <c r="G38" t="s">
        <v>8</v>
      </c>
      <c r="H38">
        <v>16</v>
      </c>
      <c r="I38" t="s">
        <v>109</v>
      </c>
      <c r="J38" t="s">
        <v>110</v>
      </c>
      <c r="K38" s="4">
        <v>40600.25</v>
      </c>
      <c r="L38" s="4" t="s">
        <v>48</v>
      </c>
      <c r="M38" s="4" t="s">
        <v>165</v>
      </c>
      <c r="N38" s="4">
        <v>40625.208333333336</v>
      </c>
      <c r="O38" t="b">
        <v>0</v>
      </c>
      <c r="P38" t="b">
        <v>0</v>
      </c>
      <c r="Q38" t="s">
        <v>124</v>
      </c>
      <c r="R38" t="str" cm="1">
        <f t="array" ref="R38:S38">_xlfn.TEXTSPLIT(Q38, "/", , FALSE)</f>
        <v>theater</v>
      </c>
      <c r="S38" t="str">
        <v>plays</v>
      </c>
    </row>
    <row r="39" spans="1:19" ht="34" x14ac:dyDescent="0.2">
      <c r="A39">
        <v>37</v>
      </c>
      <c r="B39" t="s">
        <v>212</v>
      </c>
      <c r="C39" s="3" t="s">
        <v>213</v>
      </c>
      <c r="D39">
        <v>8100</v>
      </c>
      <c r="E39">
        <v>11339</v>
      </c>
      <c r="F39" s="5">
        <f t="shared" si="0"/>
        <v>1.3998765432098765</v>
      </c>
      <c r="G39" t="s">
        <v>8</v>
      </c>
      <c r="H39">
        <v>107</v>
      </c>
      <c r="I39" t="s">
        <v>109</v>
      </c>
      <c r="J39" t="s">
        <v>110</v>
      </c>
      <c r="K39" s="4">
        <v>43744.208333333328</v>
      </c>
      <c r="L39" s="4" t="s">
        <v>56</v>
      </c>
      <c r="M39" s="4" t="s">
        <v>121</v>
      </c>
      <c r="N39" s="4">
        <v>43777.25</v>
      </c>
      <c r="O39" t="b">
        <v>0</v>
      </c>
      <c r="P39" t="b">
        <v>1</v>
      </c>
      <c r="Q39" t="s">
        <v>214</v>
      </c>
      <c r="R39" t="str" cm="1">
        <f t="array" ref="R39:S39">_xlfn.TEXTSPLIT(Q39, "/", , FALSE)</f>
        <v>publishing</v>
      </c>
      <c r="S39" t="str">
        <v>fiction</v>
      </c>
    </row>
    <row r="40" spans="1:19" ht="17" x14ac:dyDescent="0.2">
      <c r="A40">
        <v>38</v>
      </c>
      <c r="B40" t="s">
        <v>215</v>
      </c>
      <c r="C40" s="3" t="s">
        <v>216</v>
      </c>
      <c r="D40">
        <v>3100</v>
      </c>
      <c r="E40">
        <v>10085</v>
      </c>
      <c r="F40" s="5">
        <f t="shared" si="0"/>
        <v>3.2532258064516131</v>
      </c>
      <c r="G40" t="s">
        <v>8</v>
      </c>
      <c r="H40">
        <v>134</v>
      </c>
      <c r="I40" t="s">
        <v>109</v>
      </c>
      <c r="J40" t="s">
        <v>110</v>
      </c>
      <c r="K40" s="4">
        <v>40469.208333333336</v>
      </c>
      <c r="L40" s="4" t="s">
        <v>56</v>
      </c>
      <c r="M40" s="4" t="s">
        <v>140</v>
      </c>
      <c r="N40" s="4">
        <v>40474.208333333336</v>
      </c>
      <c r="O40" t="b">
        <v>0</v>
      </c>
      <c r="P40" t="b">
        <v>0</v>
      </c>
      <c r="Q40" t="s">
        <v>217</v>
      </c>
      <c r="R40" t="str" cm="1">
        <f t="array" ref="R40:S40">_xlfn.TEXTSPLIT(Q40, "/", , FALSE)</f>
        <v>photography</v>
      </c>
      <c r="S40" t="str">
        <v>photography books</v>
      </c>
    </row>
    <row r="41" spans="1:19" ht="17" x14ac:dyDescent="0.2">
      <c r="A41">
        <v>39</v>
      </c>
      <c r="B41" t="s">
        <v>218</v>
      </c>
      <c r="C41" s="3" t="s">
        <v>219</v>
      </c>
      <c r="D41">
        <v>9900</v>
      </c>
      <c r="E41">
        <v>5027</v>
      </c>
      <c r="F41" s="5">
        <f t="shared" si="0"/>
        <v>0.50777777777777777</v>
      </c>
      <c r="G41" t="s">
        <v>6</v>
      </c>
      <c r="H41">
        <v>88</v>
      </c>
      <c r="I41" t="s">
        <v>127</v>
      </c>
      <c r="J41" t="s">
        <v>128</v>
      </c>
      <c r="K41" s="4">
        <v>41330.25</v>
      </c>
      <c r="L41" s="4" t="s">
        <v>48</v>
      </c>
      <c r="M41" s="4" t="s">
        <v>117</v>
      </c>
      <c r="N41" s="4">
        <v>41344.208333333336</v>
      </c>
      <c r="O41" t="b">
        <v>0</v>
      </c>
      <c r="P41" t="b">
        <v>0</v>
      </c>
      <c r="Q41" t="s">
        <v>124</v>
      </c>
      <c r="R41" t="str" cm="1">
        <f t="array" ref="R41:S41">_xlfn.TEXTSPLIT(Q41, "/", , FALSE)</f>
        <v>theater</v>
      </c>
      <c r="S41" t="str">
        <v>plays</v>
      </c>
    </row>
    <row r="42" spans="1:19" ht="17" x14ac:dyDescent="0.2">
      <c r="A42">
        <v>40</v>
      </c>
      <c r="B42" t="s">
        <v>220</v>
      </c>
      <c r="C42" s="3" t="s">
        <v>221</v>
      </c>
      <c r="D42">
        <v>8800</v>
      </c>
      <c r="E42">
        <v>14878</v>
      </c>
      <c r="F42" s="5">
        <f t="shared" si="0"/>
        <v>1.6906818181818182</v>
      </c>
      <c r="G42" t="s">
        <v>8</v>
      </c>
      <c r="H42">
        <v>198</v>
      </c>
      <c r="I42" t="s">
        <v>109</v>
      </c>
      <c r="J42" t="s">
        <v>110</v>
      </c>
      <c r="K42" s="4">
        <v>40334.208333333336</v>
      </c>
      <c r="L42" s="4" t="s">
        <v>52</v>
      </c>
      <c r="M42" s="4" t="s">
        <v>140</v>
      </c>
      <c r="N42" s="4">
        <v>40353.208333333336</v>
      </c>
      <c r="O42" t="b">
        <v>0</v>
      </c>
      <c r="P42" t="b">
        <v>1</v>
      </c>
      <c r="Q42" t="s">
        <v>159</v>
      </c>
      <c r="R42" t="str" cm="1">
        <f t="array" ref="R42:S42">_xlfn.TEXTSPLIT(Q42, "/", , FALSE)</f>
        <v>technology</v>
      </c>
      <c r="S42" t="str">
        <v>wearables</v>
      </c>
    </row>
    <row r="43" spans="1:19" ht="17" x14ac:dyDescent="0.2">
      <c r="A43">
        <v>41</v>
      </c>
      <c r="B43" t="s">
        <v>222</v>
      </c>
      <c r="C43" s="3" t="s">
        <v>223</v>
      </c>
      <c r="D43">
        <v>5600</v>
      </c>
      <c r="E43">
        <v>11924</v>
      </c>
      <c r="F43" s="5">
        <f t="shared" si="0"/>
        <v>2.1292857142857144</v>
      </c>
      <c r="G43" t="s">
        <v>8</v>
      </c>
      <c r="H43">
        <v>111</v>
      </c>
      <c r="I43" t="s">
        <v>202</v>
      </c>
      <c r="J43" t="s">
        <v>203</v>
      </c>
      <c r="K43" s="4">
        <v>41156.208333333336</v>
      </c>
      <c r="L43" s="4" t="s">
        <v>55</v>
      </c>
      <c r="M43" s="4" t="s">
        <v>129</v>
      </c>
      <c r="N43" s="4">
        <v>41182.208333333336</v>
      </c>
      <c r="O43" t="b">
        <v>0</v>
      </c>
      <c r="P43" t="b">
        <v>1</v>
      </c>
      <c r="Q43" t="s">
        <v>112</v>
      </c>
      <c r="R43" t="str" cm="1">
        <f t="array" ref="R43:S43">_xlfn.TEXTSPLIT(Q43, "/", , FALSE)</f>
        <v>music</v>
      </c>
      <c r="S43" t="str">
        <v>rock</v>
      </c>
    </row>
    <row r="44" spans="1:19" ht="17" x14ac:dyDescent="0.2">
      <c r="A44">
        <v>42</v>
      </c>
      <c r="B44" t="s">
        <v>224</v>
      </c>
      <c r="C44" s="3" t="s">
        <v>225</v>
      </c>
      <c r="D44">
        <v>1800</v>
      </c>
      <c r="E44">
        <v>7991</v>
      </c>
      <c r="F44" s="5">
        <f t="shared" si="0"/>
        <v>4.4394444444444447</v>
      </c>
      <c r="G44" t="s">
        <v>8</v>
      </c>
      <c r="H44">
        <v>222</v>
      </c>
      <c r="I44" t="s">
        <v>109</v>
      </c>
      <c r="J44" t="s">
        <v>110</v>
      </c>
      <c r="K44" s="4">
        <v>40728.208333333336</v>
      </c>
      <c r="L44" s="4" t="s">
        <v>53</v>
      </c>
      <c r="M44" s="4" t="s">
        <v>165</v>
      </c>
      <c r="N44" s="4">
        <v>40737.208333333336</v>
      </c>
      <c r="O44" t="b">
        <v>0</v>
      </c>
      <c r="P44" t="b">
        <v>0</v>
      </c>
      <c r="Q44" t="s">
        <v>106</v>
      </c>
      <c r="R44" t="str" cm="1">
        <f t="array" ref="R44:S44">_xlfn.TEXTSPLIT(Q44, "/", , FALSE)</f>
        <v>food</v>
      </c>
      <c r="S44" t="str">
        <v>food trucks</v>
      </c>
    </row>
    <row r="45" spans="1:19" ht="17" x14ac:dyDescent="0.2">
      <c r="A45">
        <v>43</v>
      </c>
      <c r="B45" t="s">
        <v>226</v>
      </c>
      <c r="C45" s="3" t="s">
        <v>227</v>
      </c>
      <c r="D45">
        <v>90200</v>
      </c>
      <c r="E45">
        <v>167717</v>
      </c>
      <c r="F45" s="5">
        <f t="shared" si="0"/>
        <v>1.859390243902439</v>
      </c>
      <c r="G45" t="s">
        <v>8</v>
      </c>
      <c r="H45">
        <v>6212</v>
      </c>
      <c r="I45" t="s">
        <v>109</v>
      </c>
      <c r="J45" t="s">
        <v>110</v>
      </c>
      <c r="K45" s="4">
        <v>41844.208333333336</v>
      </c>
      <c r="L45" s="4" t="s">
        <v>53</v>
      </c>
      <c r="M45" s="4" t="s">
        <v>111</v>
      </c>
      <c r="N45" s="4">
        <v>41860.208333333336</v>
      </c>
      <c r="O45" t="b">
        <v>0</v>
      </c>
      <c r="P45" t="b">
        <v>0</v>
      </c>
      <c r="Q45" t="s">
        <v>228</v>
      </c>
      <c r="R45" t="str" cm="1">
        <f t="array" ref="R45:S45">_xlfn.TEXTSPLIT(Q45, "/", , FALSE)</f>
        <v>publishing</v>
      </c>
      <c r="S45" t="str">
        <v>radio &amp; podcasts</v>
      </c>
    </row>
    <row r="46" spans="1:19" ht="17" x14ac:dyDescent="0.2">
      <c r="A46">
        <v>44</v>
      </c>
      <c r="B46" t="s">
        <v>229</v>
      </c>
      <c r="C46" s="3" t="s">
        <v>230</v>
      </c>
      <c r="D46">
        <v>1600</v>
      </c>
      <c r="E46">
        <v>10541</v>
      </c>
      <c r="F46" s="5">
        <f t="shared" si="0"/>
        <v>6.5881249999999998</v>
      </c>
      <c r="G46" t="s">
        <v>8</v>
      </c>
      <c r="H46">
        <v>98</v>
      </c>
      <c r="I46" t="s">
        <v>127</v>
      </c>
      <c r="J46" t="s">
        <v>128</v>
      </c>
      <c r="K46" s="4">
        <v>43541.208333333328</v>
      </c>
      <c r="L46" s="4" t="s">
        <v>49</v>
      </c>
      <c r="M46" s="4" t="s">
        <v>121</v>
      </c>
      <c r="N46" s="4">
        <v>43542.208333333328</v>
      </c>
      <c r="O46" t="b">
        <v>0</v>
      </c>
      <c r="P46" t="b">
        <v>0</v>
      </c>
      <c r="Q46" t="s">
        <v>214</v>
      </c>
      <c r="R46" t="str" cm="1">
        <f t="array" ref="R46:S46">_xlfn.TEXTSPLIT(Q46, "/", , FALSE)</f>
        <v>publishing</v>
      </c>
      <c r="S46" t="str">
        <v>fiction</v>
      </c>
    </row>
    <row r="47" spans="1:19" ht="34" x14ac:dyDescent="0.2">
      <c r="A47">
        <v>45</v>
      </c>
      <c r="B47" t="s">
        <v>231</v>
      </c>
      <c r="C47" s="3" t="s">
        <v>232</v>
      </c>
      <c r="D47">
        <v>9500</v>
      </c>
      <c r="E47">
        <v>4530</v>
      </c>
      <c r="F47" s="5">
        <f t="shared" si="0"/>
        <v>0.4768421052631579</v>
      </c>
      <c r="G47" t="s">
        <v>6</v>
      </c>
      <c r="H47">
        <v>48</v>
      </c>
      <c r="I47" t="s">
        <v>109</v>
      </c>
      <c r="J47" t="s">
        <v>110</v>
      </c>
      <c r="K47" s="4">
        <v>42676.208333333328</v>
      </c>
      <c r="L47" s="4" t="s">
        <v>57</v>
      </c>
      <c r="M47" s="4" t="s">
        <v>153</v>
      </c>
      <c r="N47" s="4">
        <v>42691.25</v>
      </c>
      <c r="O47" t="b">
        <v>0</v>
      </c>
      <c r="P47" t="b">
        <v>1</v>
      </c>
      <c r="Q47" t="s">
        <v>124</v>
      </c>
      <c r="R47" t="str" cm="1">
        <f t="array" ref="R47:S47">_xlfn.TEXTSPLIT(Q47, "/", , FALSE)</f>
        <v>theater</v>
      </c>
      <c r="S47" t="str">
        <v>plays</v>
      </c>
    </row>
    <row r="48" spans="1:19" ht="17" x14ac:dyDescent="0.2">
      <c r="A48">
        <v>46</v>
      </c>
      <c r="B48" t="s">
        <v>233</v>
      </c>
      <c r="C48" s="3" t="s">
        <v>234</v>
      </c>
      <c r="D48">
        <v>3700</v>
      </c>
      <c r="E48">
        <v>4247</v>
      </c>
      <c r="F48" s="5">
        <f t="shared" si="0"/>
        <v>1.1478378378378378</v>
      </c>
      <c r="G48" t="s">
        <v>8</v>
      </c>
      <c r="H48">
        <v>92</v>
      </c>
      <c r="I48" t="s">
        <v>109</v>
      </c>
      <c r="J48" t="s">
        <v>110</v>
      </c>
      <c r="K48" s="4">
        <v>40367.208333333336</v>
      </c>
      <c r="L48" s="4" t="s">
        <v>53</v>
      </c>
      <c r="M48" s="4" t="s">
        <v>140</v>
      </c>
      <c r="N48" s="4">
        <v>40390.208333333336</v>
      </c>
      <c r="O48" t="b">
        <v>0</v>
      </c>
      <c r="P48" t="b">
        <v>0</v>
      </c>
      <c r="Q48" t="s">
        <v>112</v>
      </c>
      <c r="R48" t="str" cm="1">
        <f t="array" ref="R48:S48">_xlfn.TEXTSPLIT(Q48, "/", , FALSE)</f>
        <v>music</v>
      </c>
      <c r="S48" t="str">
        <v>rock</v>
      </c>
    </row>
    <row r="49" spans="1:19" ht="17" x14ac:dyDescent="0.2">
      <c r="A49">
        <v>47</v>
      </c>
      <c r="B49" t="s">
        <v>235</v>
      </c>
      <c r="C49" s="3" t="s">
        <v>236</v>
      </c>
      <c r="D49">
        <v>1500</v>
      </c>
      <c r="E49">
        <v>7129</v>
      </c>
      <c r="F49" s="5">
        <f t="shared" si="0"/>
        <v>4.7526666666666664</v>
      </c>
      <c r="G49" t="s">
        <v>8</v>
      </c>
      <c r="H49">
        <v>149</v>
      </c>
      <c r="I49" t="s">
        <v>109</v>
      </c>
      <c r="J49" t="s">
        <v>110</v>
      </c>
      <c r="K49" s="4">
        <v>41727.208333333336</v>
      </c>
      <c r="L49" s="4" t="s">
        <v>49</v>
      </c>
      <c r="M49" s="4" t="s">
        <v>111</v>
      </c>
      <c r="N49" s="4">
        <v>41757.208333333336</v>
      </c>
      <c r="O49" t="b">
        <v>0</v>
      </c>
      <c r="P49" t="b">
        <v>0</v>
      </c>
      <c r="Q49" t="s">
        <v>124</v>
      </c>
      <c r="R49" t="str" cm="1">
        <f t="array" ref="R49:S49">_xlfn.TEXTSPLIT(Q49, "/", , FALSE)</f>
        <v>theater</v>
      </c>
      <c r="S49" t="str">
        <v>plays</v>
      </c>
    </row>
    <row r="50" spans="1:19" ht="17" x14ac:dyDescent="0.2">
      <c r="A50">
        <v>48</v>
      </c>
      <c r="B50" t="s">
        <v>237</v>
      </c>
      <c r="C50" s="3" t="s">
        <v>238</v>
      </c>
      <c r="D50">
        <v>33300</v>
      </c>
      <c r="E50">
        <v>128862</v>
      </c>
      <c r="F50" s="5">
        <f t="shared" si="0"/>
        <v>3.86972972972973</v>
      </c>
      <c r="G50" t="s">
        <v>8</v>
      </c>
      <c r="H50">
        <v>2431</v>
      </c>
      <c r="I50" t="s">
        <v>109</v>
      </c>
      <c r="J50" t="s">
        <v>110</v>
      </c>
      <c r="K50" s="4">
        <v>42180.208333333328</v>
      </c>
      <c r="L50" s="4" t="s">
        <v>52</v>
      </c>
      <c r="M50" s="4" t="s">
        <v>105</v>
      </c>
      <c r="N50" s="4">
        <v>42192.208333333328</v>
      </c>
      <c r="O50" t="b">
        <v>0</v>
      </c>
      <c r="P50" t="b">
        <v>0</v>
      </c>
      <c r="Q50" t="s">
        <v>124</v>
      </c>
      <c r="R50" t="str" cm="1">
        <f t="array" ref="R50:S50">_xlfn.TEXTSPLIT(Q50, "/", , FALSE)</f>
        <v>theater</v>
      </c>
      <c r="S50" t="str">
        <v>plays</v>
      </c>
    </row>
    <row r="51" spans="1:19" ht="17" x14ac:dyDescent="0.2">
      <c r="A51">
        <v>49</v>
      </c>
      <c r="B51" t="s">
        <v>239</v>
      </c>
      <c r="C51" s="3" t="s">
        <v>240</v>
      </c>
      <c r="D51">
        <v>7200</v>
      </c>
      <c r="E51">
        <v>13653</v>
      </c>
      <c r="F51" s="5">
        <f t="shared" si="0"/>
        <v>1.89625</v>
      </c>
      <c r="G51" t="s">
        <v>8</v>
      </c>
      <c r="H51">
        <v>303</v>
      </c>
      <c r="I51" t="s">
        <v>109</v>
      </c>
      <c r="J51" t="s">
        <v>110</v>
      </c>
      <c r="K51" s="4">
        <v>43758.208333333328</v>
      </c>
      <c r="L51" s="4" t="s">
        <v>56</v>
      </c>
      <c r="M51" s="4" t="s">
        <v>121</v>
      </c>
      <c r="N51" s="4">
        <v>43803.25</v>
      </c>
      <c r="O51" t="b">
        <v>0</v>
      </c>
      <c r="P51" t="b">
        <v>0</v>
      </c>
      <c r="Q51" t="s">
        <v>112</v>
      </c>
      <c r="R51" t="str" cm="1">
        <f t="array" ref="R51:S51">_xlfn.TEXTSPLIT(Q51, "/", , FALSE)</f>
        <v>music</v>
      </c>
      <c r="S51" t="str">
        <v>rock</v>
      </c>
    </row>
    <row r="52" spans="1:19" ht="34" x14ac:dyDescent="0.2">
      <c r="A52">
        <v>50</v>
      </c>
      <c r="B52" t="s">
        <v>241</v>
      </c>
      <c r="C52" s="3" t="s">
        <v>242</v>
      </c>
      <c r="D52">
        <v>100</v>
      </c>
      <c r="E52">
        <v>2</v>
      </c>
      <c r="F52" s="5">
        <f t="shared" si="0"/>
        <v>0.02</v>
      </c>
      <c r="G52" t="s">
        <v>6</v>
      </c>
      <c r="H52">
        <v>1</v>
      </c>
      <c r="I52" t="s">
        <v>202</v>
      </c>
      <c r="J52" t="s">
        <v>203</v>
      </c>
      <c r="K52" s="4">
        <v>41487.208333333336</v>
      </c>
      <c r="L52" s="4" t="s">
        <v>54</v>
      </c>
      <c r="M52" s="4" t="s">
        <v>117</v>
      </c>
      <c r="N52" s="4">
        <v>41515.208333333336</v>
      </c>
      <c r="O52" t="b">
        <v>0</v>
      </c>
      <c r="P52" t="b">
        <v>0</v>
      </c>
      <c r="Q52" t="s">
        <v>243</v>
      </c>
      <c r="R52" t="str" cm="1">
        <f t="array" ref="R52:S52">_xlfn.TEXTSPLIT(Q52, "/", , FALSE)</f>
        <v>music</v>
      </c>
      <c r="S52" t="str">
        <v>metal</v>
      </c>
    </row>
    <row r="53" spans="1:19" ht="17" x14ac:dyDescent="0.2">
      <c r="A53">
        <v>51</v>
      </c>
      <c r="B53" t="s">
        <v>244</v>
      </c>
      <c r="C53" s="3" t="s">
        <v>245</v>
      </c>
      <c r="D53">
        <v>158100</v>
      </c>
      <c r="E53">
        <v>145243</v>
      </c>
      <c r="F53" s="5">
        <f t="shared" si="0"/>
        <v>0.91867805186590767</v>
      </c>
      <c r="G53" t="s">
        <v>6</v>
      </c>
      <c r="H53">
        <v>1467</v>
      </c>
      <c r="I53" t="s">
        <v>132</v>
      </c>
      <c r="J53" t="s">
        <v>133</v>
      </c>
      <c r="K53" s="4">
        <v>40995.208333333336</v>
      </c>
      <c r="L53" s="4" t="s">
        <v>49</v>
      </c>
      <c r="M53" s="4" t="s">
        <v>129</v>
      </c>
      <c r="N53" s="4">
        <v>41011.208333333336</v>
      </c>
      <c r="O53" t="b">
        <v>0</v>
      </c>
      <c r="P53" t="b">
        <v>1</v>
      </c>
      <c r="Q53" t="s">
        <v>159</v>
      </c>
      <c r="R53" t="str" cm="1">
        <f t="array" ref="R53:S53">_xlfn.TEXTSPLIT(Q53, "/", , FALSE)</f>
        <v>technology</v>
      </c>
      <c r="S53" t="str">
        <v>wearables</v>
      </c>
    </row>
    <row r="54" spans="1:19" ht="17" x14ac:dyDescent="0.2">
      <c r="A54">
        <v>52</v>
      </c>
      <c r="B54" t="s">
        <v>246</v>
      </c>
      <c r="C54" s="3" t="s">
        <v>247</v>
      </c>
      <c r="D54">
        <v>7200</v>
      </c>
      <c r="E54">
        <v>2459</v>
      </c>
      <c r="F54" s="5">
        <f t="shared" si="0"/>
        <v>0.34152777777777776</v>
      </c>
      <c r="G54" t="s">
        <v>6</v>
      </c>
      <c r="H54">
        <v>75</v>
      </c>
      <c r="I54" t="s">
        <v>109</v>
      </c>
      <c r="J54" t="s">
        <v>110</v>
      </c>
      <c r="K54" s="4">
        <v>40436.208333333336</v>
      </c>
      <c r="L54" s="4" t="s">
        <v>55</v>
      </c>
      <c r="M54" s="4" t="s">
        <v>140</v>
      </c>
      <c r="N54" s="4">
        <v>40440.208333333336</v>
      </c>
      <c r="O54" t="b">
        <v>0</v>
      </c>
      <c r="P54" t="b">
        <v>0</v>
      </c>
      <c r="Q54" t="s">
        <v>124</v>
      </c>
      <c r="R54" t="str" cm="1">
        <f t="array" ref="R54:S54">_xlfn.TEXTSPLIT(Q54, "/", , FALSE)</f>
        <v>theater</v>
      </c>
      <c r="S54" t="str">
        <v>plays</v>
      </c>
    </row>
    <row r="55" spans="1:19" ht="17" x14ac:dyDescent="0.2">
      <c r="A55">
        <v>53</v>
      </c>
      <c r="B55" t="s">
        <v>248</v>
      </c>
      <c r="C55" s="3" t="s">
        <v>249</v>
      </c>
      <c r="D55">
        <v>8800</v>
      </c>
      <c r="E55">
        <v>12356</v>
      </c>
      <c r="F55" s="5">
        <f t="shared" si="0"/>
        <v>1.4040909090909091</v>
      </c>
      <c r="G55" t="s">
        <v>8</v>
      </c>
      <c r="H55">
        <v>209</v>
      </c>
      <c r="I55" t="s">
        <v>109</v>
      </c>
      <c r="J55" t="s">
        <v>110</v>
      </c>
      <c r="K55" s="4">
        <v>41779.208333333336</v>
      </c>
      <c r="L55" s="4" t="s">
        <v>51</v>
      </c>
      <c r="M55" s="4" t="s">
        <v>111</v>
      </c>
      <c r="N55" s="4">
        <v>41818.208333333336</v>
      </c>
      <c r="O55" t="b">
        <v>0</v>
      </c>
      <c r="P55" t="b">
        <v>0</v>
      </c>
      <c r="Q55" t="s">
        <v>146</v>
      </c>
      <c r="R55" t="str" cm="1">
        <f t="array" ref="R55:S55">_xlfn.TEXTSPLIT(Q55, "/", , FALSE)</f>
        <v>film &amp; video</v>
      </c>
      <c r="S55" t="str">
        <v>drama</v>
      </c>
    </row>
    <row r="56" spans="1:19" ht="34" x14ac:dyDescent="0.2">
      <c r="A56">
        <v>54</v>
      </c>
      <c r="B56" t="s">
        <v>250</v>
      </c>
      <c r="C56" s="3" t="s">
        <v>251</v>
      </c>
      <c r="D56">
        <v>6000</v>
      </c>
      <c r="E56">
        <v>5392</v>
      </c>
      <c r="F56" s="5">
        <f t="shared" si="0"/>
        <v>0.89866666666666661</v>
      </c>
      <c r="G56" t="s">
        <v>6</v>
      </c>
      <c r="H56">
        <v>120</v>
      </c>
      <c r="I56" t="s">
        <v>109</v>
      </c>
      <c r="J56" t="s">
        <v>110</v>
      </c>
      <c r="K56" s="4">
        <v>43170.25</v>
      </c>
      <c r="L56" s="4" t="s">
        <v>49</v>
      </c>
      <c r="M56" s="4" t="s">
        <v>169</v>
      </c>
      <c r="N56" s="4">
        <v>43176.208333333328</v>
      </c>
      <c r="O56" t="b">
        <v>0</v>
      </c>
      <c r="P56" t="b">
        <v>0</v>
      </c>
      <c r="Q56" t="s">
        <v>159</v>
      </c>
      <c r="R56" t="str" cm="1">
        <f t="array" ref="R56:S56">_xlfn.TEXTSPLIT(Q56, "/", , FALSE)</f>
        <v>technology</v>
      </c>
      <c r="S56" t="str">
        <v>wearables</v>
      </c>
    </row>
    <row r="57" spans="1:19" ht="34" x14ac:dyDescent="0.2">
      <c r="A57">
        <v>55</v>
      </c>
      <c r="B57" t="s">
        <v>252</v>
      </c>
      <c r="C57" s="3" t="s">
        <v>253</v>
      </c>
      <c r="D57">
        <v>6600</v>
      </c>
      <c r="E57">
        <v>11746</v>
      </c>
      <c r="F57" s="5">
        <f t="shared" si="0"/>
        <v>1.7796969696969698</v>
      </c>
      <c r="G57" t="s">
        <v>8</v>
      </c>
      <c r="H57">
        <v>131</v>
      </c>
      <c r="I57" t="s">
        <v>109</v>
      </c>
      <c r="J57" t="s">
        <v>110</v>
      </c>
      <c r="K57" s="4">
        <v>43311.208333333328</v>
      </c>
      <c r="L57" s="4" t="s">
        <v>53</v>
      </c>
      <c r="M57" s="4" t="s">
        <v>169</v>
      </c>
      <c r="N57" s="4">
        <v>43316.208333333328</v>
      </c>
      <c r="O57" t="b">
        <v>0</v>
      </c>
      <c r="P57" t="b">
        <v>0</v>
      </c>
      <c r="Q57" t="s">
        <v>254</v>
      </c>
      <c r="R57" t="str" cm="1">
        <f t="array" ref="R57:S57">_xlfn.TEXTSPLIT(Q57, "/", , FALSE)</f>
        <v>music</v>
      </c>
      <c r="S57" t="str">
        <v>jazz</v>
      </c>
    </row>
    <row r="58" spans="1:19" ht="34" x14ac:dyDescent="0.2">
      <c r="A58">
        <v>56</v>
      </c>
      <c r="B58" t="s">
        <v>255</v>
      </c>
      <c r="C58" s="3" t="s">
        <v>256</v>
      </c>
      <c r="D58">
        <v>8000</v>
      </c>
      <c r="E58">
        <v>11493</v>
      </c>
      <c r="F58" s="5">
        <f t="shared" si="0"/>
        <v>1.436625</v>
      </c>
      <c r="G58" t="s">
        <v>8</v>
      </c>
      <c r="H58">
        <v>164</v>
      </c>
      <c r="I58" t="s">
        <v>109</v>
      </c>
      <c r="J58" t="s">
        <v>110</v>
      </c>
      <c r="K58" s="4">
        <v>42014.25</v>
      </c>
      <c r="L58" s="4" t="s">
        <v>47</v>
      </c>
      <c r="M58" s="4" t="s">
        <v>105</v>
      </c>
      <c r="N58" s="4">
        <v>42021.25</v>
      </c>
      <c r="O58" t="b">
        <v>0</v>
      </c>
      <c r="P58" t="b">
        <v>0</v>
      </c>
      <c r="Q58" t="s">
        <v>159</v>
      </c>
      <c r="R58" t="str" cm="1">
        <f t="array" ref="R58:S58">_xlfn.TEXTSPLIT(Q58, "/", , FALSE)</f>
        <v>technology</v>
      </c>
      <c r="S58" t="str">
        <v>wearables</v>
      </c>
    </row>
    <row r="59" spans="1:19" ht="17" x14ac:dyDescent="0.2">
      <c r="A59">
        <v>57</v>
      </c>
      <c r="B59" t="s">
        <v>257</v>
      </c>
      <c r="C59" s="3" t="s">
        <v>258</v>
      </c>
      <c r="D59">
        <v>2900</v>
      </c>
      <c r="E59">
        <v>6243</v>
      </c>
      <c r="F59" s="5">
        <f t="shared" si="0"/>
        <v>2.1527586206896552</v>
      </c>
      <c r="G59" t="s">
        <v>8</v>
      </c>
      <c r="H59">
        <v>201</v>
      </c>
      <c r="I59" t="s">
        <v>109</v>
      </c>
      <c r="J59" t="s">
        <v>110</v>
      </c>
      <c r="K59" s="4">
        <v>42979.208333333328</v>
      </c>
      <c r="L59" s="4" t="s">
        <v>55</v>
      </c>
      <c r="M59" s="4" t="s">
        <v>134</v>
      </c>
      <c r="N59" s="4">
        <v>42991.208333333328</v>
      </c>
      <c r="O59" t="b">
        <v>0</v>
      </c>
      <c r="P59" t="b">
        <v>0</v>
      </c>
      <c r="Q59" t="s">
        <v>184</v>
      </c>
      <c r="R59" t="str" cm="1">
        <f t="array" ref="R59:S59">_xlfn.TEXTSPLIT(Q59, "/", , FALSE)</f>
        <v>games</v>
      </c>
      <c r="S59" t="str">
        <v>video games</v>
      </c>
    </row>
    <row r="60" spans="1:19" ht="17" x14ac:dyDescent="0.2">
      <c r="A60">
        <v>58</v>
      </c>
      <c r="B60" t="s">
        <v>259</v>
      </c>
      <c r="C60" s="3" t="s">
        <v>260</v>
      </c>
      <c r="D60">
        <v>2700</v>
      </c>
      <c r="E60">
        <v>6132</v>
      </c>
      <c r="F60" s="5">
        <f t="shared" si="0"/>
        <v>2.2711111111111113</v>
      </c>
      <c r="G60" t="s">
        <v>8</v>
      </c>
      <c r="H60">
        <v>211</v>
      </c>
      <c r="I60" t="s">
        <v>109</v>
      </c>
      <c r="J60" t="s">
        <v>110</v>
      </c>
      <c r="K60" s="4">
        <v>42268.208333333328</v>
      </c>
      <c r="L60" s="4" t="s">
        <v>55</v>
      </c>
      <c r="M60" s="4" t="s">
        <v>105</v>
      </c>
      <c r="N60" s="4">
        <v>42281.208333333328</v>
      </c>
      <c r="O60" t="b">
        <v>0</v>
      </c>
      <c r="P60" t="b">
        <v>0</v>
      </c>
      <c r="Q60" t="s">
        <v>124</v>
      </c>
      <c r="R60" t="str" cm="1">
        <f t="array" ref="R60:S60">_xlfn.TEXTSPLIT(Q60, "/", , FALSE)</f>
        <v>theater</v>
      </c>
      <c r="S60" t="str">
        <v>plays</v>
      </c>
    </row>
    <row r="61" spans="1:19" ht="17" x14ac:dyDescent="0.2">
      <c r="A61">
        <v>59</v>
      </c>
      <c r="B61" t="s">
        <v>261</v>
      </c>
      <c r="C61" s="3" t="s">
        <v>262</v>
      </c>
      <c r="D61">
        <v>1400</v>
      </c>
      <c r="E61">
        <v>3851</v>
      </c>
      <c r="F61" s="5">
        <f t="shared" si="0"/>
        <v>2.7507142857142859</v>
      </c>
      <c r="G61" t="s">
        <v>8</v>
      </c>
      <c r="H61">
        <v>128</v>
      </c>
      <c r="I61" t="s">
        <v>109</v>
      </c>
      <c r="J61" t="s">
        <v>110</v>
      </c>
      <c r="K61" s="4">
        <v>42898.208333333328</v>
      </c>
      <c r="L61" s="4" t="s">
        <v>52</v>
      </c>
      <c r="M61" s="4" t="s">
        <v>134</v>
      </c>
      <c r="N61" s="4">
        <v>42913.208333333328</v>
      </c>
      <c r="O61" t="b">
        <v>0</v>
      </c>
      <c r="P61" t="b">
        <v>1</v>
      </c>
      <c r="Q61" t="s">
        <v>124</v>
      </c>
      <c r="R61" t="str" cm="1">
        <f t="array" ref="R61:S61">_xlfn.TEXTSPLIT(Q61, "/", , FALSE)</f>
        <v>theater</v>
      </c>
      <c r="S61" t="str">
        <v>plays</v>
      </c>
    </row>
    <row r="62" spans="1:19" ht="17" x14ac:dyDescent="0.2">
      <c r="A62">
        <v>60</v>
      </c>
      <c r="B62" t="s">
        <v>263</v>
      </c>
      <c r="C62" s="3" t="s">
        <v>264</v>
      </c>
      <c r="D62">
        <v>94200</v>
      </c>
      <c r="E62">
        <v>135997</v>
      </c>
      <c r="F62" s="5">
        <f t="shared" si="0"/>
        <v>1.4437048832271762</v>
      </c>
      <c r="G62" t="s">
        <v>8</v>
      </c>
      <c r="H62">
        <v>1600</v>
      </c>
      <c r="I62" t="s">
        <v>103</v>
      </c>
      <c r="J62" t="s">
        <v>104</v>
      </c>
      <c r="K62" s="4">
        <v>41107.208333333336</v>
      </c>
      <c r="L62" s="4" t="s">
        <v>53</v>
      </c>
      <c r="M62" s="4" t="s">
        <v>129</v>
      </c>
      <c r="N62" s="4">
        <v>41110.208333333336</v>
      </c>
      <c r="O62" t="b">
        <v>0</v>
      </c>
      <c r="P62" t="b">
        <v>0</v>
      </c>
      <c r="Q62" t="s">
        <v>124</v>
      </c>
      <c r="R62" t="str" cm="1">
        <f t="array" ref="R62:S62">_xlfn.TEXTSPLIT(Q62, "/", , FALSE)</f>
        <v>theater</v>
      </c>
      <c r="S62" t="str">
        <v>plays</v>
      </c>
    </row>
    <row r="63" spans="1:19" ht="34" x14ac:dyDescent="0.2">
      <c r="A63">
        <v>61</v>
      </c>
      <c r="B63" t="s">
        <v>265</v>
      </c>
      <c r="C63" s="3" t="s">
        <v>266</v>
      </c>
      <c r="D63">
        <v>199200</v>
      </c>
      <c r="E63">
        <v>184750</v>
      </c>
      <c r="F63" s="5">
        <f t="shared" si="0"/>
        <v>0.92745983935742971</v>
      </c>
      <c r="G63" t="s">
        <v>6</v>
      </c>
      <c r="H63">
        <v>2253</v>
      </c>
      <c r="I63" t="s">
        <v>103</v>
      </c>
      <c r="J63" t="s">
        <v>104</v>
      </c>
      <c r="K63" s="4">
        <v>40595.25</v>
      </c>
      <c r="L63" s="4" t="s">
        <v>48</v>
      </c>
      <c r="M63" s="4" t="s">
        <v>165</v>
      </c>
      <c r="N63" s="4">
        <v>40635.208333333336</v>
      </c>
      <c r="O63" t="b">
        <v>0</v>
      </c>
      <c r="P63" t="b">
        <v>0</v>
      </c>
      <c r="Q63" t="s">
        <v>124</v>
      </c>
      <c r="R63" t="str" cm="1">
        <f t="array" ref="R63:S63">_xlfn.TEXTSPLIT(Q63, "/", , FALSE)</f>
        <v>theater</v>
      </c>
      <c r="S63" t="str">
        <v>plays</v>
      </c>
    </row>
    <row r="64" spans="1:19" ht="34" x14ac:dyDescent="0.2">
      <c r="A64">
        <v>62</v>
      </c>
      <c r="B64" t="s">
        <v>267</v>
      </c>
      <c r="C64" s="3" t="s">
        <v>268</v>
      </c>
      <c r="D64">
        <v>2000</v>
      </c>
      <c r="E64">
        <v>14452</v>
      </c>
      <c r="F64" s="5">
        <f t="shared" si="0"/>
        <v>7.226</v>
      </c>
      <c r="G64" t="s">
        <v>8</v>
      </c>
      <c r="H64">
        <v>249</v>
      </c>
      <c r="I64" t="s">
        <v>109</v>
      </c>
      <c r="J64" t="s">
        <v>110</v>
      </c>
      <c r="K64" s="4">
        <v>42160.208333333328</v>
      </c>
      <c r="L64" s="4" t="s">
        <v>52</v>
      </c>
      <c r="M64" s="4" t="s">
        <v>105</v>
      </c>
      <c r="N64" s="4">
        <v>42161.208333333328</v>
      </c>
      <c r="O64" t="b">
        <v>0</v>
      </c>
      <c r="P64" t="b">
        <v>0</v>
      </c>
      <c r="Q64" t="s">
        <v>118</v>
      </c>
      <c r="R64" t="str" cm="1">
        <f t="array" ref="R64:S64">_xlfn.TEXTSPLIT(Q64, "/", , FALSE)</f>
        <v>technology</v>
      </c>
      <c r="S64" t="str">
        <v>web</v>
      </c>
    </row>
    <row r="65" spans="1:19" ht="17" x14ac:dyDescent="0.2">
      <c r="A65">
        <v>63</v>
      </c>
      <c r="B65" t="s">
        <v>269</v>
      </c>
      <c r="C65" s="3" t="s">
        <v>270</v>
      </c>
      <c r="D65">
        <v>4700</v>
      </c>
      <c r="E65">
        <v>557</v>
      </c>
      <c r="F65" s="5">
        <f t="shared" si="0"/>
        <v>0.11851063829787234</v>
      </c>
      <c r="G65" t="s">
        <v>6</v>
      </c>
      <c r="H65">
        <v>5</v>
      </c>
      <c r="I65" t="s">
        <v>109</v>
      </c>
      <c r="J65" t="s">
        <v>110</v>
      </c>
      <c r="K65" s="4">
        <v>42853.208333333328</v>
      </c>
      <c r="L65" s="4" t="s">
        <v>50</v>
      </c>
      <c r="M65" s="4" t="s">
        <v>134</v>
      </c>
      <c r="N65" s="4">
        <v>42859.208333333328</v>
      </c>
      <c r="O65" t="b">
        <v>0</v>
      </c>
      <c r="P65" t="b">
        <v>0</v>
      </c>
      <c r="Q65" t="s">
        <v>124</v>
      </c>
      <c r="R65" t="str" cm="1">
        <f t="array" ref="R65:S65">_xlfn.TEXTSPLIT(Q65, "/", , FALSE)</f>
        <v>theater</v>
      </c>
      <c r="S65" t="str">
        <v>plays</v>
      </c>
    </row>
    <row r="66" spans="1:19" ht="17" x14ac:dyDescent="0.2">
      <c r="A66">
        <v>64</v>
      </c>
      <c r="B66" t="s">
        <v>271</v>
      </c>
      <c r="C66" s="3" t="s">
        <v>272</v>
      </c>
      <c r="D66">
        <v>2800</v>
      </c>
      <c r="E66">
        <v>2734</v>
      </c>
      <c r="F66" s="5">
        <f t="shared" si="0"/>
        <v>0.97642857142857142</v>
      </c>
      <c r="G66" t="s">
        <v>6</v>
      </c>
      <c r="H66">
        <v>38</v>
      </c>
      <c r="I66" t="s">
        <v>109</v>
      </c>
      <c r="J66" t="s">
        <v>110</v>
      </c>
      <c r="K66" s="4">
        <v>43283.208333333328</v>
      </c>
      <c r="L66" s="4" t="s">
        <v>53</v>
      </c>
      <c r="M66" s="4" t="s">
        <v>169</v>
      </c>
      <c r="N66" s="4">
        <v>43298.208333333328</v>
      </c>
      <c r="O66" t="b">
        <v>0</v>
      </c>
      <c r="P66" t="b">
        <v>1</v>
      </c>
      <c r="Q66" t="s">
        <v>118</v>
      </c>
      <c r="R66" t="str" cm="1">
        <f t="array" ref="R66:S66">_xlfn.TEXTSPLIT(Q66, "/", , FALSE)</f>
        <v>technology</v>
      </c>
      <c r="S66" t="str">
        <v>web</v>
      </c>
    </row>
    <row r="67" spans="1:19" ht="17" x14ac:dyDescent="0.2">
      <c r="A67">
        <v>65</v>
      </c>
      <c r="B67" t="s">
        <v>273</v>
      </c>
      <c r="C67" s="3" t="s">
        <v>274</v>
      </c>
      <c r="D67">
        <v>6100</v>
      </c>
      <c r="E67">
        <v>14405</v>
      </c>
      <c r="F67" s="5">
        <f t="shared" ref="F67:F130" si="1">E67/D67</f>
        <v>2.3614754098360655</v>
      </c>
      <c r="G67" t="s">
        <v>8</v>
      </c>
      <c r="H67">
        <v>236</v>
      </c>
      <c r="I67" t="s">
        <v>109</v>
      </c>
      <c r="J67" t="s">
        <v>110</v>
      </c>
      <c r="K67" s="4">
        <v>40570.25</v>
      </c>
      <c r="L67" s="4" t="s">
        <v>47</v>
      </c>
      <c r="M67" s="4" t="s">
        <v>165</v>
      </c>
      <c r="N67" s="4">
        <v>40577.25</v>
      </c>
      <c r="O67" t="b">
        <v>0</v>
      </c>
      <c r="P67" t="b">
        <v>0</v>
      </c>
      <c r="Q67" t="s">
        <v>124</v>
      </c>
      <c r="R67" t="str" cm="1">
        <f t="array" ref="R67:S67">_xlfn.TEXTSPLIT(Q67, "/", , FALSE)</f>
        <v>theater</v>
      </c>
      <c r="S67" t="str">
        <v>plays</v>
      </c>
    </row>
    <row r="68" spans="1:19" ht="17" x14ac:dyDescent="0.2">
      <c r="A68">
        <v>66</v>
      </c>
      <c r="B68" t="s">
        <v>275</v>
      </c>
      <c r="C68" s="3" t="s">
        <v>276</v>
      </c>
      <c r="D68">
        <v>2900</v>
      </c>
      <c r="E68">
        <v>1307</v>
      </c>
      <c r="F68" s="5">
        <f t="shared" si="1"/>
        <v>0.45068965517241377</v>
      </c>
      <c r="G68" t="s">
        <v>6</v>
      </c>
      <c r="H68">
        <v>12</v>
      </c>
      <c r="I68" t="s">
        <v>109</v>
      </c>
      <c r="J68" t="s">
        <v>110</v>
      </c>
      <c r="K68" s="4">
        <v>42102.208333333328</v>
      </c>
      <c r="L68" s="4" t="s">
        <v>50</v>
      </c>
      <c r="M68" s="4" t="s">
        <v>105</v>
      </c>
      <c r="N68" s="4">
        <v>42107.208333333328</v>
      </c>
      <c r="O68" t="b">
        <v>0</v>
      </c>
      <c r="P68" t="b">
        <v>1</v>
      </c>
      <c r="Q68" t="s">
        <v>124</v>
      </c>
      <c r="R68" t="str" cm="1">
        <f t="array" ref="R68:S68">_xlfn.TEXTSPLIT(Q68, "/", , FALSE)</f>
        <v>theater</v>
      </c>
      <c r="S68" t="str">
        <v>plays</v>
      </c>
    </row>
    <row r="69" spans="1:19" ht="34" x14ac:dyDescent="0.2">
      <c r="A69">
        <v>67</v>
      </c>
      <c r="B69" t="s">
        <v>277</v>
      </c>
      <c r="C69" s="3" t="s">
        <v>278</v>
      </c>
      <c r="D69">
        <v>72600</v>
      </c>
      <c r="E69">
        <v>117892</v>
      </c>
      <c r="F69" s="5">
        <f t="shared" si="1"/>
        <v>1.6238567493112948</v>
      </c>
      <c r="G69" t="s">
        <v>8</v>
      </c>
      <c r="H69">
        <v>4065</v>
      </c>
      <c r="I69" t="s">
        <v>132</v>
      </c>
      <c r="J69" t="s">
        <v>133</v>
      </c>
      <c r="K69" s="4">
        <v>40203.25</v>
      </c>
      <c r="L69" s="4" t="s">
        <v>47</v>
      </c>
      <c r="M69" s="4" t="s">
        <v>140</v>
      </c>
      <c r="N69" s="4">
        <v>40208.25</v>
      </c>
      <c r="O69" t="b">
        <v>0</v>
      </c>
      <c r="P69" t="b">
        <v>1</v>
      </c>
      <c r="Q69" t="s">
        <v>159</v>
      </c>
      <c r="R69" t="str" cm="1">
        <f t="array" ref="R69:S69">_xlfn.TEXTSPLIT(Q69, "/", , FALSE)</f>
        <v>technology</v>
      </c>
      <c r="S69" t="str">
        <v>wearables</v>
      </c>
    </row>
    <row r="70" spans="1:19" ht="17" x14ac:dyDescent="0.2">
      <c r="A70">
        <v>68</v>
      </c>
      <c r="B70" t="s">
        <v>279</v>
      </c>
      <c r="C70" s="3" t="s">
        <v>280</v>
      </c>
      <c r="D70">
        <v>5700</v>
      </c>
      <c r="E70">
        <v>14508</v>
      </c>
      <c r="F70" s="5">
        <f t="shared" si="1"/>
        <v>2.5452631578947367</v>
      </c>
      <c r="G70" t="s">
        <v>8</v>
      </c>
      <c r="H70">
        <v>246</v>
      </c>
      <c r="I70" t="s">
        <v>202</v>
      </c>
      <c r="J70" t="s">
        <v>203</v>
      </c>
      <c r="K70" s="4">
        <v>42943.208333333328</v>
      </c>
      <c r="L70" s="4" t="s">
        <v>53</v>
      </c>
      <c r="M70" s="4" t="s">
        <v>134</v>
      </c>
      <c r="N70" s="4">
        <v>42990.208333333328</v>
      </c>
      <c r="O70" t="b">
        <v>0</v>
      </c>
      <c r="P70" t="b">
        <v>1</v>
      </c>
      <c r="Q70" t="s">
        <v>124</v>
      </c>
      <c r="R70" t="str" cm="1">
        <f t="array" ref="R70:S70">_xlfn.TEXTSPLIT(Q70, "/", , FALSE)</f>
        <v>theater</v>
      </c>
      <c r="S70" t="str">
        <v>plays</v>
      </c>
    </row>
    <row r="71" spans="1:19" ht="17" x14ac:dyDescent="0.2">
      <c r="A71">
        <v>69</v>
      </c>
      <c r="B71" t="s">
        <v>281</v>
      </c>
      <c r="C71" s="3" t="s">
        <v>282</v>
      </c>
      <c r="D71">
        <v>7900</v>
      </c>
      <c r="E71">
        <v>1901</v>
      </c>
      <c r="F71" s="5">
        <f t="shared" si="1"/>
        <v>0.24063291139240506</v>
      </c>
      <c r="G71" t="s">
        <v>5</v>
      </c>
      <c r="H71">
        <v>17</v>
      </c>
      <c r="I71" t="s">
        <v>109</v>
      </c>
      <c r="J71" t="s">
        <v>110</v>
      </c>
      <c r="K71" s="4">
        <v>40531.25</v>
      </c>
      <c r="L71" s="4" t="s">
        <v>58</v>
      </c>
      <c r="M71" s="4" t="s">
        <v>140</v>
      </c>
      <c r="N71" s="4">
        <v>40565.25</v>
      </c>
      <c r="O71" t="b">
        <v>0</v>
      </c>
      <c r="P71" t="b">
        <v>0</v>
      </c>
      <c r="Q71" t="s">
        <v>124</v>
      </c>
      <c r="R71" t="str" cm="1">
        <f t="array" ref="R71:S71">_xlfn.TEXTSPLIT(Q71, "/", , FALSE)</f>
        <v>theater</v>
      </c>
      <c r="S71" t="str">
        <v>plays</v>
      </c>
    </row>
    <row r="72" spans="1:19" ht="17" x14ac:dyDescent="0.2">
      <c r="A72">
        <v>70</v>
      </c>
      <c r="B72" t="s">
        <v>283</v>
      </c>
      <c r="C72" s="3" t="s">
        <v>284</v>
      </c>
      <c r="D72">
        <v>128000</v>
      </c>
      <c r="E72">
        <v>158389</v>
      </c>
      <c r="F72" s="5">
        <f t="shared" si="1"/>
        <v>1.2374140625000001</v>
      </c>
      <c r="G72" t="s">
        <v>8</v>
      </c>
      <c r="H72">
        <v>2475</v>
      </c>
      <c r="I72" t="s">
        <v>202</v>
      </c>
      <c r="J72" t="s">
        <v>203</v>
      </c>
      <c r="K72" s="4">
        <v>40484.208333333336</v>
      </c>
      <c r="L72" s="4" t="s">
        <v>57</v>
      </c>
      <c r="M72" s="4" t="s">
        <v>140</v>
      </c>
      <c r="N72" s="4">
        <v>40533.25</v>
      </c>
      <c r="O72" t="b">
        <v>0</v>
      </c>
      <c r="P72" t="b">
        <v>1</v>
      </c>
      <c r="Q72" t="s">
        <v>124</v>
      </c>
      <c r="R72" t="str" cm="1">
        <f t="array" ref="R72:S72">_xlfn.TEXTSPLIT(Q72, "/", , FALSE)</f>
        <v>theater</v>
      </c>
      <c r="S72" t="str">
        <v>plays</v>
      </c>
    </row>
    <row r="73" spans="1:19" ht="34" x14ac:dyDescent="0.2">
      <c r="A73">
        <v>71</v>
      </c>
      <c r="B73" t="s">
        <v>285</v>
      </c>
      <c r="C73" s="3" t="s">
        <v>286</v>
      </c>
      <c r="D73">
        <v>6000</v>
      </c>
      <c r="E73">
        <v>6484</v>
      </c>
      <c r="F73" s="5">
        <f t="shared" si="1"/>
        <v>1.0806666666666667</v>
      </c>
      <c r="G73" t="s">
        <v>8</v>
      </c>
      <c r="H73">
        <v>76</v>
      </c>
      <c r="I73" t="s">
        <v>109</v>
      </c>
      <c r="J73" t="s">
        <v>110</v>
      </c>
      <c r="K73" s="4">
        <v>43799.25</v>
      </c>
      <c r="L73" s="4" t="s">
        <v>57</v>
      </c>
      <c r="M73" s="4" t="s">
        <v>121</v>
      </c>
      <c r="N73" s="4">
        <v>43803.25</v>
      </c>
      <c r="O73" t="b">
        <v>0</v>
      </c>
      <c r="P73" t="b">
        <v>0</v>
      </c>
      <c r="Q73" t="s">
        <v>124</v>
      </c>
      <c r="R73" t="str" cm="1">
        <f t="array" ref="R73:S73">_xlfn.TEXTSPLIT(Q73, "/", , FALSE)</f>
        <v>theater</v>
      </c>
      <c r="S73" t="str">
        <v>plays</v>
      </c>
    </row>
    <row r="74" spans="1:19" ht="17" x14ac:dyDescent="0.2">
      <c r="A74">
        <v>72</v>
      </c>
      <c r="B74" t="s">
        <v>287</v>
      </c>
      <c r="C74" s="3" t="s">
        <v>288</v>
      </c>
      <c r="D74">
        <v>600</v>
      </c>
      <c r="E74">
        <v>4022</v>
      </c>
      <c r="F74" s="5">
        <f t="shared" si="1"/>
        <v>6.7033333333333331</v>
      </c>
      <c r="G74" t="s">
        <v>8</v>
      </c>
      <c r="H74">
        <v>54</v>
      </c>
      <c r="I74" t="s">
        <v>109</v>
      </c>
      <c r="J74" t="s">
        <v>110</v>
      </c>
      <c r="K74" s="4">
        <v>42186.208333333328</v>
      </c>
      <c r="L74" s="4" t="s">
        <v>53</v>
      </c>
      <c r="M74" s="4" t="s">
        <v>105</v>
      </c>
      <c r="N74" s="4">
        <v>42222.208333333328</v>
      </c>
      <c r="O74" t="b">
        <v>0</v>
      </c>
      <c r="P74" t="b">
        <v>0</v>
      </c>
      <c r="Q74" t="s">
        <v>166</v>
      </c>
      <c r="R74" t="str" cm="1">
        <f t="array" ref="R74:S74">_xlfn.TEXTSPLIT(Q74, "/", , FALSE)</f>
        <v>film &amp; video</v>
      </c>
      <c r="S74" t="str">
        <v>animation</v>
      </c>
    </row>
    <row r="75" spans="1:19" ht="17" x14ac:dyDescent="0.2">
      <c r="A75">
        <v>73</v>
      </c>
      <c r="B75" t="s">
        <v>289</v>
      </c>
      <c r="C75" s="3" t="s">
        <v>290</v>
      </c>
      <c r="D75">
        <v>1400</v>
      </c>
      <c r="E75">
        <v>9253</v>
      </c>
      <c r="F75" s="5">
        <f t="shared" si="1"/>
        <v>6.609285714285714</v>
      </c>
      <c r="G75" t="s">
        <v>8</v>
      </c>
      <c r="H75">
        <v>88</v>
      </c>
      <c r="I75" t="s">
        <v>109</v>
      </c>
      <c r="J75" t="s">
        <v>110</v>
      </c>
      <c r="K75" s="4">
        <v>42701.25</v>
      </c>
      <c r="L75" s="4" t="s">
        <v>57</v>
      </c>
      <c r="M75" s="4" t="s">
        <v>153</v>
      </c>
      <c r="N75" s="4">
        <v>42704.25</v>
      </c>
      <c r="O75" t="b">
        <v>0</v>
      </c>
      <c r="P75" t="b">
        <v>0</v>
      </c>
      <c r="Q75" t="s">
        <v>254</v>
      </c>
      <c r="R75" t="str" cm="1">
        <f t="array" ref="R75:S75">_xlfn.TEXTSPLIT(Q75, "/", , FALSE)</f>
        <v>music</v>
      </c>
      <c r="S75" t="str">
        <v>jazz</v>
      </c>
    </row>
    <row r="76" spans="1:19" ht="17" x14ac:dyDescent="0.2">
      <c r="A76">
        <v>74</v>
      </c>
      <c r="B76" t="s">
        <v>291</v>
      </c>
      <c r="C76" s="3" t="s">
        <v>292</v>
      </c>
      <c r="D76">
        <v>3900</v>
      </c>
      <c r="E76">
        <v>4776</v>
      </c>
      <c r="F76" s="5">
        <f t="shared" si="1"/>
        <v>1.2246153846153847</v>
      </c>
      <c r="G76" t="s">
        <v>8</v>
      </c>
      <c r="H76">
        <v>85</v>
      </c>
      <c r="I76" t="s">
        <v>132</v>
      </c>
      <c r="J76" t="s">
        <v>133</v>
      </c>
      <c r="K76" s="4">
        <v>42456.208333333328</v>
      </c>
      <c r="L76" s="4" t="s">
        <v>49</v>
      </c>
      <c r="M76" s="4" t="s">
        <v>153</v>
      </c>
      <c r="N76" s="4">
        <v>42457.208333333328</v>
      </c>
      <c r="O76" t="b">
        <v>0</v>
      </c>
      <c r="P76" t="b">
        <v>0</v>
      </c>
      <c r="Q76" t="s">
        <v>243</v>
      </c>
      <c r="R76" t="str" cm="1">
        <f t="array" ref="R76:S76">_xlfn.TEXTSPLIT(Q76, "/", , FALSE)</f>
        <v>music</v>
      </c>
      <c r="S76" t="str">
        <v>metal</v>
      </c>
    </row>
    <row r="77" spans="1:19" ht="17" x14ac:dyDescent="0.2">
      <c r="A77">
        <v>75</v>
      </c>
      <c r="B77" t="s">
        <v>293</v>
      </c>
      <c r="C77" s="3" t="s">
        <v>294</v>
      </c>
      <c r="D77">
        <v>9700</v>
      </c>
      <c r="E77">
        <v>14606</v>
      </c>
      <c r="F77" s="5">
        <f t="shared" si="1"/>
        <v>1.5057731958762886</v>
      </c>
      <c r="G77" t="s">
        <v>8</v>
      </c>
      <c r="H77">
        <v>170</v>
      </c>
      <c r="I77" t="s">
        <v>109</v>
      </c>
      <c r="J77" t="s">
        <v>110</v>
      </c>
      <c r="K77" s="4">
        <v>43296.208333333328</v>
      </c>
      <c r="L77" s="4" t="s">
        <v>53</v>
      </c>
      <c r="M77" s="4" t="s">
        <v>169</v>
      </c>
      <c r="N77" s="4">
        <v>43304.208333333328</v>
      </c>
      <c r="O77" t="b">
        <v>0</v>
      </c>
      <c r="P77" t="b">
        <v>0</v>
      </c>
      <c r="Q77" t="s">
        <v>217</v>
      </c>
      <c r="R77" t="str" cm="1">
        <f t="array" ref="R77:S77">_xlfn.TEXTSPLIT(Q77, "/", , FALSE)</f>
        <v>photography</v>
      </c>
      <c r="S77" t="str">
        <v>photography books</v>
      </c>
    </row>
    <row r="78" spans="1:19" ht="17" x14ac:dyDescent="0.2">
      <c r="A78">
        <v>76</v>
      </c>
      <c r="B78" t="s">
        <v>295</v>
      </c>
      <c r="C78" s="3" t="s">
        <v>296</v>
      </c>
      <c r="D78">
        <v>122900</v>
      </c>
      <c r="E78">
        <v>95993</v>
      </c>
      <c r="F78" s="5">
        <f t="shared" si="1"/>
        <v>0.78106590724165992</v>
      </c>
      <c r="G78" t="s">
        <v>6</v>
      </c>
      <c r="H78">
        <v>1684</v>
      </c>
      <c r="I78" t="s">
        <v>109</v>
      </c>
      <c r="J78" t="s">
        <v>110</v>
      </c>
      <c r="K78" s="4">
        <v>42027.25</v>
      </c>
      <c r="L78" s="4" t="s">
        <v>47</v>
      </c>
      <c r="M78" s="4" t="s">
        <v>105</v>
      </c>
      <c r="N78" s="4">
        <v>42076.208333333328</v>
      </c>
      <c r="O78" t="b">
        <v>1</v>
      </c>
      <c r="P78" t="b">
        <v>1</v>
      </c>
      <c r="Q78" t="s">
        <v>124</v>
      </c>
      <c r="R78" t="str" cm="1">
        <f t="array" ref="R78:S78">_xlfn.TEXTSPLIT(Q78, "/", , FALSE)</f>
        <v>theater</v>
      </c>
      <c r="S78" t="str">
        <v>plays</v>
      </c>
    </row>
    <row r="79" spans="1:19" ht="17" x14ac:dyDescent="0.2">
      <c r="A79">
        <v>77</v>
      </c>
      <c r="B79" t="s">
        <v>297</v>
      </c>
      <c r="C79" s="3" t="s">
        <v>298</v>
      </c>
      <c r="D79">
        <v>9500</v>
      </c>
      <c r="E79">
        <v>4460</v>
      </c>
      <c r="F79" s="5">
        <f t="shared" si="1"/>
        <v>0.46947368421052632</v>
      </c>
      <c r="G79" t="s">
        <v>6</v>
      </c>
      <c r="H79">
        <v>56</v>
      </c>
      <c r="I79" t="s">
        <v>109</v>
      </c>
      <c r="J79" t="s">
        <v>110</v>
      </c>
      <c r="K79" s="4">
        <v>40448.208333333336</v>
      </c>
      <c r="L79" s="4" t="s">
        <v>55</v>
      </c>
      <c r="M79" s="4" t="s">
        <v>140</v>
      </c>
      <c r="N79" s="4">
        <v>40462.208333333336</v>
      </c>
      <c r="O79" t="b">
        <v>0</v>
      </c>
      <c r="P79" t="b">
        <v>1</v>
      </c>
      <c r="Q79" t="s">
        <v>166</v>
      </c>
      <c r="R79" t="str" cm="1">
        <f t="array" ref="R79:S79">_xlfn.TEXTSPLIT(Q79, "/", , FALSE)</f>
        <v>film &amp; video</v>
      </c>
      <c r="S79" t="str">
        <v>animation</v>
      </c>
    </row>
    <row r="80" spans="1:19" ht="34" x14ac:dyDescent="0.2">
      <c r="A80">
        <v>78</v>
      </c>
      <c r="B80" t="s">
        <v>299</v>
      </c>
      <c r="C80" s="3" t="s">
        <v>300</v>
      </c>
      <c r="D80">
        <v>4500</v>
      </c>
      <c r="E80">
        <v>13536</v>
      </c>
      <c r="F80" s="5">
        <f t="shared" si="1"/>
        <v>3.008</v>
      </c>
      <c r="G80" t="s">
        <v>8</v>
      </c>
      <c r="H80">
        <v>330</v>
      </c>
      <c r="I80" t="s">
        <v>109</v>
      </c>
      <c r="J80" t="s">
        <v>110</v>
      </c>
      <c r="K80" s="4">
        <v>43206.208333333328</v>
      </c>
      <c r="L80" s="4" t="s">
        <v>50</v>
      </c>
      <c r="M80" s="4" t="s">
        <v>169</v>
      </c>
      <c r="N80" s="4">
        <v>43207.208333333328</v>
      </c>
      <c r="O80" t="b">
        <v>0</v>
      </c>
      <c r="P80" t="b">
        <v>0</v>
      </c>
      <c r="Q80" t="s">
        <v>301</v>
      </c>
      <c r="R80" t="str" cm="1">
        <f t="array" ref="R80:S80">_xlfn.TEXTSPLIT(Q80, "/", , FALSE)</f>
        <v>publishing</v>
      </c>
      <c r="S80" t="str">
        <v>translations</v>
      </c>
    </row>
    <row r="81" spans="1:19" ht="17" x14ac:dyDescent="0.2">
      <c r="A81">
        <v>79</v>
      </c>
      <c r="B81" t="s">
        <v>302</v>
      </c>
      <c r="C81" s="3" t="s">
        <v>303</v>
      </c>
      <c r="D81">
        <v>57800</v>
      </c>
      <c r="E81">
        <v>40228</v>
      </c>
      <c r="F81" s="5">
        <f t="shared" si="1"/>
        <v>0.6959861591695502</v>
      </c>
      <c r="G81" t="s">
        <v>6</v>
      </c>
      <c r="H81">
        <v>838</v>
      </c>
      <c r="I81" t="s">
        <v>109</v>
      </c>
      <c r="J81" t="s">
        <v>110</v>
      </c>
      <c r="K81" s="4">
        <v>43267.208333333328</v>
      </c>
      <c r="L81" s="4" t="s">
        <v>52</v>
      </c>
      <c r="M81" s="4" t="s">
        <v>169</v>
      </c>
      <c r="N81" s="4">
        <v>43272.208333333328</v>
      </c>
      <c r="O81" t="b">
        <v>0</v>
      </c>
      <c r="P81" t="b">
        <v>0</v>
      </c>
      <c r="Q81" t="s">
        <v>124</v>
      </c>
      <c r="R81" t="str" cm="1">
        <f t="array" ref="R81:S81">_xlfn.TEXTSPLIT(Q81, "/", , FALSE)</f>
        <v>theater</v>
      </c>
      <c r="S81" t="str">
        <v>plays</v>
      </c>
    </row>
    <row r="82" spans="1:19" ht="17" x14ac:dyDescent="0.2">
      <c r="A82">
        <v>80</v>
      </c>
      <c r="B82" t="s">
        <v>304</v>
      </c>
      <c r="C82" s="3" t="s">
        <v>305</v>
      </c>
      <c r="D82">
        <v>1100</v>
      </c>
      <c r="E82">
        <v>7012</v>
      </c>
      <c r="F82" s="5">
        <f t="shared" si="1"/>
        <v>6.374545454545455</v>
      </c>
      <c r="G82" t="s">
        <v>8</v>
      </c>
      <c r="H82">
        <v>127</v>
      </c>
      <c r="I82" t="s">
        <v>109</v>
      </c>
      <c r="J82" t="s">
        <v>110</v>
      </c>
      <c r="K82" s="4">
        <v>42976.208333333328</v>
      </c>
      <c r="L82" s="4" t="s">
        <v>54</v>
      </c>
      <c r="M82" s="4" t="s">
        <v>134</v>
      </c>
      <c r="N82" s="4">
        <v>43006.208333333328</v>
      </c>
      <c r="O82" t="b">
        <v>0</v>
      </c>
      <c r="P82" t="b">
        <v>0</v>
      </c>
      <c r="Q82" t="s">
        <v>184</v>
      </c>
      <c r="R82" t="str" cm="1">
        <f t="array" ref="R82:S82">_xlfn.TEXTSPLIT(Q82, "/", , FALSE)</f>
        <v>games</v>
      </c>
      <c r="S82" t="str">
        <v>video games</v>
      </c>
    </row>
    <row r="83" spans="1:19" ht="17" x14ac:dyDescent="0.2">
      <c r="A83">
        <v>81</v>
      </c>
      <c r="B83" t="s">
        <v>306</v>
      </c>
      <c r="C83" s="3" t="s">
        <v>307</v>
      </c>
      <c r="D83">
        <v>16800</v>
      </c>
      <c r="E83">
        <v>37857</v>
      </c>
      <c r="F83" s="5">
        <f t="shared" si="1"/>
        <v>2.253392857142857</v>
      </c>
      <c r="G83" t="s">
        <v>8</v>
      </c>
      <c r="H83">
        <v>411</v>
      </c>
      <c r="I83" t="s">
        <v>109</v>
      </c>
      <c r="J83" t="s">
        <v>110</v>
      </c>
      <c r="K83" s="4">
        <v>43062.25</v>
      </c>
      <c r="L83" s="4" t="s">
        <v>57</v>
      </c>
      <c r="M83" s="4" t="s">
        <v>134</v>
      </c>
      <c r="N83" s="4">
        <v>43087.25</v>
      </c>
      <c r="O83" t="b">
        <v>0</v>
      </c>
      <c r="P83" t="b">
        <v>0</v>
      </c>
      <c r="Q83" t="s">
        <v>112</v>
      </c>
      <c r="R83" t="str" cm="1">
        <f t="array" ref="R83:S83">_xlfn.TEXTSPLIT(Q83, "/", , FALSE)</f>
        <v>music</v>
      </c>
      <c r="S83" t="str">
        <v>rock</v>
      </c>
    </row>
    <row r="84" spans="1:19" ht="17" x14ac:dyDescent="0.2">
      <c r="A84">
        <v>82</v>
      </c>
      <c r="B84" t="s">
        <v>308</v>
      </c>
      <c r="C84" s="3" t="s">
        <v>309</v>
      </c>
      <c r="D84">
        <v>1000</v>
      </c>
      <c r="E84">
        <v>14973</v>
      </c>
      <c r="F84" s="5">
        <f t="shared" si="1"/>
        <v>14.973000000000001</v>
      </c>
      <c r="G84" t="s">
        <v>8</v>
      </c>
      <c r="H84">
        <v>180</v>
      </c>
      <c r="I84" t="s">
        <v>132</v>
      </c>
      <c r="J84" t="s">
        <v>133</v>
      </c>
      <c r="K84" s="4">
        <v>43482.25</v>
      </c>
      <c r="L84" s="4" t="s">
        <v>47</v>
      </c>
      <c r="M84" s="4" t="s">
        <v>121</v>
      </c>
      <c r="N84" s="4">
        <v>43489.25</v>
      </c>
      <c r="O84" t="b">
        <v>0</v>
      </c>
      <c r="P84" t="b">
        <v>1</v>
      </c>
      <c r="Q84" t="s">
        <v>184</v>
      </c>
      <c r="R84" t="str" cm="1">
        <f t="array" ref="R84:S84">_xlfn.TEXTSPLIT(Q84, "/", , FALSE)</f>
        <v>games</v>
      </c>
      <c r="S84" t="str">
        <v>video games</v>
      </c>
    </row>
    <row r="85" spans="1:19" ht="17" x14ac:dyDescent="0.2">
      <c r="A85">
        <v>83</v>
      </c>
      <c r="B85" t="s">
        <v>310</v>
      </c>
      <c r="C85" s="3" t="s">
        <v>311</v>
      </c>
      <c r="D85">
        <v>106400</v>
      </c>
      <c r="E85">
        <v>39996</v>
      </c>
      <c r="F85" s="5">
        <f t="shared" si="1"/>
        <v>0.37590225563909774</v>
      </c>
      <c r="G85" t="s">
        <v>6</v>
      </c>
      <c r="H85">
        <v>1000</v>
      </c>
      <c r="I85" t="s">
        <v>109</v>
      </c>
      <c r="J85" t="s">
        <v>110</v>
      </c>
      <c r="K85" s="4">
        <v>42579.208333333328</v>
      </c>
      <c r="L85" s="4" t="s">
        <v>53</v>
      </c>
      <c r="M85" s="4" t="s">
        <v>153</v>
      </c>
      <c r="N85" s="4">
        <v>42601.208333333328</v>
      </c>
      <c r="O85" t="b">
        <v>0</v>
      </c>
      <c r="P85" t="b">
        <v>0</v>
      </c>
      <c r="Q85" t="s">
        <v>143</v>
      </c>
      <c r="R85" t="str" cm="1">
        <f t="array" ref="R85:S85">_xlfn.TEXTSPLIT(Q85, "/", , FALSE)</f>
        <v>music</v>
      </c>
      <c r="S85" t="str">
        <v>electric music</v>
      </c>
    </row>
    <row r="86" spans="1:19" ht="17" x14ac:dyDescent="0.2">
      <c r="A86">
        <v>84</v>
      </c>
      <c r="B86" t="s">
        <v>312</v>
      </c>
      <c r="C86" s="3" t="s">
        <v>313</v>
      </c>
      <c r="D86">
        <v>31400</v>
      </c>
      <c r="E86">
        <v>41564</v>
      </c>
      <c r="F86" s="5">
        <f t="shared" si="1"/>
        <v>1.3236942675159236</v>
      </c>
      <c r="G86" t="s">
        <v>8</v>
      </c>
      <c r="H86">
        <v>374</v>
      </c>
      <c r="I86" t="s">
        <v>109</v>
      </c>
      <c r="J86" t="s">
        <v>110</v>
      </c>
      <c r="K86" s="4">
        <v>41118.208333333336</v>
      </c>
      <c r="L86" s="4" t="s">
        <v>53</v>
      </c>
      <c r="M86" s="4" t="s">
        <v>129</v>
      </c>
      <c r="N86" s="4">
        <v>41128.208333333336</v>
      </c>
      <c r="O86" t="b">
        <v>0</v>
      </c>
      <c r="P86" t="b">
        <v>0</v>
      </c>
      <c r="Q86" t="s">
        <v>159</v>
      </c>
      <c r="R86" t="str" cm="1">
        <f t="array" ref="R86:S86">_xlfn.TEXTSPLIT(Q86, "/", , FALSE)</f>
        <v>technology</v>
      </c>
      <c r="S86" t="str">
        <v>wearables</v>
      </c>
    </row>
    <row r="87" spans="1:19" ht="17" x14ac:dyDescent="0.2">
      <c r="A87">
        <v>85</v>
      </c>
      <c r="B87" t="s">
        <v>314</v>
      </c>
      <c r="C87" s="3" t="s">
        <v>315</v>
      </c>
      <c r="D87">
        <v>4900</v>
      </c>
      <c r="E87">
        <v>6430</v>
      </c>
      <c r="F87" s="5">
        <f t="shared" si="1"/>
        <v>1.3122448979591836</v>
      </c>
      <c r="G87" t="s">
        <v>8</v>
      </c>
      <c r="H87">
        <v>71</v>
      </c>
      <c r="I87" t="s">
        <v>115</v>
      </c>
      <c r="J87" t="s">
        <v>116</v>
      </c>
      <c r="K87" s="4">
        <v>40797.208333333336</v>
      </c>
      <c r="L87" s="4" t="s">
        <v>55</v>
      </c>
      <c r="M87" s="4" t="s">
        <v>165</v>
      </c>
      <c r="N87" s="4">
        <v>40805.208333333336</v>
      </c>
      <c r="O87" t="b">
        <v>0</v>
      </c>
      <c r="P87" t="b">
        <v>0</v>
      </c>
      <c r="Q87" t="s">
        <v>154</v>
      </c>
      <c r="R87" t="str" cm="1">
        <f t="array" ref="R87:S87">_xlfn.TEXTSPLIT(Q87, "/", , FALSE)</f>
        <v>music</v>
      </c>
      <c r="S87" t="str">
        <v>indie rock</v>
      </c>
    </row>
    <row r="88" spans="1:19" ht="17" x14ac:dyDescent="0.2">
      <c r="A88">
        <v>86</v>
      </c>
      <c r="B88" t="s">
        <v>316</v>
      </c>
      <c r="C88" s="3" t="s">
        <v>317</v>
      </c>
      <c r="D88">
        <v>7400</v>
      </c>
      <c r="E88">
        <v>12405</v>
      </c>
      <c r="F88" s="5">
        <f t="shared" si="1"/>
        <v>1.6763513513513513</v>
      </c>
      <c r="G88" t="s">
        <v>8</v>
      </c>
      <c r="H88">
        <v>203</v>
      </c>
      <c r="I88" t="s">
        <v>109</v>
      </c>
      <c r="J88" t="s">
        <v>110</v>
      </c>
      <c r="K88" s="4">
        <v>42128.208333333328</v>
      </c>
      <c r="L88" s="4" t="s">
        <v>51</v>
      </c>
      <c r="M88" s="4" t="s">
        <v>105</v>
      </c>
      <c r="N88" s="4">
        <v>42141.208333333328</v>
      </c>
      <c r="O88" t="b">
        <v>1</v>
      </c>
      <c r="P88" t="b">
        <v>0</v>
      </c>
      <c r="Q88" t="s">
        <v>124</v>
      </c>
      <c r="R88" t="str" cm="1">
        <f t="array" ref="R88:S88">_xlfn.TEXTSPLIT(Q88, "/", , FALSE)</f>
        <v>theater</v>
      </c>
      <c r="S88" t="str">
        <v>plays</v>
      </c>
    </row>
    <row r="89" spans="1:19" ht="34" x14ac:dyDescent="0.2">
      <c r="A89">
        <v>87</v>
      </c>
      <c r="B89" t="s">
        <v>318</v>
      </c>
      <c r="C89" s="3" t="s">
        <v>319</v>
      </c>
      <c r="D89">
        <v>198500</v>
      </c>
      <c r="E89">
        <v>123040</v>
      </c>
      <c r="F89" s="5">
        <f t="shared" si="1"/>
        <v>0.6198488664987406</v>
      </c>
      <c r="G89" t="s">
        <v>6</v>
      </c>
      <c r="H89">
        <v>1482</v>
      </c>
      <c r="I89" t="s">
        <v>115</v>
      </c>
      <c r="J89" t="s">
        <v>116</v>
      </c>
      <c r="K89" s="4">
        <v>40610.25</v>
      </c>
      <c r="L89" s="4" t="s">
        <v>49</v>
      </c>
      <c r="M89" s="4" t="s">
        <v>165</v>
      </c>
      <c r="N89" s="4">
        <v>40621.208333333336</v>
      </c>
      <c r="O89" t="b">
        <v>0</v>
      </c>
      <c r="P89" t="b">
        <v>1</v>
      </c>
      <c r="Q89" t="s">
        <v>112</v>
      </c>
      <c r="R89" t="str" cm="1">
        <f t="array" ref="R89:S89">_xlfn.TEXTSPLIT(Q89, "/", , FALSE)</f>
        <v>music</v>
      </c>
      <c r="S89" t="str">
        <v>rock</v>
      </c>
    </row>
    <row r="90" spans="1:19" ht="17" x14ac:dyDescent="0.2">
      <c r="A90">
        <v>88</v>
      </c>
      <c r="B90" t="s">
        <v>320</v>
      </c>
      <c r="C90" s="3" t="s">
        <v>321</v>
      </c>
      <c r="D90">
        <v>4800</v>
      </c>
      <c r="E90">
        <v>12516</v>
      </c>
      <c r="F90" s="5">
        <f t="shared" si="1"/>
        <v>2.6074999999999999</v>
      </c>
      <c r="G90" t="s">
        <v>8</v>
      </c>
      <c r="H90">
        <v>113</v>
      </c>
      <c r="I90" t="s">
        <v>109</v>
      </c>
      <c r="J90" t="s">
        <v>110</v>
      </c>
      <c r="K90" s="4">
        <v>42110.208333333328</v>
      </c>
      <c r="L90" s="4" t="s">
        <v>50</v>
      </c>
      <c r="M90" s="4" t="s">
        <v>105</v>
      </c>
      <c r="N90" s="4">
        <v>42132.208333333328</v>
      </c>
      <c r="O90" t="b">
        <v>0</v>
      </c>
      <c r="P90" t="b">
        <v>0</v>
      </c>
      <c r="Q90" t="s">
        <v>301</v>
      </c>
      <c r="R90" t="str" cm="1">
        <f t="array" ref="R90:S90">_xlfn.TEXTSPLIT(Q90, "/", , FALSE)</f>
        <v>publishing</v>
      </c>
      <c r="S90" t="str">
        <v>translations</v>
      </c>
    </row>
    <row r="91" spans="1:19" ht="17" x14ac:dyDescent="0.2">
      <c r="A91">
        <v>89</v>
      </c>
      <c r="B91" t="s">
        <v>322</v>
      </c>
      <c r="C91" s="3" t="s">
        <v>323</v>
      </c>
      <c r="D91">
        <v>3400</v>
      </c>
      <c r="E91">
        <v>8588</v>
      </c>
      <c r="F91" s="5">
        <f t="shared" si="1"/>
        <v>2.5258823529411765</v>
      </c>
      <c r="G91" t="s">
        <v>8</v>
      </c>
      <c r="H91">
        <v>96</v>
      </c>
      <c r="I91" t="s">
        <v>109</v>
      </c>
      <c r="J91" t="s">
        <v>110</v>
      </c>
      <c r="K91" s="4">
        <v>40283.208333333336</v>
      </c>
      <c r="L91" s="4" t="s">
        <v>50</v>
      </c>
      <c r="M91" s="4" t="s">
        <v>140</v>
      </c>
      <c r="N91" s="4">
        <v>40285.208333333336</v>
      </c>
      <c r="O91" t="b">
        <v>0</v>
      </c>
      <c r="P91" t="b">
        <v>0</v>
      </c>
      <c r="Q91" t="s">
        <v>124</v>
      </c>
      <c r="R91" t="str" cm="1">
        <f t="array" ref="R91:S91">_xlfn.TEXTSPLIT(Q91, "/", , FALSE)</f>
        <v>theater</v>
      </c>
      <c r="S91" t="str">
        <v>plays</v>
      </c>
    </row>
    <row r="92" spans="1:19" ht="17" x14ac:dyDescent="0.2">
      <c r="A92">
        <v>90</v>
      </c>
      <c r="B92" t="s">
        <v>324</v>
      </c>
      <c r="C92" s="3" t="s">
        <v>325</v>
      </c>
      <c r="D92">
        <v>7800</v>
      </c>
      <c r="E92">
        <v>6132</v>
      </c>
      <c r="F92" s="5">
        <f t="shared" si="1"/>
        <v>0.7861538461538462</v>
      </c>
      <c r="G92" t="s">
        <v>6</v>
      </c>
      <c r="H92">
        <v>106</v>
      </c>
      <c r="I92" t="s">
        <v>109</v>
      </c>
      <c r="J92" t="s">
        <v>110</v>
      </c>
      <c r="K92" s="4">
        <v>42425.25</v>
      </c>
      <c r="L92" s="4" t="s">
        <v>48</v>
      </c>
      <c r="M92" s="4" t="s">
        <v>153</v>
      </c>
      <c r="N92" s="4">
        <v>42425.25</v>
      </c>
      <c r="O92" t="b">
        <v>0</v>
      </c>
      <c r="P92" t="b">
        <v>1</v>
      </c>
      <c r="Q92" t="s">
        <v>124</v>
      </c>
      <c r="R92" t="str" cm="1">
        <f t="array" ref="R92:S92">_xlfn.TEXTSPLIT(Q92, "/", , FALSE)</f>
        <v>theater</v>
      </c>
      <c r="S92" t="str">
        <v>plays</v>
      </c>
    </row>
    <row r="93" spans="1:19" ht="17" x14ac:dyDescent="0.2">
      <c r="A93">
        <v>91</v>
      </c>
      <c r="B93" t="s">
        <v>326</v>
      </c>
      <c r="C93" s="3" t="s">
        <v>327</v>
      </c>
      <c r="D93">
        <v>154300</v>
      </c>
      <c r="E93">
        <v>74688</v>
      </c>
      <c r="F93" s="5">
        <f t="shared" si="1"/>
        <v>0.48404406999351912</v>
      </c>
      <c r="G93" t="s">
        <v>6</v>
      </c>
      <c r="H93">
        <v>679</v>
      </c>
      <c r="I93" t="s">
        <v>202</v>
      </c>
      <c r="J93" t="s">
        <v>203</v>
      </c>
      <c r="K93" s="4">
        <v>42588.208333333328</v>
      </c>
      <c r="L93" s="4" t="s">
        <v>54</v>
      </c>
      <c r="M93" s="4" t="s">
        <v>153</v>
      </c>
      <c r="N93" s="4">
        <v>42616.208333333328</v>
      </c>
      <c r="O93" t="b">
        <v>0</v>
      </c>
      <c r="P93" t="b">
        <v>0</v>
      </c>
      <c r="Q93" t="s">
        <v>301</v>
      </c>
      <c r="R93" t="str" cm="1">
        <f t="array" ref="R93:S93">_xlfn.TEXTSPLIT(Q93, "/", , FALSE)</f>
        <v>publishing</v>
      </c>
      <c r="S93" t="str">
        <v>translations</v>
      </c>
    </row>
    <row r="94" spans="1:19" ht="34" x14ac:dyDescent="0.2">
      <c r="A94">
        <v>92</v>
      </c>
      <c r="B94" t="s">
        <v>328</v>
      </c>
      <c r="C94" s="3" t="s">
        <v>329</v>
      </c>
      <c r="D94">
        <v>20000</v>
      </c>
      <c r="E94">
        <v>51775</v>
      </c>
      <c r="F94" s="5">
        <f t="shared" si="1"/>
        <v>2.5887500000000001</v>
      </c>
      <c r="G94" t="s">
        <v>8</v>
      </c>
      <c r="H94">
        <v>498</v>
      </c>
      <c r="I94" t="s">
        <v>193</v>
      </c>
      <c r="J94" t="s">
        <v>194</v>
      </c>
      <c r="K94" s="4">
        <v>40352.208333333336</v>
      </c>
      <c r="L94" s="4" t="s">
        <v>52</v>
      </c>
      <c r="M94" s="4" t="s">
        <v>140</v>
      </c>
      <c r="N94" s="4">
        <v>40353.208333333336</v>
      </c>
      <c r="O94" t="b">
        <v>0</v>
      </c>
      <c r="P94" t="b">
        <v>1</v>
      </c>
      <c r="Q94" t="s">
        <v>184</v>
      </c>
      <c r="R94" t="str" cm="1">
        <f t="array" ref="R94:S94">_xlfn.TEXTSPLIT(Q94, "/", , FALSE)</f>
        <v>games</v>
      </c>
      <c r="S94" t="str">
        <v>video games</v>
      </c>
    </row>
    <row r="95" spans="1:19" ht="17" x14ac:dyDescent="0.2">
      <c r="A95">
        <v>93</v>
      </c>
      <c r="B95" t="s">
        <v>330</v>
      </c>
      <c r="C95" s="3" t="s">
        <v>331</v>
      </c>
      <c r="D95">
        <v>108800</v>
      </c>
      <c r="E95">
        <v>65877</v>
      </c>
      <c r="F95" s="5">
        <f t="shared" si="1"/>
        <v>0.60548713235294116</v>
      </c>
      <c r="G95" t="s">
        <v>5</v>
      </c>
      <c r="H95">
        <v>610</v>
      </c>
      <c r="I95" t="s">
        <v>109</v>
      </c>
      <c r="J95" t="s">
        <v>110</v>
      </c>
      <c r="K95" s="4">
        <v>41202.208333333336</v>
      </c>
      <c r="L95" s="4" t="s">
        <v>56</v>
      </c>
      <c r="M95" s="4" t="s">
        <v>129</v>
      </c>
      <c r="N95" s="4">
        <v>41206.208333333336</v>
      </c>
      <c r="O95" t="b">
        <v>0</v>
      </c>
      <c r="P95" t="b">
        <v>1</v>
      </c>
      <c r="Q95" t="s">
        <v>124</v>
      </c>
      <c r="R95" t="str" cm="1">
        <f t="array" ref="R95:S95">_xlfn.TEXTSPLIT(Q95, "/", , FALSE)</f>
        <v>theater</v>
      </c>
      <c r="S95" t="str">
        <v>plays</v>
      </c>
    </row>
    <row r="96" spans="1:19" ht="17" x14ac:dyDescent="0.2">
      <c r="A96">
        <v>94</v>
      </c>
      <c r="B96" t="s">
        <v>332</v>
      </c>
      <c r="C96" s="3" t="s">
        <v>333</v>
      </c>
      <c r="D96">
        <v>2900</v>
      </c>
      <c r="E96">
        <v>8807</v>
      </c>
      <c r="F96" s="5">
        <f t="shared" si="1"/>
        <v>3.036896551724138</v>
      </c>
      <c r="G96" t="s">
        <v>8</v>
      </c>
      <c r="H96">
        <v>180</v>
      </c>
      <c r="I96" t="s">
        <v>132</v>
      </c>
      <c r="J96" t="s">
        <v>133</v>
      </c>
      <c r="K96" s="4">
        <v>43562.208333333328</v>
      </c>
      <c r="L96" s="4" t="s">
        <v>50</v>
      </c>
      <c r="M96" s="4" t="s">
        <v>121</v>
      </c>
      <c r="N96" s="4">
        <v>43573.208333333328</v>
      </c>
      <c r="O96" t="b">
        <v>0</v>
      </c>
      <c r="P96" t="b">
        <v>0</v>
      </c>
      <c r="Q96" t="s">
        <v>118</v>
      </c>
      <c r="R96" t="str" cm="1">
        <f t="array" ref="R96:S96">_xlfn.TEXTSPLIT(Q96, "/", , FALSE)</f>
        <v>technology</v>
      </c>
      <c r="S96" t="str">
        <v>web</v>
      </c>
    </row>
    <row r="97" spans="1:19" ht="34" x14ac:dyDescent="0.2">
      <c r="A97">
        <v>95</v>
      </c>
      <c r="B97" t="s">
        <v>334</v>
      </c>
      <c r="C97" s="3" t="s">
        <v>335</v>
      </c>
      <c r="D97">
        <v>900</v>
      </c>
      <c r="E97">
        <v>1017</v>
      </c>
      <c r="F97" s="5">
        <f t="shared" si="1"/>
        <v>1.1299999999999999</v>
      </c>
      <c r="G97" t="s">
        <v>8</v>
      </c>
      <c r="H97">
        <v>27</v>
      </c>
      <c r="I97" t="s">
        <v>109</v>
      </c>
      <c r="J97" t="s">
        <v>110</v>
      </c>
      <c r="K97" s="4">
        <v>43752.208333333328</v>
      </c>
      <c r="L97" s="4" t="s">
        <v>56</v>
      </c>
      <c r="M97" s="4" t="s">
        <v>121</v>
      </c>
      <c r="N97" s="4">
        <v>43759.208333333328</v>
      </c>
      <c r="O97" t="b">
        <v>0</v>
      </c>
      <c r="P97" t="b">
        <v>0</v>
      </c>
      <c r="Q97" t="s">
        <v>135</v>
      </c>
      <c r="R97" t="str" cm="1">
        <f t="array" ref="R97:S97">_xlfn.TEXTSPLIT(Q97, "/", , FALSE)</f>
        <v>film &amp; video</v>
      </c>
      <c r="S97" t="str">
        <v>documentary</v>
      </c>
    </row>
    <row r="98" spans="1:19" ht="17" x14ac:dyDescent="0.2">
      <c r="A98">
        <v>96</v>
      </c>
      <c r="B98" t="s">
        <v>336</v>
      </c>
      <c r="C98" s="3" t="s">
        <v>337</v>
      </c>
      <c r="D98">
        <v>69700</v>
      </c>
      <c r="E98">
        <v>151513</v>
      </c>
      <c r="F98" s="5">
        <f t="shared" si="1"/>
        <v>2.1737876614060259</v>
      </c>
      <c r="G98" t="s">
        <v>8</v>
      </c>
      <c r="H98">
        <v>2331</v>
      </c>
      <c r="I98" t="s">
        <v>109</v>
      </c>
      <c r="J98" t="s">
        <v>110</v>
      </c>
      <c r="K98" s="4">
        <v>40612.25</v>
      </c>
      <c r="L98" s="4" t="s">
        <v>49</v>
      </c>
      <c r="M98" s="4" t="s">
        <v>165</v>
      </c>
      <c r="N98" s="4">
        <v>40625.208333333336</v>
      </c>
      <c r="O98" t="b">
        <v>0</v>
      </c>
      <c r="P98" t="b">
        <v>0</v>
      </c>
      <c r="Q98" t="s">
        <v>124</v>
      </c>
      <c r="R98" t="str" cm="1">
        <f t="array" ref="R98:S98">_xlfn.TEXTSPLIT(Q98, "/", , FALSE)</f>
        <v>theater</v>
      </c>
      <c r="S98" t="str">
        <v>plays</v>
      </c>
    </row>
    <row r="99" spans="1:19" ht="17" x14ac:dyDescent="0.2">
      <c r="A99">
        <v>97</v>
      </c>
      <c r="B99" t="s">
        <v>338</v>
      </c>
      <c r="C99" s="3" t="s">
        <v>339</v>
      </c>
      <c r="D99">
        <v>1300</v>
      </c>
      <c r="E99">
        <v>12047</v>
      </c>
      <c r="F99" s="5">
        <f t="shared" si="1"/>
        <v>9.2669230769230762</v>
      </c>
      <c r="G99" t="s">
        <v>8</v>
      </c>
      <c r="H99">
        <v>113</v>
      </c>
      <c r="I99" t="s">
        <v>109</v>
      </c>
      <c r="J99" t="s">
        <v>110</v>
      </c>
      <c r="K99" s="4">
        <v>42180.208333333328</v>
      </c>
      <c r="L99" s="4" t="s">
        <v>52</v>
      </c>
      <c r="M99" s="4" t="s">
        <v>105</v>
      </c>
      <c r="N99" s="4">
        <v>42234.208333333328</v>
      </c>
      <c r="O99" t="b">
        <v>0</v>
      </c>
      <c r="P99" t="b">
        <v>0</v>
      </c>
      <c r="Q99" t="s">
        <v>106</v>
      </c>
      <c r="R99" t="str" cm="1">
        <f t="array" ref="R99:S99">_xlfn.TEXTSPLIT(Q99, "/", , FALSE)</f>
        <v>food</v>
      </c>
      <c r="S99" t="str">
        <v>food trucks</v>
      </c>
    </row>
    <row r="100" spans="1:19" ht="17" x14ac:dyDescent="0.2">
      <c r="A100">
        <v>98</v>
      </c>
      <c r="B100" t="s">
        <v>340</v>
      </c>
      <c r="C100" s="3" t="s">
        <v>341</v>
      </c>
      <c r="D100">
        <v>97800</v>
      </c>
      <c r="E100">
        <v>32951</v>
      </c>
      <c r="F100" s="5">
        <f t="shared" si="1"/>
        <v>0.33692229038854804</v>
      </c>
      <c r="G100" t="s">
        <v>6</v>
      </c>
      <c r="H100">
        <v>1220</v>
      </c>
      <c r="I100" t="s">
        <v>115</v>
      </c>
      <c r="J100" t="s">
        <v>116</v>
      </c>
      <c r="K100" s="4">
        <v>42212.208333333328</v>
      </c>
      <c r="L100" s="4" t="s">
        <v>53</v>
      </c>
      <c r="M100" s="4" t="s">
        <v>105</v>
      </c>
      <c r="N100" s="4">
        <v>42216.208333333328</v>
      </c>
      <c r="O100" t="b">
        <v>0</v>
      </c>
      <c r="P100" t="b">
        <v>0</v>
      </c>
      <c r="Q100" t="s">
        <v>184</v>
      </c>
      <c r="R100" t="str" cm="1">
        <f t="array" ref="R100:S100">_xlfn.TEXTSPLIT(Q100, "/", , FALSE)</f>
        <v>games</v>
      </c>
      <c r="S100" t="str">
        <v>video games</v>
      </c>
    </row>
    <row r="101" spans="1:19" ht="34" x14ac:dyDescent="0.2">
      <c r="A101">
        <v>99</v>
      </c>
      <c r="B101" t="s">
        <v>342</v>
      </c>
      <c r="C101" s="3" t="s">
        <v>343</v>
      </c>
      <c r="D101">
        <v>7600</v>
      </c>
      <c r="E101">
        <v>14951</v>
      </c>
      <c r="F101" s="5">
        <f t="shared" si="1"/>
        <v>1.9672368421052631</v>
      </c>
      <c r="G101" t="s">
        <v>8</v>
      </c>
      <c r="H101">
        <v>164</v>
      </c>
      <c r="I101" t="s">
        <v>109</v>
      </c>
      <c r="J101" t="s">
        <v>110</v>
      </c>
      <c r="K101" s="4">
        <v>41968.25</v>
      </c>
      <c r="L101" s="4" t="s">
        <v>57</v>
      </c>
      <c r="M101" s="4" t="s">
        <v>111</v>
      </c>
      <c r="N101" s="4">
        <v>41997.25</v>
      </c>
      <c r="O101" t="b">
        <v>0</v>
      </c>
      <c r="P101" t="b">
        <v>0</v>
      </c>
      <c r="Q101" t="s">
        <v>124</v>
      </c>
      <c r="R101" t="str" cm="1">
        <f t="array" ref="R101:S101">_xlfn.TEXTSPLIT(Q101, "/", , FALSE)</f>
        <v>theater</v>
      </c>
      <c r="S101" t="str">
        <v>plays</v>
      </c>
    </row>
    <row r="102" spans="1:19" ht="17" x14ac:dyDescent="0.2">
      <c r="A102">
        <v>100</v>
      </c>
      <c r="B102" t="s">
        <v>344</v>
      </c>
      <c r="C102" s="3" t="s">
        <v>345</v>
      </c>
      <c r="D102">
        <v>100</v>
      </c>
      <c r="E102">
        <v>1</v>
      </c>
      <c r="F102" s="5">
        <f t="shared" si="1"/>
        <v>0.01</v>
      </c>
      <c r="G102" t="s">
        <v>6</v>
      </c>
      <c r="H102">
        <v>1</v>
      </c>
      <c r="I102" t="s">
        <v>109</v>
      </c>
      <c r="J102" t="s">
        <v>110</v>
      </c>
      <c r="K102" s="4">
        <v>40835.208333333336</v>
      </c>
      <c r="L102" s="4" t="s">
        <v>56</v>
      </c>
      <c r="M102" s="4" t="s">
        <v>165</v>
      </c>
      <c r="N102" s="4">
        <v>40853.208333333336</v>
      </c>
      <c r="O102" t="b">
        <v>0</v>
      </c>
      <c r="P102" t="b">
        <v>0</v>
      </c>
      <c r="Q102" t="s">
        <v>124</v>
      </c>
      <c r="R102" t="str" cm="1">
        <f t="array" ref="R102:S102">_xlfn.TEXTSPLIT(Q102, "/", , FALSE)</f>
        <v>theater</v>
      </c>
      <c r="S102" t="str">
        <v>plays</v>
      </c>
    </row>
    <row r="103" spans="1:19" ht="17" x14ac:dyDescent="0.2">
      <c r="A103">
        <v>101</v>
      </c>
      <c r="B103" t="s">
        <v>346</v>
      </c>
      <c r="C103" s="3" t="s">
        <v>347</v>
      </c>
      <c r="D103">
        <v>900</v>
      </c>
      <c r="E103">
        <v>9193</v>
      </c>
      <c r="F103" s="5">
        <f t="shared" si="1"/>
        <v>10.214444444444444</v>
      </c>
      <c r="G103" t="s">
        <v>8</v>
      </c>
      <c r="H103">
        <v>164</v>
      </c>
      <c r="I103" t="s">
        <v>109</v>
      </c>
      <c r="J103" t="s">
        <v>110</v>
      </c>
      <c r="K103" s="4">
        <v>42056.25</v>
      </c>
      <c r="L103" s="4" t="s">
        <v>48</v>
      </c>
      <c r="M103" s="4" t="s">
        <v>105</v>
      </c>
      <c r="N103" s="4">
        <v>42063.25</v>
      </c>
      <c r="O103" t="b">
        <v>0</v>
      </c>
      <c r="P103" t="b">
        <v>1</v>
      </c>
      <c r="Q103" t="s">
        <v>143</v>
      </c>
      <c r="R103" t="str" cm="1">
        <f t="array" ref="R103:S103">_xlfn.TEXTSPLIT(Q103, "/", , FALSE)</f>
        <v>music</v>
      </c>
      <c r="S103" t="str">
        <v>electric music</v>
      </c>
    </row>
    <row r="104" spans="1:19" ht="17" x14ac:dyDescent="0.2">
      <c r="A104">
        <v>102</v>
      </c>
      <c r="B104" t="s">
        <v>348</v>
      </c>
      <c r="C104" s="3" t="s">
        <v>349</v>
      </c>
      <c r="D104">
        <v>3700</v>
      </c>
      <c r="E104">
        <v>10422</v>
      </c>
      <c r="F104" s="5">
        <f t="shared" si="1"/>
        <v>2.8167567567567566</v>
      </c>
      <c r="G104" t="s">
        <v>8</v>
      </c>
      <c r="H104">
        <v>336</v>
      </c>
      <c r="I104" t="s">
        <v>109</v>
      </c>
      <c r="J104" t="s">
        <v>110</v>
      </c>
      <c r="K104" s="4">
        <v>43234.208333333328</v>
      </c>
      <c r="L104" s="4" t="s">
        <v>51</v>
      </c>
      <c r="M104" s="4" t="s">
        <v>169</v>
      </c>
      <c r="N104" s="4">
        <v>43241.208333333328</v>
      </c>
      <c r="O104" t="b">
        <v>0</v>
      </c>
      <c r="P104" t="b">
        <v>1</v>
      </c>
      <c r="Q104" t="s">
        <v>159</v>
      </c>
      <c r="R104" t="str" cm="1">
        <f t="array" ref="R104:S104">_xlfn.TEXTSPLIT(Q104, "/", , FALSE)</f>
        <v>technology</v>
      </c>
      <c r="S104" t="str">
        <v>wearables</v>
      </c>
    </row>
    <row r="105" spans="1:19" ht="17" x14ac:dyDescent="0.2">
      <c r="A105">
        <v>103</v>
      </c>
      <c r="B105" t="s">
        <v>350</v>
      </c>
      <c r="C105" s="3" t="s">
        <v>351</v>
      </c>
      <c r="D105">
        <v>10000</v>
      </c>
      <c r="E105">
        <v>2461</v>
      </c>
      <c r="F105" s="5">
        <f t="shared" si="1"/>
        <v>0.24610000000000001</v>
      </c>
      <c r="G105" t="s">
        <v>6</v>
      </c>
      <c r="H105">
        <v>37</v>
      </c>
      <c r="I105" t="s">
        <v>202</v>
      </c>
      <c r="J105" t="s">
        <v>203</v>
      </c>
      <c r="K105" s="4">
        <v>40475.208333333336</v>
      </c>
      <c r="L105" s="4" t="s">
        <v>56</v>
      </c>
      <c r="M105" s="4" t="s">
        <v>140</v>
      </c>
      <c r="N105" s="4">
        <v>40484.208333333336</v>
      </c>
      <c r="O105" t="b">
        <v>0</v>
      </c>
      <c r="P105" t="b">
        <v>0</v>
      </c>
      <c r="Q105" t="s">
        <v>143</v>
      </c>
      <c r="R105" t="str" cm="1">
        <f t="array" ref="R105:S105">_xlfn.TEXTSPLIT(Q105, "/", , FALSE)</f>
        <v>music</v>
      </c>
      <c r="S105" t="str">
        <v>electric music</v>
      </c>
    </row>
    <row r="106" spans="1:19" ht="17" x14ac:dyDescent="0.2">
      <c r="A106">
        <v>104</v>
      </c>
      <c r="B106" t="s">
        <v>352</v>
      </c>
      <c r="C106" s="3" t="s">
        <v>353</v>
      </c>
      <c r="D106">
        <v>119200</v>
      </c>
      <c r="E106">
        <v>170623</v>
      </c>
      <c r="F106" s="5">
        <f t="shared" si="1"/>
        <v>1.4314010067114094</v>
      </c>
      <c r="G106" t="s">
        <v>8</v>
      </c>
      <c r="H106">
        <v>1917</v>
      </c>
      <c r="I106" t="s">
        <v>109</v>
      </c>
      <c r="J106" t="s">
        <v>110</v>
      </c>
      <c r="K106" s="4">
        <v>42878.208333333328</v>
      </c>
      <c r="L106" s="4" t="s">
        <v>51</v>
      </c>
      <c r="M106" s="4" t="s">
        <v>134</v>
      </c>
      <c r="N106" s="4">
        <v>42879.208333333328</v>
      </c>
      <c r="O106" t="b">
        <v>0</v>
      </c>
      <c r="P106" t="b">
        <v>0</v>
      </c>
      <c r="Q106" t="s">
        <v>154</v>
      </c>
      <c r="R106" t="str" cm="1">
        <f t="array" ref="R106:S106">_xlfn.TEXTSPLIT(Q106, "/", , FALSE)</f>
        <v>music</v>
      </c>
      <c r="S106" t="str">
        <v>indie rock</v>
      </c>
    </row>
    <row r="107" spans="1:19" ht="17" x14ac:dyDescent="0.2">
      <c r="A107">
        <v>105</v>
      </c>
      <c r="B107" t="s">
        <v>354</v>
      </c>
      <c r="C107" s="3" t="s">
        <v>355</v>
      </c>
      <c r="D107">
        <v>6800</v>
      </c>
      <c r="E107">
        <v>9829</v>
      </c>
      <c r="F107" s="5">
        <f t="shared" si="1"/>
        <v>1.4454411764705883</v>
      </c>
      <c r="G107" t="s">
        <v>8</v>
      </c>
      <c r="H107">
        <v>95</v>
      </c>
      <c r="I107" t="s">
        <v>109</v>
      </c>
      <c r="J107" t="s">
        <v>110</v>
      </c>
      <c r="K107" s="4">
        <v>41366.208333333336</v>
      </c>
      <c r="L107" s="4" t="s">
        <v>50</v>
      </c>
      <c r="M107" s="4" t="s">
        <v>117</v>
      </c>
      <c r="N107" s="4">
        <v>41384.208333333336</v>
      </c>
      <c r="O107" t="b">
        <v>0</v>
      </c>
      <c r="P107" t="b">
        <v>0</v>
      </c>
      <c r="Q107" t="s">
        <v>118</v>
      </c>
      <c r="R107" t="str" cm="1">
        <f t="array" ref="R107:S107">_xlfn.TEXTSPLIT(Q107, "/", , FALSE)</f>
        <v>technology</v>
      </c>
      <c r="S107" t="str">
        <v>web</v>
      </c>
    </row>
    <row r="108" spans="1:19" ht="17" x14ac:dyDescent="0.2">
      <c r="A108">
        <v>106</v>
      </c>
      <c r="B108" t="s">
        <v>356</v>
      </c>
      <c r="C108" s="3" t="s">
        <v>357</v>
      </c>
      <c r="D108">
        <v>3900</v>
      </c>
      <c r="E108">
        <v>14006</v>
      </c>
      <c r="F108" s="5">
        <f t="shared" si="1"/>
        <v>3.5912820512820511</v>
      </c>
      <c r="G108" t="s">
        <v>8</v>
      </c>
      <c r="H108">
        <v>147</v>
      </c>
      <c r="I108" t="s">
        <v>109</v>
      </c>
      <c r="J108" t="s">
        <v>110</v>
      </c>
      <c r="K108" s="4">
        <v>43716.208333333328</v>
      </c>
      <c r="L108" s="4" t="s">
        <v>55</v>
      </c>
      <c r="M108" s="4" t="s">
        <v>121</v>
      </c>
      <c r="N108" s="4">
        <v>43721.208333333328</v>
      </c>
      <c r="O108" t="b">
        <v>0</v>
      </c>
      <c r="P108" t="b">
        <v>0</v>
      </c>
      <c r="Q108" t="s">
        <v>124</v>
      </c>
      <c r="R108" t="str" cm="1">
        <f t="array" ref="R108:S108">_xlfn.TEXTSPLIT(Q108, "/", , FALSE)</f>
        <v>theater</v>
      </c>
      <c r="S108" t="str">
        <v>plays</v>
      </c>
    </row>
    <row r="109" spans="1:19" ht="34" x14ac:dyDescent="0.2">
      <c r="A109">
        <v>107</v>
      </c>
      <c r="B109" t="s">
        <v>358</v>
      </c>
      <c r="C109" s="3" t="s">
        <v>359</v>
      </c>
      <c r="D109">
        <v>3500</v>
      </c>
      <c r="E109">
        <v>6527</v>
      </c>
      <c r="F109" s="5">
        <f t="shared" si="1"/>
        <v>1.8648571428571428</v>
      </c>
      <c r="G109" t="s">
        <v>8</v>
      </c>
      <c r="H109">
        <v>86</v>
      </c>
      <c r="I109" t="s">
        <v>109</v>
      </c>
      <c r="J109" t="s">
        <v>110</v>
      </c>
      <c r="K109" s="4">
        <v>43213.208333333328</v>
      </c>
      <c r="L109" s="4" t="s">
        <v>50</v>
      </c>
      <c r="M109" s="4" t="s">
        <v>169</v>
      </c>
      <c r="N109" s="4">
        <v>43230.208333333328</v>
      </c>
      <c r="O109" t="b">
        <v>0</v>
      </c>
      <c r="P109" t="b">
        <v>1</v>
      </c>
      <c r="Q109" t="s">
        <v>124</v>
      </c>
      <c r="R109" t="str" cm="1">
        <f t="array" ref="R109:S109">_xlfn.TEXTSPLIT(Q109, "/", , FALSE)</f>
        <v>theater</v>
      </c>
      <c r="S109" t="str">
        <v>plays</v>
      </c>
    </row>
    <row r="110" spans="1:19" ht="34" x14ac:dyDescent="0.2">
      <c r="A110">
        <v>108</v>
      </c>
      <c r="B110" t="s">
        <v>360</v>
      </c>
      <c r="C110" s="3" t="s">
        <v>361</v>
      </c>
      <c r="D110">
        <v>1500</v>
      </c>
      <c r="E110">
        <v>8929</v>
      </c>
      <c r="F110" s="5">
        <f t="shared" si="1"/>
        <v>5.9526666666666666</v>
      </c>
      <c r="G110" t="s">
        <v>8</v>
      </c>
      <c r="H110">
        <v>83</v>
      </c>
      <c r="I110" t="s">
        <v>109</v>
      </c>
      <c r="J110" t="s">
        <v>110</v>
      </c>
      <c r="K110" s="4">
        <v>41005.208333333336</v>
      </c>
      <c r="L110" s="4" t="s">
        <v>50</v>
      </c>
      <c r="M110" s="4" t="s">
        <v>129</v>
      </c>
      <c r="N110" s="4">
        <v>41042.208333333336</v>
      </c>
      <c r="O110" t="b">
        <v>0</v>
      </c>
      <c r="P110" t="b">
        <v>0</v>
      </c>
      <c r="Q110" t="s">
        <v>135</v>
      </c>
      <c r="R110" t="str" cm="1">
        <f t="array" ref="R110:S110">_xlfn.TEXTSPLIT(Q110, "/", , FALSE)</f>
        <v>film &amp; video</v>
      </c>
      <c r="S110" t="str">
        <v>documentary</v>
      </c>
    </row>
    <row r="111" spans="1:19" ht="17" x14ac:dyDescent="0.2">
      <c r="A111">
        <v>109</v>
      </c>
      <c r="B111" t="s">
        <v>362</v>
      </c>
      <c r="C111" s="3" t="s">
        <v>363</v>
      </c>
      <c r="D111">
        <v>5200</v>
      </c>
      <c r="E111">
        <v>3079</v>
      </c>
      <c r="F111" s="5">
        <f t="shared" si="1"/>
        <v>0.5921153846153846</v>
      </c>
      <c r="G111" t="s">
        <v>6</v>
      </c>
      <c r="H111">
        <v>60</v>
      </c>
      <c r="I111" t="s">
        <v>109</v>
      </c>
      <c r="J111" t="s">
        <v>110</v>
      </c>
      <c r="K111" s="4">
        <v>41651.25</v>
      </c>
      <c r="L111" s="4" t="s">
        <v>47</v>
      </c>
      <c r="M111" s="4" t="s">
        <v>111</v>
      </c>
      <c r="N111" s="4">
        <v>41653.25</v>
      </c>
      <c r="O111" t="b">
        <v>0</v>
      </c>
      <c r="P111" t="b">
        <v>0</v>
      </c>
      <c r="Q111" t="s">
        <v>364</v>
      </c>
      <c r="R111" t="str" cm="1">
        <f t="array" ref="R111:S111">_xlfn.TEXTSPLIT(Q111, "/", , FALSE)</f>
        <v>film &amp; video</v>
      </c>
      <c r="S111" t="str">
        <v>television</v>
      </c>
    </row>
    <row r="112" spans="1:19" ht="34" x14ac:dyDescent="0.2">
      <c r="A112">
        <v>110</v>
      </c>
      <c r="B112" t="s">
        <v>365</v>
      </c>
      <c r="C112" s="3" t="s">
        <v>366</v>
      </c>
      <c r="D112">
        <v>142400</v>
      </c>
      <c r="E112">
        <v>21307</v>
      </c>
      <c r="F112" s="5">
        <f t="shared" si="1"/>
        <v>0.14962780898876404</v>
      </c>
      <c r="G112" t="s">
        <v>6</v>
      </c>
      <c r="H112">
        <v>296</v>
      </c>
      <c r="I112" t="s">
        <v>109</v>
      </c>
      <c r="J112" t="s">
        <v>110</v>
      </c>
      <c r="K112" s="4">
        <v>43354.208333333328</v>
      </c>
      <c r="L112" s="4" t="s">
        <v>55</v>
      </c>
      <c r="M112" s="4" t="s">
        <v>169</v>
      </c>
      <c r="N112" s="4">
        <v>43373.208333333328</v>
      </c>
      <c r="O112" t="b">
        <v>0</v>
      </c>
      <c r="P112" t="b">
        <v>0</v>
      </c>
      <c r="Q112" t="s">
        <v>106</v>
      </c>
      <c r="R112" t="str" cm="1">
        <f t="array" ref="R112:S112">_xlfn.TEXTSPLIT(Q112, "/", , FALSE)</f>
        <v>food</v>
      </c>
      <c r="S112" t="str">
        <v>food trucks</v>
      </c>
    </row>
    <row r="113" spans="1:19" ht="17" x14ac:dyDescent="0.2">
      <c r="A113">
        <v>111</v>
      </c>
      <c r="B113" t="s">
        <v>367</v>
      </c>
      <c r="C113" s="3" t="s">
        <v>368</v>
      </c>
      <c r="D113">
        <v>61400</v>
      </c>
      <c r="E113">
        <v>73653</v>
      </c>
      <c r="F113" s="5">
        <f t="shared" si="1"/>
        <v>1.1995602605863191</v>
      </c>
      <c r="G113" t="s">
        <v>8</v>
      </c>
      <c r="H113">
        <v>676</v>
      </c>
      <c r="I113" t="s">
        <v>109</v>
      </c>
      <c r="J113" t="s">
        <v>110</v>
      </c>
      <c r="K113" s="4">
        <v>41174.208333333336</v>
      </c>
      <c r="L113" s="4" t="s">
        <v>55</v>
      </c>
      <c r="M113" s="4" t="s">
        <v>129</v>
      </c>
      <c r="N113" s="4">
        <v>41180.208333333336</v>
      </c>
      <c r="O113" t="b">
        <v>0</v>
      </c>
      <c r="P113" t="b">
        <v>0</v>
      </c>
      <c r="Q113" t="s">
        <v>228</v>
      </c>
      <c r="R113" t="str" cm="1">
        <f t="array" ref="R113:S113">_xlfn.TEXTSPLIT(Q113, "/", , FALSE)</f>
        <v>publishing</v>
      </c>
      <c r="S113" t="str">
        <v>radio &amp; podcasts</v>
      </c>
    </row>
    <row r="114" spans="1:19" ht="17" x14ac:dyDescent="0.2">
      <c r="A114">
        <v>112</v>
      </c>
      <c r="B114" t="s">
        <v>369</v>
      </c>
      <c r="C114" s="3" t="s">
        <v>370</v>
      </c>
      <c r="D114">
        <v>4700</v>
      </c>
      <c r="E114">
        <v>12635</v>
      </c>
      <c r="F114" s="5">
        <f t="shared" si="1"/>
        <v>2.6882978723404256</v>
      </c>
      <c r="G114" t="s">
        <v>8</v>
      </c>
      <c r="H114">
        <v>361</v>
      </c>
      <c r="I114" t="s">
        <v>115</v>
      </c>
      <c r="J114" t="s">
        <v>116</v>
      </c>
      <c r="K114" s="4">
        <v>41875.208333333336</v>
      </c>
      <c r="L114" s="4" t="s">
        <v>54</v>
      </c>
      <c r="M114" s="4" t="s">
        <v>111</v>
      </c>
      <c r="N114" s="4">
        <v>41890.208333333336</v>
      </c>
      <c r="O114" t="b">
        <v>0</v>
      </c>
      <c r="P114" t="b">
        <v>0</v>
      </c>
      <c r="Q114" t="s">
        <v>118</v>
      </c>
      <c r="R114" t="str" cm="1">
        <f t="array" ref="R114:S114">_xlfn.TEXTSPLIT(Q114, "/", , FALSE)</f>
        <v>technology</v>
      </c>
      <c r="S114" t="str">
        <v>web</v>
      </c>
    </row>
    <row r="115" spans="1:19" ht="17" x14ac:dyDescent="0.2">
      <c r="A115">
        <v>113</v>
      </c>
      <c r="B115" t="s">
        <v>371</v>
      </c>
      <c r="C115" s="3" t="s">
        <v>372</v>
      </c>
      <c r="D115">
        <v>3300</v>
      </c>
      <c r="E115">
        <v>12437</v>
      </c>
      <c r="F115" s="5">
        <f t="shared" si="1"/>
        <v>3.7687878787878786</v>
      </c>
      <c r="G115" t="s">
        <v>8</v>
      </c>
      <c r="H115">
        <v>131</v>
      </c>
      <c r="I115" t="s">
        <v>109</v>
      </c>
      <c r="J115" t="s">
        <v>110</v>
      </c>
      <c r="K115" s="4">
        <v>42990.208333333328</v>
      </c>
      <c r="L115" s="4" t="s">
        <v>55</v>
      </c>
      <c r="M115" s="4" t="s">
        <v>134</v>
      </c>
      <c r="N115" s="4">
        <v>42997.208333333328</v>
      </c>
      <c r="O115" t="b">
        <v>0</v>
      </c>
      <c r="P115" t="b">
        <v>0</v>
      </c>
      <c r="Q115" t="s">
        <v>106</v>
      </c>
      <c r="R115" t="str" cm="1">
        <f t="array" ref="R115:S115">_xlfn.TEXTSPLIT(Q115, "/", , FALSE)</f>
        <v>food</v>
      </c>
      <c r="S115" t="str">
        <v>food trucks</v>
      </c>
    </row>
    <row r="116" spans="1:19" ht="17" x14ac:dyDescent="0.2">
      <c r="A116">
        <v>114</v>
      </c>
      <c r="B116" t="s">
        <v>373</v>
      </c>
      <c r="C116" s="3" t="s">
        <v>374</v>
      </c>
      <c r="D116">
        <v>1900</v>
      </c>
      <c r="E116">
        <v>13816</v>
      </c>
      <c r="F116" s="5">
        <f t="shared" si="1"/>
        <v>7.2715789473684209</v>
      </c>
      <c r="G116" t="s">
        <v>8</v>
      </c>
      <c r="H116">
        <v>126</v>
      </c>
      <c r="I116" t="s">
        <v>109</v>
      </c>
      <c r="J116" t="s">
        <v>110</v>
      </c>
      <c r="K116" s="4">
        <v>43564.208333333328</v>
      </c>
      <c r="L116" s="4" t="s">
        <v>50</v>
      </c>
      <c r="M116" s="4" t="s">
        <v>121</v>
      </c>
      <c r="N116" s="4">
        <v>43565.208333333328</v>
      </c>
      <c r="O116" t="b">
        <v>0</v>
      </c>
      <c r="P116" t="b">
        <v>1</v>
      </c>
      <c r="Q116" t="s">
        <v>159</v>
      </c>
      <c r="R116" t="str" cm="1">
        <f t="array" ref="R116:S116">_xlfn.TEXTSPLIT(Q116, "/", , FALSE)</f>
        <v>technology</v>
      </c>
      <c r="S116" t="str">
        <v>wearables</v>
      </c>
    </row>
    <row r="117" spans="1:19" ht="17" x14ac:dyDescent="0.2">
      <c r="A117">
        <v>115</v>
      </c>
      <c r="B117" t="s">
        <v>375</v>
      </c>
      <c r="C117" s="3" t="s">
        <v>376</v>
      </c>
      <c r="D117">
        <v>166700</v>
      </c>
      <c r="E117">
        <v>145382</v>
      </c>
      <c r="F117" s="5">
        <f t="shared" si="1"/>
        <v>0.87211757648470301</v>
      </c>
      <c r="G117" t="s">
        <v>6</v>
      </c>
      <c r="H117">
        <v>3304</v>
      </c>
      <c r="I117" t="s">
        <v>202</v>
      </c>
      <c r="J117" t="s">
        <v>203</v>
      </c>
      <c r="K117" s="4">
        <v>43056.25</v>
      </c>
      <c r="L117" s="4" t="s">
        <v>57</v>
      </c>
      <c r="M117" s="4" t="s">
        <v>134</v>
      </c>
      <c r="N117" s="4">
        <v>43091.25</v>
      </c>
      <c r="O117" t="b">
        <v>0</v>
      </c>
      <c r="P117" t="b">
        <v>0</v>
      </c>
      <c r="Q117" t="s">
        <v>214</v>
      </c>
      <c r="R117" t="str" cm="1">
        <f t="array" ref="R117:S117">_xlfn.TEXTSPLIT(Q117, "/", , FALSE)</f>
        <v>publishing</v>
      </c>
      <c r="S117" t="str">
        <v>fiction</v>
      </c>
    </row>
    <row r="118" spans="1:19" ht="34" x14ac:dyDescent="0.2">
      <c r="A118">
        <v>116</v>
      </c>
      <c r="B118" t="s">
        <v>377</v>
      </c>
      <c r="C118" s="3" t="s">
        <v>378</v>
      </c>
      <c r="D118">
        <v>7200</v>
      </c>
      <c r="E118">
        <v>6336</v>
      </c>
      <c r="F118" s="5">
        <f t="shared" si="1"/>
        <v>0.88</v>
      </c>
      <c r="G118" t="s">
        <v>6</v>
      </c>
      <c r="H118">
        <v>73</v>
      </c>
      <c r="I118" t="s">
        <v>109</v>
      </c>
      <c r="J118" t="s">
        <v>110</v>
      </c>
      <c r="K118" s="4">
        <v>42265.208333333328</v>
      </c>
      <c r="L118" s="4" t="s">
        <v>55</v>
      </c>
      <c r="M118" s="4" t="s">
        <v>105</v>
      </c>
      <c r="N118" s="4">
        <v>42266.208333333328</v>
      </c>
      <c r="O118" t="b">
        <v>0</v>
      </c>
      <c r="P118" t="b">
        <v>0</v>
      </c>
      <c r="Q118" t="s">
        <v>124</v>
      </c>
      <c r="R118" t="str" cm="1">
        <f t="array" ref="R118:S118">_xlfn.TEXTSPLIT(Q118, "/", , FALSE)</f>
        <v>theater</v>
      </c>
      <c r="S118" t="str">
        <v>plays</v>
      </c>
    </row>
    <row r="119" spans="1:19" ht="17" x14ac:dyDescent="0.2">
      <c r="A119">
        <v>117</v>
      </c>
      <c r="B119" t="s">
        <v>379</v>
      </c>
      <c r="C119" s="3" t="s">
        <v>380</v>
      </c>
      <c r="D119">
        <v>4900</v>
      </c>
      <c r="E119">
        <v>8523</v>
      </c>
      <c r="F119" s="5">
        <f t="shared" si="1"/>
        <v>1.7393877551020409</v>
      </c>
      <c r="G119" t="s">
        <v>8</v>
      </c>
      <c r="H119">
        <v>275</v>
      </c>
      <c r="I119" t="s">
        <v>109</v>
      </c>
      <c r="J119" t="s">
        <v>110</v>
      </c>
      <c r="K119" s="4">
        <v>40808.208333333336</v>
      </c>
      <c r="L119" s="4" t="s">
        <v>55</v>
      </c>
      <c r="M119" s="4" t="s">
        <v>165</v>
      </c>
      <c r="N119" s="4">
        <v>40814.208333333336</v>
      </c>
      <c r="O119" t="b">
        <v>0</v>
      </c>
      <c r="P119" t="b">
        <v>0</v>
      </c>
      <c r="Q119" t="s">
        <v>364</v>
      </c>
      <c r="R119" t="str" cm="1">
        <f t="array" ref="R119:S119">_xlfn.TEXTSPLIT(Q119, "/", , FALSE)</f>
        <v>film &amp; video</v>
      </c>
      <c r="S119" t="str">
        <v>television</v>
      </c>
    </row>
    <row r="120" spans="1:19" ht="17" x14ac:dyDescent="0.2">
      <c r="A120">
        <v>118</v>
      </c>
      <c r="B120" t="s">
        <v>381</v>
      </c>
      <c r="C120" s="3" t="s">
        <v>382</v>
      </c>
      <c r="D120">
        <v>5400</v>
      </c>
      <c r="E120">
        <v>6351</v>
      </c>
      <c r="F120" s="5">
        <f t="shared" si="1"/>
        <v>1.1761111111111111</v>
      </c>
      <c r="G120" t="s">
        <v>8</v>
      </c>
      <c r="H120">
        <v>67</v>
      </c>
      <c r="I120" t="s">
        <v>109</v>
      </c>
      <c r="J120" t="s">
        <v>110</v>
      </c>
      <c r="K120" s="4">
        <v>41665.25</v>
      </c>
      <c r="L120" s="4" t="s">
        <v>47</v>
      </c>
      <c r="M120" s="4" t="s">
        <v>111</v>
      </c>
      <c r="N120" s="4">
        <v>41671.25</v>
      </c>
      <c r="O120" t="b">
        <v>0</v>
      </c>
      <c r="P120" t="b">
        <v>0</v>
      </c>
      <c r="Q120" t="s">
        <v>217</v>
      </c>
      <c r="R120" t="str" cm="1">
        <f t="array" ref="R120:S120">_xlfn.TEXTSPLIT(Q120, "/", , FALSE)</f>
        <v>photography</v>
      </c>
      <c r="S120" t="str">
        <v>photography books</v>
      </c>
    </row>
    <row r="121" spans="1:19" ht="34" x14ac:dyDescent="0.2">
      <c r="A121">
        <v>119</v>
      </c>
      <c r="B121" t="s">
        <v>383</v>
      </c>
      <c r="C121" s="3" t="s">
        <v>384</v>
      </c>
      <c r="D121">
        <v>5000</v>
      </c>
      <c r="E121">
        <v>10748</v>
      </c>
      <c r="F121" s="5">
        <f t="shared" si="1"/>
        <v>2.1496</v>
      </c>
      <c r="G121" t="s">
        <v>8</v>
      </c>
      <c r="H121">
        <v>154</v>
      </c>
      <c r="I121" t="s">
        <v>109</v>
      </c>
      <c r="J121" t="s">
        <v>110</v>
      </c>
      <c r="K121" s="4">
        <v>41806.208333333336</v>
      </c>
      <c r="L121" s="4" t="s">
        <v>52</v>
      </c>
      <c r="M121" s="4" t="s">
        <v>111</v>
      </c>
      <c r="N121" s="4">
        <v>41823.208333333336</v>
      </c>
      <c r="O121" t="b">
        <v>0</v>
      </c>
      <c r="P121" t="b">
        <v>1</v>
      </c>
      <c r="Q121" t="s">
        <v>135</v>
      </c>
      <c r="R121" t="str" cm="1">
        <f t="array" ref="R121:S121">_xlfn.TEXTSPLIT(Q121, "/", , FALSE)</f>
        <v>film &amp; video</v>
      </c>
      <c r="S121" t="str">
        <v>documentary</v>
      </c>
    </row>
    <row r="122" spans="1:19" ht="17" x14ac:dyDescent="0.2">
      <c r="A122">
        <v>120</v>
      </c>
      <c r="B122" t="s">
        <v>385</v>
      </c>
      <c r="C122" s="3" t="s">
        <v>386</v>
      </c>
      <c r="D122">
        <v>75100</v>
      </c>
      <c r="E122">
        <v>112272</v>
      </c>
      <c r="F122" s="5">
        <f t="shared" si="1"/>
        <v>1.4949667110519307</v>
      </c>
      <c r="G122" t="s">
        <v>8</v>
      </c>
      <c r="H122">
        <v>1782</v>
      </c>
      <c r="I122" t="s">
        <v>109</v>
      </c>
      <c r="J122" t="s">
        <v>110</v>
      </c>
      <c r="K122" s="4">
        <v>42111.208333333328</v>
      </c>
      <c r="L122" s="4" t="s">
        <v>50</v>
      </c>
      <c r="M122" s="4" t="s">
        <v>105</v>
      </c>
      <c r="N122" s="4">
        <v>42115.208333333328</v>
      </c>
      <c r="O122" t="b">
        <v>0</v>
      </c>
      <c r="P122" t="b">
        <v>1</v>
      </c>
      <c r="Q122" t="s">
        <v>387</v>
      </c>
      <c r="R122" t="str" cm="1">
        <f t="array" ref="R122:S122">_xlfn.TEXTSPLIT(Q122, "/", , FALSE)</f>
        <v>games</v>
      </c>
      <c r="S122" t="str">
        <v>mobile games</v>
      </c>
    </row>
    <row r="123" spans="1:19" ht="17" x14ac:dyDescent="0.2">
      <c r="A123">
        <v>121</v>
      </c>
      <c r="B123" t="s">
        <v>388</v>
      </c>
      <c r="C123" s="3" t="s">
        <v>389</v>
      </c>
      <c r="D123">
        <v>45300</v>
      </c>
      <c r="E123">
        <v>99361</v>
      </c>
      <c r="F123" s="5">
        <f t="shared" si="1"/>
        <v>2.1933995584988963</v>
      </c>
      <c r="G123" t="s">
        <v>8</v>
      </c>
      <c r="H123">
        <v>903</v>
      </c>
      <c r="I123" t="s">
        <v>109</v>
      </c>
      <c r="J123" t="s">
        <v>110</v>
      </c>
      <c r="K123" s="4">
        <v>41917.208333333336</v>
      </c>
      <c r="L123" s="4" t="s">
        <v>56</v>
      </c>
      <c r="M123" s="4" t="s">
        <v>111</v>
      </c>
      <c r="N123" s="4">
        <v>41930.208333333336</v>
      </c>
      <c r="O123" t="b">
        <v>0</v>
      </c>
      <c r="P123" t="b">
        <v>0</v>
      </c>
      <c r="Q123" t="s">
        <v>184</v>
      </c>
      <c r="R123" t="str" cm="1">
        <f t="array" ref="R123:S123">_xlfn.TEXTSPLIT(Q123, "/", , FALSE)</f>
        <v>games</v>
      </c>
      <c r="S123" t="str">
        <v>video games</v>
      </c>
    </row>
    <row r="124" spans="1:19" ht="17" x14ac:dyDescent="0.2">
      <c r="A124">
        <v>122</v>
      </c>
      <c r="B124" t="s">
        <v>390</v>
      </c>
      <c r="C124" s="3" t="s">
        <v>391</v>
      </c>
      <c r="D124">
        <v>136800</v>
      </c>
      <c r="E124">
        <v>88055</v>
      </c>
      <c r="F124" s="5">
        <f t="shared" si="1"/>
        <v>0.64367690058479532</v>
      </c>
      <c r="G124" t="s">
        <v>6</v>
      </c>
      <c r="H124">
        <v>3387</v>
      </c>
      <c r="I124" t="s">
        <v>109</v>
      </c>
      <c r="J124" t="s">
        <v>110</v>
      </c>
      <c r="K124" s="4">
        <v>41970.25</v>
      </c>
      <c r="L124" s="4" t="s">
        <v>57</v>
      </c>
      <c r="M124" s="4" t="s">
        <v>111</v>
      </c>
      <c r="N124" s="4">
        <v>41997.25</v>
      </c>
      <c r="O124" t="b">
        <v>0</v>
      </c>
      <c r="P124" t="b">
        <v>0</v>
      </c>
      <c r="Q124" t="s">
        <v>214</v>
      </c>
      <c r="R124" t="str" cm="1">
        <f t="array" ref="R124:S124">_xlfn.TEXTSPLIT(Q124, "/", , FALSE)</f>
        <v>publishing</v>
      </c>
      <c r="S124" t="str">
        <v>fiction</v>
      </c>
    </row>
    <row r="125" spans="1:19" ht="17" x14ac:dyDescent="0.2">
      <c r="A125">
        <v>123</v>
      </c>
      <c r="B125" t="s">
        <v>392</v>
      </c>
      <c r="C125" s="3" t="s">
        <v>393</v>
      </c>
      <c r="D125">
        <v>177700</v>
      </c>
      <c r="E125">
        <v>33092</v>
      </c>
      <c r="F125" s="5">
        <f t="shared" si="1"/>
        <v>0.18622397298818233</v>
      </c>
      <c r="G125" t="s">
        <v>6</v>
      </c>
      <c r="H125">
        <v>662</v>
      </c>
      <c r="I125" t="s">
        <v>103</v>
      </c>
      <c r="J125" t="s">
        <v>104</v>
      </c>
      <c r="K125" s="4">
        <v>42332.25</v>
      </c>
      <c r="L125" s="4" t="s">
        <v>57</v>
      </c>
      <c r="M125" s="4" t="s">
        <v>105</v>
      </c>
      <c r="N125" s="4">
        <v>42335.25</v>
      </c>
      <c r="O125" t="b">
        <v>1</v>
      </c>
      <c r="P125" t="b">
        <v>0</v>
      </c>
      <c r="Q125" t="s">
        <v>124</v>
      </c>
      <c r="R125" t="str" cm="1">
        <f t="array" ref="R125:S125">_xlfn.TEXTSPLIT(Q125, "/", , FALSE)</f>
        <v>theater</v>
      </c>
      <c r="S125" t="str">
        <v>plays</v>
      </c>
    </row>
    <row r="126" spans="1:19" ht="17" x14ac:dyDescent="0.2">
      <c r="A126">
        <v>124</v>
      </c>
      <c r="B126" t="s">
        <v>394</v>
      </c>
      <c r="C126" s="3" t="s">
        <v>395</v>
      </c>
      <c r="D126">
        <v>2600</v>
      </c>
      <c r="E126">
        <v>9562</v>
      </c>
      <c r="F126" s="5">
        <f t="shared" si="1"/>
        <v>3.6776923076923076</v>
      </c>
      <c r="G126" t="s">
        <v>8</v>
      </c>
      <c r="H126">
        <v>94</v>
      </c>
      <c r="I126" t="s">
        <v>202</v>
      </c>
      <c r="J126" t="s">
        <v>203</v>
      </c>
      <c r="K126" s="4">
        <v>43598.208333333328</v>
      </c>
      <c r="L126" s="4" t="s">
        <v>51</v>
      </c>
      <c r="M126" s="4" t="s">
        <v>121</v>
      </c>
      <c r="N126" s="4">
        <v>43651.208333333328</v>
      </c>
      <c r="O126" t="b">
        <v>0</v>
      </c>
      <c r="P126" t="b">
        <v>0</v>
      </c>
      <c r="Q126" t="s">
        <v>217</v>
      </c>
      <c r="R126" t="str" cm="1">
        <f t="array" ref="R126:S126">_xlfn.TEXTSPLIT(Q126, "/", , FALSE)</f>
        <v>photography</v>
      </c>
      <c r="S126" t="str">
        <v>photography books</v>
      </c>
    </row>
    <row r="127" spans="1:19" ht="17" x14ac:dyDescent="0.2">
      <c r="A127">
        <v>125</v>
      </c>
      <c r="B127" t="s">
        <v>396</v>
      </c>
      <c r="C127" s="3" t="s">
        <v>397</v>
      </c>
      <c r="D127">
        <v>5300</v>
      </c>
      <c r="E127">
        <v>8475</v>
      </c>
      <c r="F127" s="5">
        <f t="shared" si="1"/>
        <v>1.5990566037735849</v>
      </c>
      <c r="G127" t="s">
        <v>8</v>
      </c>
      <c r="H127">
        <v>180</v>
      </c>
      <c r="I127" t="s">
        <v>109</v>
      </c>
      <c r="J127" t="s">
        <v>110</v>
      </c>
      <c r="K127" s="4">
        <v>43362.208333333328</v>
      </c>
      <c r="L127" s="4" t="s">
        <v>55</v>
      </c>
      <c r="M127" s="4" t="s">
        <v>169</v>
      </c>
      <c r="N127" s="4">
        <v>43366.208333333328</v>
      </c>
      <c r="O127" t="b">
        <v>0</v>
      </c>
      <c r="P127" t="b">
        <v>0</v>
      </c>
      <c r="Q127" t="s">
        <v>124</v>
      </c>
      <c r="R127" t="str" cm="1">
        <f t="array" ref="R127:S127">_xlfn.TEXTSPLIT(Q127, "/", , FALSE)</f>
        <v>theater</v>
      </c>
      <c r="S127" t="str">
        <v>plays</v>
      </c>
    </row>
    <row r="128" spans="1:19" ht="17" x14ac:dyDescent="0.2">
      <c r="A128">
        <v>126</v>
      </c>
      <c r="B128" t="s">
        <v>398</v>
      </c>
      <c r="C128" s="3" t="s">
        <v>399</v>
      </c>
      <c r="D128">
        <v>180200</v>
      </c>
      <c r="E128">
        <v>69617</v>
      </c>
      <c r="F128" s="5">
        <f t="shared" si="1"/>
        <v>0.38633185349611543</v>
      </c>
      <c r="G128" t="s">
        <v>6</v>
      </c>
      <c r="H128">
        <v>774</v>
      </c>
      <c r="I128" t="s">
        <v>109</v>
      </c>
      <c r="J128" t="s">
        <v>110</v>
      </c>
      <c r="K128" s="4">
        <v>42596.208333333328</v>
      </c>
      <c r="L128" s="4" t="s">
        <v>54</v>
      </c>
      <c r="M128" s="4" t="s">
        <v>153</v>
      </c>
      <c r="N128" s="4">
        <v>42624.208333333328</v>
      </c>
      <c r="O128" t="b">
        <v>0</v>
      </c>
      <c r="P128" t="b">
        <v>1</v>
      </c>
      <c r="Q128" t="s">
        <v>124</v>
      </c>
      <c r="R128" t="str" cm="1">
        <f t="array" ref="R128:S128">_xlfn.TEXTSPLIT(Q128, "/", , FALSE)</f>
        <v>theater</v>
      </c>
      <c r="S128" t="str">
        <v>plays</v>
      </c>
    </row>
    <row r="129" spans="1:19" ht="17" x14ac:dyDescent="0.2">
      <c r="A129">
        <v>127</v>
      </c>
      <c r="B129" t="s">
        <v>400</v>
      </c>
      <c r="C129" s="3" t="s">
        <v>401</v>
      </c>
      <c r="D129">
        <v>103200</v>
      </c>
      <c r="E129">
        <v>53067</v>
      </c>
      <c r="F129" s="5">
        <f t="shared" si="1"/>
        <v>0.51421511627906979</v>
      </c>
      <c r="G129" t="s">
        <v>6</v>
      </c>
      <c r="H129">
        <v>672</v>
      </c>
      <c r="I129" t="s">
        <v>103</v>
      </c>
      <c r="J129" t="s">
        <v>104</v>
      </c>
      <c r="K129" s="4">
        <v>40310.208333333336</v>
      </c>
      <c r="L129" s="4" t="s">
        <v>51</v>
      </c>
      <c r="M129" s="4" t="s">
        <v>140</v>
      </c>
      <c r="N129" s="4">
        <v>40313.208333333336</v>
      </c>
      <c r="O129" t="b">
        <v>0</v>
      </c>
      <c r="P129" t="b">
        <v>0</v>
      </c>
      <c r="Q129" t="s">
        <v>124</v>
      </c>
      <c r="R129" t="str" cm="1">
        <f t="array" ref="R129:S129">_xlfn.TEXTSPLIT(Q129, "/", , FALSE)</f>
        <v>theater</v>
      </c>
      <c r="S129" t="str">
        <v>plays</v>
      </c>
    </row>
    <row r="130" spans="1:19" ht="17" x14ac:dyDescent="0.2">
      <c r="A130">
        <v>128</v>
      </c>
      <c r="B130" t="s">
        <v>402</v>
      </c>
      <c r="C130" s="3" t="s">
        <v>403</v>
      </c>
      <c r="D130">
        <v>70600</v>
      </c>
      <c r="E130">
        <v>42596</v>
      </c>
      <c r="F130" s="5">
        <f t="shared" si="1"/>
        <v>0.60334277620396604</v>
      </c>
      <c r="G130" t="s">
        <v>5</v>
      </c>
      <c r="H130">
        <v>532</v>
      </c>
      <c r="I130" t="s">
        <v>109</v>
      </c>
      <c r="J130" t="s">
        <v>110</v>
      </c>
      <c r="K130" s="4">
        <v>40417.208333333336</v>
      </c>
      <c r="L130" s="4" t="s">
        <v>54</v>
      </c>
      <c r="M130" s="4" t="s">
        <v>140</v>
      </c>
      <c r="N130" s="4">
        <v>40430.208333333336</v>
      </c>
      <c r="O130" t="b">
        <v>0</v>
      </c>
      <c r="P130" t="b">
        <v>0</v>
      </c>
      <c r="Q130" t="s">
        <v>112</v>
      </c>
      <c r="R130" t="str" cm="1">
        <f t="array" ref="R130:S130">_xlfn.TEXTSPLIT(Q130, "/", , FALSE)</f>
        <v>music</v>
      </c>
      <c r="S130" t="str">
        <v>rock</v>
      </c>
    </row>
    <row r="131" spans="1:19" ht="17" x14ac:dyDescent="0.2">
      <c r="A131">
        <v>129</v>
      </c>
      <c r="B131" t="s">
        <v>404</v>
      </c>
      <c r="C131" s="3" t="s">
        <v>405</v>
      </c>
      <c r="D131">
        <v>148500</v>
      </c>
      <c r="E131">
        <v>4756</v>
      </c>
      <c r="F131" s="5">
        <f t="shared" ref="F131:F194" si="2">E131/D131</f>
        <v>3.2026936026936029E-2</v>
      </c>
      <c r="G131" t="s">
        <v>5</v>
      </c>
      <c r="H131">
        <v>55</v>
      </c>
      <c r="I131" t="s">
        <v>115</v>
      </c>
      <c r="J131" t="s">
        <v>116</v>
      </c>
      <c r="K131" s="4">
        <v>42038.25</v>
      </c>
      <c r="L131" s="4" t="s">
        <v>48</v>
      </c>
      <c r="M131" s="4" t="s">
        <v>105</v>
      </c>
      <c r="N131" s="4">
        <v>42063.25</v>
      </c>
      <c r="O131" t="b">
        <v>0</v>
      </c>
      <c r="P131" t="b">
        <v>0</v>
      </c>
      <c r="Q131" t="s">
        <v>106</v>
      </c>
      <c r="R131" t="str" cm="1">
        <f t="array" ref="R131:S131">_xlfn.TEXTSPLIT(Q131, "/", , FALSE)</f>
        <v>food</v>
      </c>
      <c r="S131" t="str">
        <v>food trucks</v>
      </c>
    </row>
    <row r="132" spans="1:19" ht="17" x14ac:dyDescent="0.2">
      <c r="A132">
        <v>130</v>
      </c>
      <c r="B132" t="s">
        <v>406</v>
      </c>
      <c r="C132" s="3" t="s">
        <v>407</v>
      </c>
      <c r="D132">
        <v>9600</v>
      </c>
      <c r="E132">
        <v>14925</v>
      </c>
      <c r="F132" s="5">
        <f t="shared" si="2"/>
        <v>1.5546875</v>
      </c>
      <c r="G132" t="s">
        <v>8</v>
      </c>
      <c r="H132">
        <v>533</v>
      </c>
      <c r="I132" t="s">
        <v>127</v>
      </c>
      <c r="J132" t="s">
        <v>128</v>
      </c>
      <c r="K132" s="4">
        <v>40842.208333333336</v>
      </c>
      <c r="L132" s="4" t="s">
        <v>56</v>
      </c>
      <c r="M132" s="4" t="s">
        <v>165</v>
      </c>
      <c r="N132" s="4">
        <v>40858.25</v>
      </c>
      <c r="O132" t="b">
        <v>0</v>
      </c>
      <c r="P132" t="b">
        <v>0</v>
      </c>
      <c r="Q132" t="s">
        <v>146</v>
      </c>
      <c r="R132" t="str" cm="1">
        <f t="array" ref="R132:S132">_xlfn.TEXTSPLIT(Q132, "/", , FALSE)</f>
        <v>film &amp; video</v>
      </c>
      <c r="S132" t="str">
        <v>drama</v>
      </c>
    </row>
    <row r="133" spans="1:19" ht="34" x14ac:dyDescent="0.2">
      <c r="A133">
        <v>131</v>
      </c>
      <c r="B133" t="s">
        <v>408</v>
      </c>
      <c r="C133" s="3" t="s">
        <v>409</v>
      </c>
      <c r="D133">
        <v>164700</v>
      </c>
      <c r="E133">
        <v>166116</v>
      </c>
      <c r="F133" s="5">
        <f t="shared" si="2"/>
        <v>1.0085974499089254</v>
      </c>
      <c r="G133" t="s">
        <v>8</v>
      </c>
      <c r="H133">
        <v>2443</v>
      </c>
      <c r="I133" t="s">
        <v>132</v>
      </c>
      <c r="J133" t="s">
        <v>133</v>
      </c>
      <c r="K133" s="4">
        <v>41607.25</v>
      </c>
      <c r="L133" s="4" t="s">
        <v>57</v>
      </c>
      <c r="M133" s="4" t="s">
        <v>117</v>
      </c>
      <c r="N133" s="4">
        <v>41620.25</v>
      </c>
      <c r="O133" t="b">
        <v>0</v>
      </c>
      <c r="P133" t="b">
        <v>0</v>
      </c>
      <c r="Q133" t="s">
        <v>118</v>
      </c>
      <c r="R133" t="str" cm="1">
        <f t="array" ref="R133:S133">_xlfn.TEXTSPLIT(Q133, "/", , FALSE)</f>
        <v>technology</v>
      </c>
      <c r="S133" t="str">
        <v>web</v>
      </c>
    </row>
    <row r="134" spans="1:19" ht="17" x14ac:dyDescent="0.2">
      <c r="A134">
        <v>132</v>
      </c>
      <c r="B134" t="s">
        <v>410</v>
      </c>
      <c r="C134" s="3" t="s">
        <v>411</v>
      </c>
      <c r="D134">
        <v>3300</v>
      </c>
      <c r="E134">
        <v>3834</v>
      </c>
      <c r="F134" s="5">
        <f t="shared" si="2"/>
        <v>1.1618181818181819</v>
      </c>
      <c r="G134" t="s">
        <v>8</v>
      </c>
      <c r="H134">
        <v>89</v>
      </c>
      <c r="I134" t="s">
        <v>109</v>
      </c>
      <c r="J134" t="s">
        <v>110</v>
      </c>
      <c r="K134" s="4">
        <v>43112.25</v>
      </c>
      <c r="L134" s="4" t="s">
        <v>47</v>
      </c>
      <c r="M134" s="4" t="s">
        <v>169</v>
      </c>
      <c r="N134" s="4">
        <v>43128.25</v>
      </c>
      <c r="O134" t="b">
        <v>0</v>
      </c>
      <c r="P134" t="b">
        <v>1</v>
      </c>
      <c r="Q134" t="s">
        <v>124</v>
      </c>
      <c r="R134" t="str" cm="1">
        <f t="array" ref="R134:S134">_xlfn.TEXTSPLIT(Q134, "/", , FALSE)</f>
        <v>theater</v>
      </c>
      <c r="S134" t="str">
        <v>plays</v>
      </c>
    </row>
    <row r="135" spans="1:19" ht="17" x14ac:dyDescent="0.2">
      <c r="A135">
        <v>133</v>
      </c>
      <c r="B135" t="s">
        <v>412</v>
      </c>
      <c r="C135" s="3" t="s">
        <v>413</v>
      </c>
      <c r="D135">
        <v>4500</v>
      </c>
      <c r="E135">
        <v>13985</v>
      </c>
      <c r="F135" s="5">
        <f t="shared" si="2"/>
        <v>3.1077777777777778</v>
      </c>
      <c r="G135" t="s">
        <v>8</v>
      </c>
      <c r="H135">
        <v>159</v>
      </c>
      <c r="I135" t="s">
        <v>109</v>
      </c>
      <c r="J135" t="s">
        <v>110</v>
      </c>
      <c r="K135" s="4">
        <v>40767.208333333336</v>
      </c>
      <c r="L135" s="4" t="s">
        <v>54</v>
      </c>
      <c r="M135" s="4" t="s">
        <v>165</v>
      </c>
      <c r="N135" s="4">
        <v>40789.208333333336</v>
      </c>
      <c r="O135" t="b">
        <v>0</v>
      </c>
      <c r="P135" t="b">
        <v>0</v>
      </c>
      <c r="Q135" t="s">
        <v>414</v>
      </c>
      <c r="R135" t="str" cm="1">
        <f t="array" ref="R135:S135">_xlfn.TEXTSPLIT(Q135, "/", , FALSE)</f>
        <v>music</v>
      </c>
      <c r="S135" t="str">
        <v>world music</v>
      </c>
    </row>
    <row r="136" spans="1:19" ht="17" x14ac:dyDescent="0.2">
      <c r="A136">
        <v>134</v>
      </c>
      <c r="B136" t="s">
        <v>415</v>
      </c>
      <c r="C136" s="3" t="s">
        <v>416</v>
      </c>
      <c r="D136">
        <v>99500</v>
      </c>
      <c r="E136">
        <v>89288</v>
      </c>
      <c r="F136" s="5">
        <f t="shared" si="2"/>
        <v>0.89736683417085428</v>
      </c>
      <c r="G136" t="s">
        <v>6</v>
      </c>
      <c r="H136">
        <v>940</v>
      </c>
      <c r="I136" t="s">
        <v>193</v>
      </c>
      <c r="J136" t="s">
        <v>194</v>
      </c>
      <c r="K136" s="4">
        <v>40713.208333333336</v>
      </c>
      <c r="L136" s="4" t="s">
        <v>52</v>
      </c>
      <c r="M136" s="4" t="s">
        <v>165</v>
      </c>
      <c r="N136" s="4">
        <v>40762.208333333336</v>
      </c>
      <c r="O136" t="b">
        <v>0</v>
      </c>
      <c r="P136" t="b">
        <v>1</v>
      </c>
      <c r="Q136" t="s">
        <v>135</v>
      </c>
      <c r="R136" t="str" cm="1">
        <f t="array" ref="R136:S136">_xlfn.TEXTSPLIT(Q136, "/", , FALSE)</f>
        <v>film &amp; video</v>
      </c>
      <c r="S136" t="str">
        <v>documentary</v>
      </c>
    </row>
    <row r="137" spans="1:19" ht="17" x14ac:dyDescent="0.2">
      <c r="A137">
        <v>135</v>
      </c>
      <c r="B137" t="s">
        <v>417</v>
      </c>
      <c r="C137" s="3" t="s">
        <v>418</v>
      </c>
      <c r="D137">
        <v>7700</v>
      </c>
      <c r="E137">
        <v>5488</v>
      </c>
      <c r="F137" s="5">
        <f t="shared" si="2"/>
        <v>0.71272727272727276</v>
      </c>
      <c r="G137" t="s">
        <v>6</v>
      </c>
      <c r="H137">
        <v>117</v>
      </c>
      <c r="I137" t="s">
        <v>109</v>
      </c>
      <c r="J137" t="s">
        <v>110</v>
      </c>
      <c r="K137" s="4">
        <v>41340.25</v>
      </c>
      <c r="L137" s="4" t="s">
        <v>49</v>
      </c>
      <c r="M137" s="4" t="s">
        <v>117</v>
      </c>
      <c r="N137" s="4">
        <v>41345.208333333336</v>
      </c>
      <c r="O137" t="b">
        <v>0</v>
      </c>
      <c r="P137" t="b">
        <v>1</v>
      </c>
      <c r="Q137" t="s">
        <v>124</v>
      </c>
      <c r="R137" t="str" cm="1">
        <f t="array" ref="R137:S137">_xlfn.TEXTSPLIT(Q137, "/", , FALSE)</f>
        <v>theater</v>
      </c>
      <c r="S137" t="str">
        <v>plays</v>
      </c>
    </row>
    <row r="138" spans="1:19" ht="17" x14ac:dyDescent="0.2">
      <c r="A138">
        <v>136</v>
      </c>
      <c r="B138" t="s">
        <v>419</v>
      </c>
      <c r="C138" s="3" t="s">
        <v>420</v>
      </c>
      <c r="D138">
        <v>82800</v>
      </c>
      <c r="E138">
        <v>2721</v>
      </c>
      <c r="F138" s="5">
        <f t="shared" si="2"/>
        <v>3.2862318840579711E-2</v>
      </c>
      <c r="G138" t="s">
        <v>5</v>
      </c>
      <c r="H138">
        <v>58</v>
      </c>
      <c r="I138" t="s">
        <v>109</v>
      </c>
      <c r="J138" t="s">
        <v>110</v>
      </c>
      <c r="K138" s="4">
        <v>41797.208333333336</v>
      </c>
      <c r="L138" s="4" t="s">
        <v>52</v>
      </c>
      <c r="M138" s="4" t="s">
        <v>111</v>
      </c>
      <c r="N138" s="4">
        <v>41809.208333333336</v>
      </c>
      <c r="O138" t="b">
        <v>0</v>
      </c>
      <c r="P138" t="b">
        <v>1</v>
      </c>
      <c r="Q138" t="s">
        <v>146</v>
      </c>
      <c r="R138" t="str" cm="1">
        <f t="array" ref="R138:S138">_xlfn.TEXTSPLIT(Q138, "/", , FALSE)</f>
        <v>film &amp; video</v>
      </c>
      <c r="S138" t="str">
        <v>drama</v>
      </c>
    </row>
    <row r="139" spans="1:19" ht="17" x14ac:dyDescent="0.2">
      <c r="A139">
        <v>137</v>
      </c>
      <c r="B139" t="s">
        <v>421</v>
      </c>
      <c r="C139" s="3" t="s">
        <v>422</v>
      </c>
      <c r="D139">
        <v>1800</v>
      </c>
      <c r="E139">
        <v>4712</v>
      </c>
      <c r="F139" s="5">
        <f t="shared" si="2"/>
        <v>2.617777777777778</v>
      </c>
      <c r="G139" t="s">
        <v>8</v>
      </c>
      <c r="H139">
        <v>50</v>
      </c>
      <c r="I139" t="s">
        <v>109</v>
      </c>
      <c r="J139" t="s">
        <v>110</v>
      </c>
      <c r="K139" s="4">
        <v>40457.208333333336</v>
      </c>
      <c r="L139" s="4" t="s">
        <v>56</v>
      </c>
      <c r="M139" s="4" t="s">
        <v>140</v>
      </c>
      <c r="N139" s="4">
        <v>40463.208333333336</v>
      </c>
      <c r="O139" t="b">
        <v>0</v>
      </c>
      <c r="P139" t="b">
        <v>0</v>
      </c>
      <c r="Q139" t="s">
        <v>162</v>
      </c>
      <c r="R139" t="str" cm="1">
        <f t="array" ref="R139:S139">_xlfn.TEXTSPLIT(Q139, "/", , FALSE)</f>
        <v>publishing</v>
      </c>
      <c r="S139" t="str">
        <v>nonfiction</v>
      </c>
    </row>
    <row r="140" spans="1:19" ht="34" x14ac:dyDescent="0.2">
      <c r="A140">
        <v>138</v>
      </c>
      <c r="B140" t="s">
        <v>423</v>
      </c>
      <c r="C140" s="3" t="s">
        <v>424</v>
      </c>
      <c r="D140">
        <v>9600</v>
      </c>
      <c r="E140">
        <v>9216</v>
      </c>
      <c r="F140" s="5">
        <f t="shared" si="2"/>
        <v>0.96</v>
      </c>
      <c r="G140" t="s">
        <v>6</v>
      </c>
      <c r="H140">
        <v>115</v>
      </c>
      <c r="I140" t="s">
        <v>109</v>
      </c>
      <c r="J140" t="s">
        <v>110</v>
      </c>
      <c r="K140" s="4">
        <v>41180.208333333336</v>
      </c>
      <c r="L140" s="4" t="s">
        <v>55</v>
      </c>
      <c r="M140" s="4" t="s">
        <v>129</v>
      </c>
      <c r="N140" s="4">
        <v>41186.208333333336</v>
      </c>
      <c r="O140" t="b">
        <v>0</v>
      </c>
      <c r="P140" t="b">
        <v>0</v>
      </c>
      <c r="Q140" t="s">
        <v>387</v>
      </c>
      <c r="R140" t="str" cm="1">
        <f t="array" ref="R140:S140">_xlfn.TEXTSPLIT(Q140, "/", , FALSE)</f>
        <v>games</v>
      </c>
      <c r="S140" t="str">
        <v>mobile games</v>
      </c>
    </row>
    <row r="141" spans="1:19" ht="17" x14ac:dyDescent="0.2">
      <c r="A141">
        <v>139</v>
      </c>
      <c r="B141" t="s">
        <v>425</v>
      </c>
      <c r="C141" s="3" t="s">
        <v>426</v>
      </c>
      <c r="D141">
        <v>92100</v>
      </c>
      <c r="E141">
        <v>19246</v>
      </c>
      <c r="F141" s="5">
        <f t="shared" si="2"/>
        <v>0.20896851248642778</v>
      </c>
      <c r="G141" t="s">
        <v>6</v>
      </c>
      <c r="H141">
        <v>326</v>
      </c>
      <c r="I141" t="s">
        <v>109</v>
      </c>
      <c r="J141" t="s">
        <v>110</v>
      </c>
      <c r="K141" s="4">
        <v>42115.208333333328</v>
      </c>
      <c r="L141" s="4" t="s">
        <v>50</v>
      </c>
      <c r="M141" s="4" t="s">
        <v>105</v>
      </c>
      <c r="N141" s="4">
        <v>42131.208333333328</v>
      </c>
      <c r="O141" t="b">
        <v>0</v>
      </c>
      <c r="P141" t="b">
        <v>1</v>
      </c>
      <c r="Q141" t="s">
        <v>159</v>
      </c>
      <c r="R141" t="str" cm="1">
        <f t="array" ref="R141:S141">_xlfn.TEXTSPLIT(Q141, "/", , FALSE)</f>
        <v>technology</v>
      </c>
      <c r="S141" t="str">
        <v>wearables</v>
      </c>
    </row>
    <row r="142" spans="1:19" ht="34" x14ac:dyDescent="0.2">
      <c r="A142">
        <v>140</v>
      </c>
      <c r="B142" t="s">
        <v>427</v>
      </c>
      <c r="C142" s="3" t="s">
        <v>428</v>
      </c>
      <c r="D142">
        <v>5500</v>
      </c>
      <c r="E142">
        <v>12274</v>
      </c>
      <c r="F142" s="5">
        <f t="shared" si="2"/>
        <v>2.2316363636363636</v>
      </c>
      <c r="G142" t="s">
        <v>8</v>
      </c>
      <c r="H142">
        <v>186</v>
      </c>
      <c r="I142" t="s">
        <v>109</v>
      </c>
      <c r="J142" t="s">
        <v>110</v>
      </c>
      <c r="K142" s="4">
        <v>43156.25</v>
      </c>
      <c r="L142" s="4" t="s">
        <v>48</v>
      </c>
      <c r="M142" s="4" t="s">
        <v>169</v>
      </c>
      <c r="N142" s="4">
        <v>43161.25</v>
      </c>
      <c r="O142" t="b">
        <v>0</v>
      </c>
      <c r="P142" t="b">
        <v>0</v>
      </c>
      <c r="Q142" t="s">
        <v>135</v>
      </c>
      <c r="R142" t="str" cm="1">
        <f t="array" ref="R142:S142">_xlfn.TEXTSPLIT(Q142, "/", , FALSE)</f>
        <v>film &amp; video</v>
      </c>
      <c r="S142" t="str">
        <v>documentary</v>
      </c>
    </row>
    <row r="143" spans="1:19" ht="17" x14ac:dyDescent="0.2">
      <c r="A143">
        <v>141</v>
      </c>
      <c r="B143" t="s">
        <v>429</v>
      </c>
      <c r="C143" s="3" t="s">
        <v>430</v>
      </c>
      <c r="D143">
        <v>64300</v>
      </c>
      <c r="E143">
        <v>65323</v>
      </c>
      <c r="F143" s="5">
        <f t="shared" si="2"/>
        <v>1.0159097978227061</v>
      </c>
      <c r="G143" t="s">
        <v>8</v>
      </c>
      <c r="H143">
        <v>1071</v>
      </c>
      <c r="I143" t="s">
        <v>109</v>
      </c>
      <c r="J143" t="s">
        <v>110</v>
      </c>
      <c r="K143" s="4">
        <v>42167.208333333328</v>
      </c>
      <c r="L143" s="4" t="s">
        <v>52</v>
      </c>
      <c r="M143" s="4" t="s">
        <v>105</v>
      </c>
      <c r="N143" s="4">
        <v>42173.208333333328</v>
      </c>
      <c r="O143" t="b">
        <v>0</v>
      </c>
      <c r="P143" t="b">
        <v>0</v>
      </c>
      <c r="Q143" t="s">
        <v>118</v>
      </c>
      <c r="R143" t="str" cm="1">
        <f t="array" ref="R143:S143">_xlfn.TEXTSPLIT(Q143, "/", , FALSE)</f>
        <v>technology</v>
      </c>
      <c r="S143" t="str">
        <v>web</v>
      </c>
    </row>
    <row r="144" spans="1:19" ht="34" x14ac:dyDescent="0.2">
      <c r="A144">
        <v>142</v>
      </c>
      <c r="B144" t="s">
        <v>431</v>
      </c>
      <c r="C144" s="3" t="s">
        <v>432</v>
      </c>
      <c r="D144">
        <v>5000</v>
      </c>
      <c r="E144">
        <v>11502</v>
      </c>
      <c r="F144" s="5">
        <f t="shared" si="2"/>
        <v>2.3003999999999998</v>
      </c>
      <c r="G144" t="s">
        <v>8</v>
      </c>
      <c r="H144">
        <v>117</v>
      </c>
      <c r="I144" t="s">
        <v>109</v>
      </c>
      <c r="J144" t="s">
        <v>110</v>
      </c>
      <c r="K144" s="4">
        <v>41005.208333333336</v>
      </c>
      <c r="L144" s="4" t="s">
        <v>50</v>
      </c>
      <c r="M144" s="4" t="s">
        <v>129</v>
      </c>
      <c r="N144" s="4">
        <v>41046.208333333336</v>
      </c>
      <c r="O144" t="b">
        <v>0</v>
      </c>
      <c r="P144" t="b">
        <v>0</v>
      </c>
      <c r="Q144" t="s">
        <v>118</v>
      </c>
      <c r="R144" t="str" cm="1">
        <f t="array" ref="R144:S144">_xlfn.TEXTSPLIT(Q144, "/", , FALSE)</f>
        <v>technology</v>
      </c>
      <c r="S144" t="str">
        <v>web</v>
      </c>
    </row>
    <row r="145" spans="1:19" ht="17" x14ac:dyDescent="0.2">
      <c r="A145">
        <v>143</v>
      </c>
      <c r="B145" t="s">
        <v>433</v>
      </c>
      <c r="C145" s="3" t="s">
        <v>434</v>
      </c>
      <c r="D145">
        <v>5400</v>
      </c>
      <c r="E145">
        <v>7322</v>
      </c>
      <c r="F145" s="5">
        <f t="shared" si="2"/>
        <v>1.355925925925926</v>
      </c>
      <c r="G145" t="s">
        <v>8</v>
      </c>
      <c r="H145">
        <v>70</v>
      </c>
      <c r="I145" t="s">
        <v>109</v>
      </c>
      <c r="J145" t="s">
        <v>110</v>
      </c>
      <c r="K145" s="4">
        <v>40357.208333333336</v>
      </c>
      <c r="L145" s="4" t="s">
        <v>52</v>
      </c>
      <c r="M145" s="4" t="s">
        <v>140</v>
      </c>
      <c r="N145" s="4">
        <v>40377.208333333336</v>
      </c>
      <c r="O145" t="b">
        <v>0</v>
      </c>
      <c r="P145" t="b">
        <v>0</v>
      </c>
      <c r="Q145" t="s">
        <v>154</v>
      </c>
      <c r="R145" t="str" cm="1">
        <f t="array" ref="R145:S145">_xlfn.TEXTSPLIT(Q145, "/", , FALSE)</f>
        <v>music</v>
      </c>
      <c r="S145" t="str">
        <v>indie rock</v>
      </c>
    </row>
    <row r="146" spans="1:19" ht="17" x14ac:dyDescent="0.2">
      <c r="A146">
        <v>144</v>
      </c>
      <c r="B146" t="s">
        <v>435</v>
      </c>
      <c r="C146" s="3" t="s">
        <v>436</v>
      </c>
      <c r="D146">
        <v>9000</v>
      </c>
      <c r="E146">
        <v>11619</v>
      </c>
      <c r="F146" s="5">
        <f t="shared" si="2"/>
        <v>1.2909999999999999</v>
      </c>
      <c r="G146" t="s">
        <v>8</v>
      </c>
      <c r="H146">
        <v>135</v>
      </c>
      <c r="I146" t="s">
        <v>109</v>
      </c>
      <c r="J146" t="s">
        <v>110</v>
      </c>
      <c r="K146" s="4">
        <v>43633.208333333328</v>
      </c>
      <c r="L146" s="4" t="s">
        <v>52</v>
      </c>
      <c r="M146" s="4" t="s">
        <v>121</v>
      </c>
      <c r="N146" s="4">
        <v>43641.208333333328</v>
      </c>
      <c r="O146" t="b">
        <v>0</v>
      </c>
      <c r="P146" t="b">
        <v>0</v>
      </c>
      <c r="Q146" t="s">
        <v>124</v>
      </c>
      <c r="R146" t="str" cm="1">
        <f t="array" ref="R146:S146">_xlfn.TEXTSPLIT(Q146, "/", , FALSE)</f>
        <v>theater</v>
      </c>
      <c r="S146" t="str">
        <v>plays</v>
      </c>
    </row>
    <row r="147" spans="1:19" ht="17" x14ac:dyDescent="0.2">
      <c r="A147">
        <v>145</v>
      </c>
      <c r="B147" t="s">
        <v>437</v>
      </c>
      <c r="C147" s="3" t="s">
        <v>438</v>
      </c>
      <c r="D147">
        <v>25000</v>
      </c>
      <c r="E147">
        <v>59128</v>
      </c>
      <c r="F147" s="5">
        <f t="shared" si="2"/>
        <v>2.3651200000000001</v>
      </c>
      <c r="G147" t="s">
        <v>8</v>
      </c>
      <c r="H147">
        <v>768</v>
      </c>
      <c r="I147" t="s">
        <v>193</v>
      </c>
      <c r="J147" t="s">
        <v>194</v>
      </c>
      <c r="K147" s="4">
        <v>41889.208333333336</v>
      </c>
      <c r="L147" s="4" t="s">
        <v>55</v>
      </c>
      <c r="M147" s="4" t="s">
        <v>111</v>
      </c>
      <c r="N147" s="4">
        <v>41894.208333333336</v>
      </c>
      <c r="O147" t="b">
        <v>0</v>
      </c>
      <c r="P147" t="b">
        <v>0</v>
      </c>
      <c r="Q147" t="s">
        <v>159</v>
      </c>
      <c r="R147" t="str" cm="1">
        <f t="array" ref="R147:S147">_xlfn.TEXTSPLIT(Q147, "/", , FALSE)</f>
        <v>technology</v>
      </c>
      <c r="S147" t="str">
        <v>wearables</v>
      </c>
    </row>
    <row r="148" spans="1:19" ht="34" x14ac:dyDescent="0.2">
      <c r="A148">
        <v>146</v>
      </c>
      <c r="B148" t="s">
        <v>439</v>
      </c>
      <c r="C148" s="3" t="s">
        <v>440</v>
      </c>
      <c r="D148">
        <v>8800</v>
      </c>
      <c r="E148">
        <v>1518</v>
      </c>
      <c r="F148" s="5">
        <f t="shared" si="2"/>
        <v>0.17249999999999999</v>
      </c>
      <c r="G148" t="s">
        <v>5</v>
      </c>
      <c r="H148">
        <v>51</v>
      </c>
      <c r="I148" t="s">
        <v>109</v>
      </c>
      <c r="J148" t="s">
        <v>110</v>
      </c>
      <c r="K148" s="4">
        <v>40855.25</v>
      </c>
      <c r="L148" s="4" t="s">
        <v>57</v>
      </c>
      <c r="M148" s="4" t="s">
        <v>165</v>
      </c>
      <c r="N148" s="4">
        <v>40875.25</v>
      </c>
      <c r="O148" t="b">
        <v>0</v>
      </c>
      <c r="P148" t="b">
        <v>0</v>
      </c>
      <c r="Q148" t="s">
        <v>124</v>
      </c>
      <c r="R148" t="str" cm="1">
        <f t="array" ref="R148:S148">_xlfn.TEXTSPLIT(Q148, "/", , FALSE)</f>
        <v>theater</v>
      </c>
      <c r="S148" t="str">
        <v>plays</v>
      </c>
    </row>
    <row r="149" spans="1:19" ht="34" x14ac:dyDescent="0.2">
      <c r="A149">
        <v>147</v>
      </c>
      <c r="B149" t="s">
        <v>441</v>
      </c>
      <c r="C149" s="3" t="s">
        <v>442</v>
      </c>
      <c r="D149">
        <v>8300</v>
      </c>
      <c r="E149">
        <v>9337</v>
      </c>
      <c r="F149" s="5">
        <f t="shared" si="2"/>
        <v>1.1249397590361445</v>
      </c>
      <c r="G149" t="s">
        <v>8</v>
      </c>
      <c r="H149">
        <v>199</v>
      </c>
      <c r="I149" t="s">
        <v>109</v>
      </c>
      <c r="J149" t="s">
        <v>110</v>
      </c>
      <c r="K149" s="4">
        <v>42534.208333333328</v>
      </c>
      <c r="L149" s="4" t="s">
        <v>52</v>
      </c>
      <c r="M149" s="4" t="s">
        <v>153</v>
      </c>
      <c r="N149" s="4">
        <v>42540.208333333328</v>
      </c>
      <c r="O149" t="b">
        <v>0</v>
      </c>
      <c r="P149" t="b">
        <v>1</v>
      </c>
      <c r="Q149" t="s">
        <v>124</v>
      </c>
      <c r="R149" t="str" cm="1">
        <f t="array" ref="R149:S149">_xlfn.TEXTSPLIT(Q149, "/", , FALSE)</f>
        <v>theater</v>
      </c>
      <c r="S149" t="str">
        <v>plays</v>
      </c>
    </row>
    <row r="150" spans="1:19" ht="17" x14ac:dyDescent="0.2">
      <c r="A150">
        <v>148</v>
      </c>
      <c r="B150" t="s">
        <v>443</v>
      </c>
      <c r="C150" s="3" t="s">
        <v>444</v>
      </c>
      <c r="D150">
        <v>9300</v>
      </c>
      <c r="E150">
        <v>11255</v>
      </c>
      <c r="F150" s="5">
        <f t="shared" si="2"/>
        <v>1.2102150537634409</v>
      </c>
      <c r="G150" t="s">
        <v>8</v>
      </c>
      <c r="H150">
        <v>107</v>
      </c>
      <c r="I150" t="s">
        <v>109</v>
      </c>
      <c r="J150" t="s">
        <v>110</v>
      </c>
      <c r="K150" s="4">
        <v>42941.208333333328</v>
      </c>
      <c r="L150" s="4" t="s">
        <v>53</v>
      </c>
      <c r="M150" s="4" t="s">
        <v>134</v>
      </c>
      <c r="N150" s="4">
        <v>42950.208333333328</v>
      </c>
      <c r="O150" t="b">
        <v>0</v>
      </c>
      <c r="P150" t="b">
        <v>0</v>
      </c>
      <c r="Q150" t="s">
        <v>159</v>
      </c>
      <c r="R150" t="str" cm="1">
        <f t="array" ref="R150:S150">_xlfn.TEXTSPLIT(Q150, "/", , FALSE)</f>
        <v>technology</v>
      </c>
      <c r="S150" t="str">
        <v>wearables</v>
      </c>
    </row>
    <row r="151" spans="1:19" ht="17" x14ac:dyDescent="0.2">
      <c r="A151">
        <v>149</v>
      </c>
      <c r="B151" t="s">
        <v>445</v>
      </c>
      <c r="C151" s="3" t="s">
        <v>446</v>
      </c>
      <c r="D151">
        <v>6200</v>
      </c>
      <c r="E151">
        <v>13632</v>
      </c>
      <c r="F151" s="5">
        <f t="shared" si="2"/>
        <v>2.1987096774193549</v>
      </c>
      <c r="G151" t="s">
        <v>8</v>
      </c>
      <c r="H151">
        <v>195</v>
      </c>
      <c r="I151" t="s">
        <v>109</v>
      </c>
      <c r="J151" t="s">
        <v>110</v>
      </c>
      <c r="K151" s="4">
        <v>41275.25</v>
      </c>
      <c r="L151" s="4" t="s">
        <v>47</v>
      </c>
      <c r="M151" s="4" t="s">
        <v>117</v>
      </c>
      <c r="N151" s="4">
        <v>41327.25</v>
      </c>
      <c r="O151" t="b">
        <v>0</v>
      </c>
      <c r="P151" t="b">
        <v>0</v>
      </c>
      <c r="Q151" t="s">
        <v>154</v>
      </c>
      <c r="R151" t="str" cm="1">
        <f t="array" ref="R151:S151">_xlfn.TEXTSPLIT(Q151, "/", , FALSE)</f>
        <v>music</v>
      </c>
      <c r="S151" t="str">
        <v>indie rock</v>
      </c>
    </row>
    <row r="152" spans="1:19" ht="17" x14ac:dyDescent="0.2">
      <c r="A152">
        <v>150</v>
      </c>
      <c r="B152" t="s">
        <v>447</v>
      </c>
      <c r="C152" s="3" t="s">
        <v>448</v>
      </c>
      <c r="D152">
        <v>100</v>
      </c>
      <c r="E152">
        <v>1</v>
      </c>
      <c r="F152" s="5">
        <f t="shared" si="2"/>
        <v>0.01</v>
      </c>
      <c r="G152" t="s">
        <v>6</v>
      </c>
      <c r="H152">
        <v>1</v>
      </c>
      <c r="I152" t="s">
        <v>109</v>
      </c>
      <c r="J152" t="s">
        <v>110</v>
      </c>
      <c r="K152" s="4">
        <v>43450.25</v>
      </c>
      <c r="L152" s="4" t="s">
        <v>58</v>
      </c>
      <c r="M152" s="4" t="s">
        <v>169</v>
      </c>
      <c r="N152" s="4">
        <v>43451.25</v>
      </c>
      <c r="O152" t="b">
        <v>0</v>
      </c>
      <c r="P152" t="b">
        <v>0</v>
      </c>
      <c r="Q152" t="s">
        <v>112</v>
      </c>
      <c r="R152" t="str" cm="1">
        <f t="array" ref="R152:S152">_xlfn.TEXTSPLIT(Q152, "/", , FALSE)</f>
        <v>music</v>
      </c>
      <c r="S152" t="str">
        <v>rock</v>
      </c>
    </row>
    <row r="153" spans="1:19" ht="17" x14ac:dyDescent="0.2">
      <c r="A153">
        <v>151</v>
      </c>
      <c r="B153" t="s">
        <v>449</v>
      </c>
      <c r="C153" s="3" t="s">
        <v>450</v>
      </c>
      <c r="D153">
        <v>137200</v>
      </c>
      <c r="E153">
        <v>88037</v>
      </c>
      <c r="F153" s="5">
        <f t="shared" si="2"/>
        <v>0.64166909620991253</v>
      </c>
      <c r="G153" t="s">
        <v>6</v>
      </c>
      <c r="H153">
        <v>1467</v>
      </c>
      <c r="I153" t="s">
        <v>109</v>
      </c>
      <c r="J153" t="s">
        <v>110</v>
      </c>
      <c r="K153" s="4">
        <v>41799.208333333336</v>
      </c>
      <c r="L153" s="4" t="s">
        <v>52</v>
      </c>
      <c r="M153" s="4" t="s">
        <v>111</v>
      </c>
      <c r="N153" s="4">
        <v>41850.208333333336</v>
      </c>
      <c r="O153" t="b">
        <v>0</v>
      </c>
      <c r="P153" t="b">
        <v>0</v>
      </c>
      <c r="Q153" t="s">
        <v>143</v>
      </c>
      <c r="R153" t="str" cm="1">
        <f t="array" ref="R153:S153">_xlfn.TEXTSPLIT(Q153, "/", , FALSE)</f>
        <v>music</v>
      </c>
      <c r="S153" t="str">
        <v>electric music</v>
      </c>
    </row>
    <row r="154" spans="1:19" ht="17" x14ac:dyDescent="0.2">
      <c r="A154">
        <v>152</v>
      </c>
      <c r="B154" t="s">
        <v>451</v>
      </c>
      <c r="C154" s="3" t="s">
        <v>452</v>
      </c>
      <c r="D154">
        <v>41500</v>
      </c>
      <c r="E154">
        <v>175573</v>
      </c>
      <c r="F154" s="5">
        <f t="shared" si="2"/>
        <v>4.2306746987951804</v>
      </c>
      <c r="G154" t="s">
        <v>8</v>
      </c>
      <c r="H154">
        <v>3376</v>
      </c>
      <c r="I154" t="s">
        <v>109</v>
      </c>
      <c r="J154" t="s">
        <v>110</v>
      </c>
      <c r="K154" s="4">
        <v>42783.25</v>
      </c>
      <c r="L154" s="4" t="s">
        <v>48</v>
      </c>
      <c r="M154" s="4" t="s">
        <v>134</v>
      </c>
      <c r="N154" s="4">
        <v>42790.25</v>
      </c>
      <c r="O154" t="b">
        <v>0</v>
      </c>
      <c r="P154" t="b">
        <v>0</v>
      </c>
      <c r="Q154" t="s">
        <v>154</v>
      </c>
      <c r="R154" t="str" cm="1">
        <f t="array" ref="R154:S154">_xlfn.TEXTSPLIT(Q154, "/", , FALSE)</f>
        <v>music</v>
      </c>
      <c r="S154" t="str">
        <v>indie rock</v>
      </c>
    </row>
    <row r="155" spans="1:19" ht="17" x14ac:dyDescent="0.2">
      <c r="A155">
        <v>153</v>
      </c>
      <c r="B155" t="s">
        <v>453</v>
      </c>
      <c r="C155" s="3" t="s">
        <v>454</v>
      </c>
      <c r="D155">
        <v>189400</v>
      </c>
      <c r="E155">
        <v>176112</v>
      </c>
      <c r="F155" s="5">
        <f t="shared" si="2"/>
        <v>0.92984160506863778</v>
      </c>
      <c r="G155" t="s">
        <v>6</v>
      </c>
      <c r="H155">
        <v>5681</v>
      </c>
      <c r="I155" t="s">
        <v>109</v>
      </c>
      <c r="J155" t="s">
        <v>110</v>
      </c>
      <c r="K155" s="4">
        <v>41201.208333333336</v>
      </c>
      <c r="L155" s="4" t="s">
        <v>56</v>
      </c>
      <c r="M155" s="4" t="s">
        <v>129</v>
      </c>
      <c r="N155" s="4">
        <v>41207.208333333336</v>
      </c>
      <c r="O155" t="b">
        <v>0</v>
      </c>
      <c r="P155" t="b">
        <v>0</v>
      </c>
      <c r="Q155" t="s">
        <v>124</v>
      </c>
      <c r="R155" t="str" cm="1">
        <f t="array" ref="R155:S155">_xlfn.TEXTSPLIT(Q155, "/", , FALSE)</f>
        <v>theater</v>
      </c>
      <c r="S155" t="str">
        <v>plays</v>
      </c>
    </row>
    <row r="156" spans="1:19" ht="17" x14ac:dyDescent="0.2">
      <c r="A156">
        <v>154</v>
      </c>
      <c r="B156" t="s">
        <v>455</v>
      </c>
      <c r="C156" s="3" t="s">
        <v>456</v>
      </c>
      <c r="D156">
        <v>171300</v>
      </c>
      <c r="E156">
        <v>100650</v>
      </c>
      <c r="F156" s="5">
        <f t="shared" si="2"/>
        <v>0.58756567425569173</v>
      </c>
      <c r="G156" t="s">
        <v>6</v>
      </c>
      <c r="H156">
        <v>1059</v>
      </c>
      <c r="I156" t="s">
        <v>109</v>
      </c>
      <c r="J156" t="s">
        <v>110</v>
      </c>
      <c r="K156" s="4">
        <v>42502.208333333328</v>
      </c>
      <c r="L156" s="4" t="s">
        <v>51</v>
      </c>
      <c r="M156" s="4" t="s">
        <v>153</v>
      </c>
      <c r="N156" s="4">
        <v>42525.208333333328</v>
      </c>
      <c r="O156" t="b">
        <v>0</v>
      </c>
      <c r="P156" t="b">
        <v>1</v>
      </c>
      <c r="Q156" t="s">
        <v>154</v>
      </c>
      <c r="R156" t="str" cm="1">
        <f t="array" ref="R156:S156">_xlfn.TEXTSPLIT(Q156, "/", , FALSE)</f>
        <v>music</v>
      </c>
      <c r="S156" t="str">
        <v>indie rock</v>
      </c>
    </row>
    <row r="157" spans="1:19" ht="17" x14ac:dyDescent="0.2">
      <c r="A157">
        <v>155</v>
      </c>
      <c r="B157" t="s">
        <v>457</v>
      </c>
      <c r="C157" s="3" t="s">
        <v>458</v>
      </c>
      <c r="D157">
        <v>139500</v>
      </c>
      <c r="E157">
        <v>90706</v>
      </c>
      <c r="F157" s="5">
        <f t="shared" si="2"/>
        <v>0.65022222222222226</v>
      </c>
      <c r="G157" t="s">
        <v>6</v>
      </c>
      <c r="H157">
        <v>1194</v>
      </c>
      <c r="I157" t="s">
        <v>109</v>
      </c>
      <c r="J157" t="s">
        <v>110</v>
      </c>
      <c r="K157" s="4">
        <v>40262.208333333336</v>
      </c>
      <c r="L157" s="4" t="s">
        <v>49</v>
      </c>
      <c r="M157" s="4" t="s">
        <v>140</v>
      </c>
      <c r="N157" s="4">
        <v>40277.208333333336</v>
      </c>
      <c r="O157" t="b">
        <v>0</v>
      </c>
      <c r="P157" t="b">
        <v>0</v>
      </c>
      <c r="Q157" t="s">
        <v>124</v>
      </c>
      <c r="R157" t="str" cm="1">
        <f t="array" ref="R157:S157">_xlfn.TEXTSPLIT(Q157, "/", , FALSE)</f>
        <v>theater</v>
      </c>
      <c r="S157" t="str">
        <v>plays</v>
      </c>
    </row>
    <row r="158" spans="1:19" ht="17" x14ac:dyDescent="0.2">
      <c r="A158">
        <v>156</v>
      </c>
      <c r="B158" t="s">
        <v>459</v>
      </c>
      <c r="C158" s="3" t="s">
        <v>460</v>
      </c>
      <c r="D158">
        <v>36400</v>
      </c>
      <c r="E158">
        <v>26914</v>
      </c>
      <c r="F158" s="5">
        <f t="shared" si="2"/>
        <v>0.73939560439560437</v>
      </c>
      <c r="G158" t="s">
        <v>5</v>
      </c>
      <c r="H158">
        <v>379</v>
      </c>
      <c r="I158" t="s">
        <v>115</v>
      </c>
      <c r="J158" t="s">
        <v>116</v>
      </c>
      <c r="K158" s="4">
        <v>43743.208333333328</v>
      </c>
      <c r="L158" s="4" t="s">
        <v>56</v>
      </c>
      <c r="M158" s="4" t="s">
        <v>121</v>
      </c>
      <c r="N158" s="4">
        <v>43767.208333333328</v>
      </c>
      <c r="O158" t="b">
        <v>0</v>
      </c>
      <c r="P158" t="b">
        <v>0</v>
      </c>
      <c r="Q158" t="s">
        <v>112</v>
      </c>
      <c r="R158" t="str" cm="1">
        <f t="array" ref="R158:S158">_xlfn.TEXTSPLIT(Q158, "/", , FALSE)</f>
        <v>music</v>
      </c>
      <c r="S158" t="str">
        <v>rock</v>
      </c>
    </row>
    <row r="159" spans="1:19" ht="17" x14ac:dyDescent="0.2">
      <c r="A159">
        <v>157</v>
      </c>
      <c r="B159" t="s">
        <v>461</v>
      </c>
      <c r="C159" s="3" t="s">
        <v>462</v>
      </c>
      <c r="D159">
        <v>4200</v>
      </c>
      <c r="E159">
        <v>2212</v>
      </c>
      <c r="F159" s="5">
        <f t="shared" si="2"/>
        <v>0.52666666666666662</v>
      </c>
      <c r="G159" t="s">
        <v>6</v>
      </c>
      <c r="H159">
        <v>30</v>
      </c>
      <c r="I159" t="s">
        <v>115</v>
      </c>
      <c r="J159" t="s">
        <v>116</v>
      </c>
      <c r="K159" s="4">
        <v>41638.25</v>
      </c>
      <c r="L159" s="4" t="s">
        <v>58</v>
      </c>
      <c r="M159" s="4" t="s">
        <v>117</v>
      </c>
      <c r="N159" s="4">
        <v>41650.25</v>
      </c>
      <c r="O159" t="b">
        <v>0</v>
      </c>
      <c r="P159" t="b">
        <v>0</v>
      </c>
      <c r="Q159" t="s">
        <v>217</v>
      </c>
      <c r="R159" t="str" cm="1">
        <f t="array" ref="R159:S159">_xlfn.TEXTSPLIT(Q159, "/", , FALSE)</f>
        <v>photography</v>
      </c>
      <c r="S159" t="str">
        <v>photography books</v>
      </c>
    </row>
    <row r="160" spans="1:19" ht="17" x14ac:dyDescent="0.2">
      <c r="A160">
        <v>158</v>
      </c>
      <c r="B160" t="s">
        <v>463</v>
      </c>
      <c r="C160" s="3" t="s">
        <v>464</v>
      </c>
      <c r="D160">
        <v>2100</v>
      </c>
      <c r="E160">
        <v>4640</v>
      </c>
      <c r="F160" s="5">
        <f t="shared" si="2"/>
        <v>2.2095238095238097</v>
      </c>
      <c r="G160" t="s">
        <v>8</v>
      </c>
      <c r="H160">
        <v>41</v>
      </c>
      <c r="I160" t="s">
        <v>109</v>
      </c>
      <c r="J160" t="s">
        <v>110</v>
      </c>
      <c r="K160" s="4">
        <v>42346.25</v>
      </c>
      <c r="L160" s="4" t="s">
        <v>58</v>
      </c>
      <c r="M160" s="4" t="s">
        <v>105</v>
      </c>
      <c r="N160" s="4">
        <v>42347.25</v>
      </c>
      <c r="O160" t="b">
        <v>0</v>
      </c>
      <c r="P160" t="b">
        <v>0</v>
      </c>
      <c r="Q160" t="s">
        <v>112</v>
      </c>
      <c r="R160" t="str" cm="1">
        <f t="array" ref="R160:S160">_xlfn.TEXTSPLIT(Q160, "/", , FALSE)</f>
        <v>music</v>
      </c>
      <c r="S160" t="str">
        <v>rock</v>
      </c>
    </row>
    <row r="161" spans="1:19" ht="17" x14ac:dyDescent="0.2">
      <c r="A161">
        <v>159</v>
      </c>
      <c r="B161" t="s">
        <v>465</v>
      </c>
      <c r="C161" s="3" t="s">
        <v>466</v>
      </c>
      <c r="D161">
        <v>191200</v>
      </c>
      <c r="E161">
        <v>191222</v>
      </c>
      <c r="F161" s="5">
        <f t="shared" si="2"/>
        <v>1.0001150627615063</v>
      </c>
      <c r="G161" t="s">
        <v>8</v>
      </c>
      <c r="H161">
        <v>1821</v>
      </c>
      <c r="I161" t="s">
        <v>109</v>
      </c>
      <c r="J161" t="s">
        <v>110</v>
      </c>
      <c r="K161" s="4">
        <v>43551.208333333328</v>
      </c>
      <c r="L161" s="4" t="s">
        <v>49</v>
      </c>
      <c r="M161" s="4" t="s">
        <v>121</v>
      </c>
      <c r="N161" s="4">
        <v>43569.208333333328</v>
      </c>
      <c r="O161" t="b">
        <v>0</v>
      </c>
      <c r="P161" t="b">
        <v>1</v>
      </c>
      <c r="Q161" t="s">
        <v>124</v>
      </c>
      <c r="R161" t="str" cm="1">
        <f t="array" ref="R161:S161">_xlfn.TEXTSPLIT(Q161, "/", , FALSE)</f>
        <v>theater</v>
      </c>
      <c r="S161" t="str">
        <v>plays</v>
      </c>
    </row>
    <row r="162" spans="1:19" ht="17" x14ac:dyDescent="0.2">
      <c r="A162">
        <v>160</v>
      </c>
      <c r="B162" t="s">
        <v>467</v>
      </c>
      <c r="C162" s="3" t="s">
        <v>468</v>
      </c>
      <c r="D162">
        <v>8000</v>
      </c>
      <c r="E162">
        <v>12985</v>
      </c>
      <c r="F162" s="5">
        <f t="shared" si="2"/>
        <v>1.6231249999999999</v>
      </c>
      <c r="G162" t="s">
        <v>8</v>
      </c>
      <c r="H162">
        <v>164</v>
      </c>
      <c r="I162" t="s">
        <v>109</v>
      </c>
      <c r="J162" t="s">
        <v>110</v>
      </c>
      <c r="K162" s="4">
        <v>43582.208333333328</v>
      </c>
      <c r="L162" s="4" t="s">
        <v>50</v>
      </c>
      <c r="M162" s="4" t="s">
        <v>121</v>
      </c>
      <c r="N162" s="4">
        <v>43598.208333333328</v>
      </c>
      <c r="O162" t="b">
        <v>0</v>
      </c>
      <c r="P162" t="b">
        <v>0</v>
      </c>
      <c r="Q162" t="s">
        <v>159</v>
      </c>
      <c r="R162" t="str" cm="1">
        <f t="array" ref="R162:S162">_xlfn.TEXTSPLIT(Q162, "/", , FALSE)</f>
        <v>technology</v>
      </c>
      <c r="S162" t="str">
        <v>wearables</v>
      </c>
    </row>
    <row r="163" spans="1:19" ht="34" x14ac:dyDescent="0.2">
      <c r="A163">
        <v>161</v>
      </c>
      <c r="B163" t="s">
        <v>469</v>
      </c>
      <c r="C163" s="3" t="s">
        <v>470</v>
      </c>
      <c r="D163">
        <v>5500</v>
      </c>
      <c r="E163">
        <v>4300</v>
      </c>
      <c r="F163" s="5">
        <f t="shared" si="2"/>
        <v>0.78181818181818186</v>
      </c>
      <c r="G163" t="s">
        <v>6</v>
      </c>
      <c r="H163">
        <v>75</v>
      </c>
      <c r="I163" t="s">
        <v>109</v>
      </c>
      <c r="J163" t="s">
        <v>110</v>
      </c>
      <c r="K163" s="4">
        <v>42270.208333333328</v>
      </c>
      <c r="L163" s="4" t="s">
        <v>55</v>
      </c>
      <c r="M163" s="4" t="s">
        <v>105</v>
      </c>
      <c r="N163" s="4">
        <v>42276.208333333328</v>
      </c>
      <c r="O163" t="b">
        <v>0</v>
      </c>
      <c r="P163" t="b">
        <v>1</v>
      </c>
      <c r="Q163" t="s">
        <v>118</v>
      </c>
      <c r="R163" t="str" cm="1">
        <f t="array" ref="R163:S163">_xlfn.TEXTSPLIT(Q163, "/", , FALSE)</f>
        <v>technology</v>
      </c>
      <c r="S163" t="str">
        <v>web</v>
      </c>
    </row>
    <row r="164" spans="1:19" ht="34" x14ac:dyDescent="0.2">
      <c r="A164">
        <v>162</v>
      </c>
      <c r="B164" t="s">
        <v>471</v>
      </c>
      <c r="C164" s="3" t="s">
        <v>472</v>
      </c>
      <c r="D164">
        <v>6100</v>
      </c>
      <c r="E164">
        <v>9134</v>
      </c>
      <c r="F164" s="5">
        <f t="shared" si="2"/>
        <v>1.4973770491803278</v>
      </c>
      <c r="G164" t="s">
        <v>8</v>
      </c>
      <c r="H164">
        <v>157</v>
      </c>
      <c r="I164" t="s">
        <v>193</v>
      </c>
      <c r="J164" t="s">
        <v>194</v>
      </c>
      <c r="K164" s="4">
        <v>43442.25</v>
      </c>
      <c r="L164" s="4" t="s">
        <v>58</v>
      </c>
      <c r="M164" s="4" t="s">
        <v>169</v>
      </c>
      <c r="N164" s="4">
        <v>43472.25</v>
      </c>
      <c r="O164" t="b">
        <v>0</v>
      </c>
      <c r="P164" t="b">
        <v>0</v>
      </c>
      <c r="Q164" t="s">
        <v>112</v>
      </c>
      <c r="R164" t="str" cm="1">
        <f t="array" ref="R164:S164">_xlfn.TEXTSPLIT(Q164, "/", , FALSE)</f>
        <v>music</v>
      </c>
      <c r="S164" t="str">
        <v>rock</v>
      </c>
    </row>
    <row r="165" spans="1:19" ht="17" x14ac:dyDescent="0.2">
      <c r="A165">
        <v>163</v>
      </c>
      <c r="B165" t="s">
        <v>473</v>
      </c>
      <c r="C165" s="3" t="s">
        <v>474</v>
      </c>
      <c r="D165">
        <v>3500</v>
      </c>
      <c r="E165">
        <v>8864</v>
      </c>
      <c r="F165" s="5">
        <f t="shared" si="2"/>
        <v>2.5325714285714285</v>
      </c>
      <c r="G165" t="s">
        <v>8</v>
      </c>
      <c r="H165">
        <v>246</v>
      </c>
      <c r="I165" t="s">
        <v>109</v>
      </c>
      <c r="J165" t="s">
        <v>110</v>
      </c>
      <c r="K165" s="4">
        <v>43028.208333333328</v>
      </c>
      <c r="L165" s="4" t="s">
        <v>56</v>
      </c>
      <c r="M165" s="4" t="s">
        <v>134</v>
      </c>
      <c r="N165" s="4">
        <v>43077.25</v>
      </c>
      <c r="O165" t="b">
        <v>0</v>
      </c>
      <c r="P165" t="b">
        <v>1</v>
      </c>
      <c r="Q165" t="s">
        <v>217</v>
      </c>
      <c r="R165" t="str" cm="1">
        <f t="array" ref="R165:S165">_xlfn.TEXTSPLIT(Q165, "/", , FALSE)</f>
        <v>photography</v>
      </c>
      <c r="S165" t="str">
        <v>photography books</v>
      </c>
    </row>
    <row r="166" spans="1:19" ht="17" x14ac:dyDescent="0.2">
      <c r="A166">
        <v>164</v>
      </c>
      <c r="B166" t="s">
        <v>475</v>
      </c>
      <c r="C166" s="3" t="s">
        <v>476</v>
      </c>
      <c r="D166">
        <v>150500</v>
      </c>
      <c r="E166">
        <v>150755</v>
      </c>
      <c r="F166" s="5">
        <f t="shared" si="2"/>
        <v>1.0016943521594683</v>
      </c>
      <c r="G166" t="s">
        <v>8</v>
      </c>
      <c r="H166">
        <v>1396</v>
      </c>
      <c r="I166" t="s">
        <v>109</v>
      </c>
      <c r="J166" t="s">
        <v>110</v>
      </c>
      <c r="K166" s="4">
        <v>43016.208333333328</v>
      </c>
      <c r="L166" s="4" t="s">
        <v>56</v>
      </c>
      <c r="M166" s="4" t="s">
        <v>134</v>
      </c>
      <c r="N166" s="4">
        <v>43017.208333333328</v>
      </c>
      <c r="O166" t="b">
        <v>0</v>
      </c>
      <c r="P166" t="b">
        <v>0</v>
      </c>
      <c r="Q166" t="s">
        <v>124</v>
      </c>
      <c r="R166" t="str" cm="1">
        <f t="array" ref="R166:S166">_xlfn.TEXTSPLIT(Q166, "/", , FALSE)</f>
        <v>theater</v>
      </c>
      <c r="S166" t="str">
        <v>plays</v>
      </c>
    </row>
    <row r="167" spans="1:19" ht="17" x14ac:dyDescent="0.2">
      <c r="A167">
        <v>165</v>
      </c>
      <c r="B167" t="s">
        <v>477</v>
      </c>
      <c r="C167" s="3" t="s">
        <v>478</v>
      </c>
      <c r="D167">
        <v>90400</v>
      </c>
      <c r="E167">
        <v>110279</v>
      </c>
      <c r="F167" s="5">
        <f t="shared" si="2"/>
        <v>1.2199004424778761</v>
      </c>
      <c r="G167" t="s">
        <v>8</v>
      </c>
      <c r="H167">
        <v>2506</v>
      </c>
      <c r="I167" t="s">
        <v>109</v>
      </c>
      <c r="J167" t="s">
        <v>110</v>
      </c>
      <c r="K167" s="4">
        <v>42948.208333333328</v>
      </c>
      <c r="L167" s="4" t="s">
        <v>54</v>
      </c>
      <c r="M167" s="4" t="s">
        <v>134</v>
      </c>
      <c r="N167" s="4">
        <v>42980.208333333328</v>
      </c>
      <c r="O167" t="b">
        <v>0</v>
      </c>
      <c r="P167" t="b">
        <v>0</v>
      </c>
      <c r="Q167" t="s">
        <v>118</v>
      </c>
      <c r="R167" t="str" cm="1">
        <f t="array" ref="R167:S167">_xlfn.TEXTSPLIT(Q167, "/", , FALSE)</f>
        <v>technology</v>
      </c>
      <c r="S167" t="str">
        <v>web</v>
      </c>
    </row>
    <row r="168" spans="1:19" ht="17" x14ac:dyDescent="0.2">
      <c r="A168">
        <v>166</v>
      </c>
      <c r="B168" t="s">
        <v>479</v>
      </c>
      <c r="C168" s="3" t="s">
        <v>480</v>
      </c>
      <c r="D168">
        <v>9800</v>
      </c>
      <c r="E168">
        <v>13439</v>
      </c>
      <c r="F168" s="5">
        <f t="shared" si="2"/>
        <v>1.3713265306122449</v>
      </c>
      <c r="G168" t="s">
        <v>8</v>
      </c>
      <c r="H168">
        <v>244</v>
      </c>
      <c r="I168" t="s">
        <v>109</v>
      </c>
      <c r="J168" t="s">
        <v>110</v>
      </c>
      <c r="K168" s="4">
        <v>40534.25</v>
      </c>
      <c r="L168" s="4" t="s">
        <v>58</v>
      </c>
      <c r="M168" s="4" t="s">
        <v>140</v>
      </c>
      <c r="N168" s="4">
        <v>40538.25</v>
      </c>
      <c r="O168" t="b">
        <v>0</v>
      </c>
      <c r="P168" t="b">
        <v>0</v>
      </c>
      <c r="Q168" t="s">
        <v>217</v>
      </c>
      <c r="R168" t="str" cm="1">
        <f t="array" ref="R168:S168">_xlfn.TEXTSPLIT(Q168, "/", , FALSE)</f>
        <v>photography</v>
      </c>
      <c r="S168" t="str">
        <v>photography books</v>
      </c>
    </row>
    <row r="169" spans="1:19" ht="17" x14ac:dyDescent="0.2">
      <c r="A169">
        <v>167</v>
      </c>
      <c r="B169" t="s">
        <v>481</v>
      </c>
      <c r="C169" s="3" t="s">
        <v>482</v>
      </c>
      <c r="D169">
        <v>2600</v>
      </c>
      <c r="E169">
        <v>10804</v>
      </c>
      <c r="F169" s="5">
        <f t="shared" si="2"/>
        <v>4.155384615384615</v>
      </c>
      <c r="G169" t="s">
        <v>8</v>
      </c>
      <c r="H169">
        <v>146</v>
      </c>
      <c r="I169" t="s">
        <v>115</v>
      </c>
      <c r="J169" t="s">
        <v>116</v>
      </c>
      <c r="K169" s="4">
        <v>41435.208333333336</v>
      </c>
      <c r="L169" s="4" t="s">
        <v>52</v>
      </c>
      <c r="M169" s="4" t="s">
        <v>117</v>
      </c>
      <c r="N169" s="4">
        <v>41445.208333333336</v>
      </c>
      <c r="O169" t="b">
        <v>0</v>
      </c>
      <c r="P169" t="b">
        <v>0</v>
      </c>
      <c r="Q169" t="s">
        <v>124</v>
      </c>
      <c r="R169" t="str" cm="1">
        <f t="array" ref="R169:S169">_xlfn.TEXTSPLIT(Q169, "/", , FALSE)</f>
        <v>theater</v>
      </c>
      <c r="S169" t="str">
        <v>plays</v>
      </c>
    </row>
    <row r="170" spans="1:19" ht="17" x14ac:dyDescent="0.2">
      <c r="A170">
        <v>168</v>
      </c>
      <c r="B170" t="s">
        <v>483</v>
      </c>
      <c r="C170" s="3" t="s">
        <v>484</v>
      </c>
      <c r="D170">
        <v>128100</v>
      </c>
      <c r="E170">
        <v>40107</v>
      </c>
      <c r="F170" s="5">
        <f t="shared" si="2"/>
        <v>0.3130913348946136</v>
      </c>
      <c r="G170" t="s">
        <v>6</v>
      </c>
      <c r="H170">
        <v>955</v>
      </c>
      <c r="I170" t="s">
        <v>127</v>
      </c>
      <c r="J170" t="s">
        <v>128</v>
      </c>
      <c r="K170" s="4">
        <v>43518.25</v>
      </c>
      <c r="L170" s="4" t="s">
        <v>48</v>
      </c>
      <c r="M170" s="4" t="s">
        <v>121</v>
      </c>
      <c r="N170" s="4">
        <v>43541.208333333328</v>
      </c>
      <c r="O170" t="b">
        <v>0</v>
      </c>
      <c r="P170" t="b">
        <v>1</v>
      </c>
      <c r="Q170" t="s">
        <v>154</v>
      </c>
      <c r="R170" t="str" cm="1">
        <f t="array" ref="R170:S170">_xlfn.TEXTSPLIT(Q170, "/", , FALSE)</f>
        <v>music</v>
      </c>
      <c r="S170" t="str">
        <v>indie rock</v>
      </c>
    </row>
    <row r="171" spans="1:19" ht="17" x14ac:dyDescent="0.2">
      <c r="A171">
        <v>169</v>
      </c>
      <c r="B171" t="s">
        <v>485</v>
      </c>
      <c r="C171" s="3" t="s">
        <v>486</v>
      </c>
      <c r="D171">
        <v>23300</v>
      </c>
      <c r="E171">
        <v>98811</v>
      </c>
      <c r="F171" s="5">
        <f t="shared" si="2"/>
        <v>4.240815450643777</v>
      </c>
      <c r="G171" t="s">
        <v>8</v>
      </c>
      <c r="H171">
        <v>1267</v>
      </c>
      <c r="I171" t="s">
        <v>109</v>
      </c>
      <c r="J171" t="s">
        <v>110</v>
      </c>
      <c r="K171" s="4">
        <v>41077.208333333336</v>
      </c>
      <c r="L171" s="4" t="s">
        <v>52</v>
      </c>
      <c r="M171" s="4" t="s">
        <v>129</v>
      </c>
      <c r="N171" s="4">
        <v>41105.208333333336</v>
      </c>
      <c r="O171" t="b">
        <v>0</v>
      </c>
      <c r="P171" t="b">
        <v>1</v>
      </c>
      <c r="Q171" t="s">
        <v>195</v>
      </c>
      <c r="R171" t="str" cm="1">
        <f t="array" ref="R171:S171">_xlfn.TEXTSPLIT(Q171, "/", , FALSE)</f>
        <v>film &amp; video</v>
      </c>
      <c r="S171" t="str">
        <v>shorts</v>
      </c>
    </row>
    <row r="172" spans="1:19" ht="17" x14ac:dyDescent="0.2">
      <c r="A172">
        <v>170</v>
      </c>
      <c r="B172" t="s">
        <v>487</v>
      </c>
      <c r="C172" s="3" t="s">
        <v>488</v>
      </c>
      <c r="D172">
        <v>188100</v>
      </c>
      <c r="E172">
        <v>5528</v>
      </c>
      <c r="F172" s="5">
        <f t="shared" si="2"/>
        <v>2.9388623072833599E-2</v>
      </c>
      <c r="G172" t="s">
        <v>6</v>
      </c>
      <c r="H172">
        <v>67</v>
      </c>
      <c r="I172" t="s">
        <v>109</v>
      </c>
      <c r="J172" t="s">
        <v>110</v>
      </c>
      <c r="K172" s="4">
        <v>42950.208333333328</v>
      </c>
      <c r="L172" s="4" t="s">
        <v>54</v>
      </c>
      <c r="M172" s="4" t="s">
        <v>134</v>
      </c>
      <c r="N172" s="4">
        <v>42957.208333333328</v>
      </c>
      <c r="O172" t="b">
        <v>0</v>
      </c>
      <c r="P172" t="b">
        <v>0</v>
      </c>
      <c r="Q172" t="s">
        <v>154</v>
      </c>
      <c r="R172" t="str" cm="1">
        <f t="array" ref="R172:S172">_xlfn.TEXTSPLIT(Q172, "/", , FALSE)</f>
        <v>music</v>
      </c>
      <c r="S172" t="str">
        <v>indie rock</v>
      </c>
    </row>
    <row r="173" spans="1:19" ht="34" x14ac:dyDescent="0.2">
      <c r="A173">
        <v>171</v>
      </c>
      <c r="B173" t="s">
        <v>489</v>
      </c>
      <c r="C173" s="3" t="s">
        <v>490</v>
      </c>
      <c r="D173">
        <v>4900</v>
      </c>
      <c r="E173">
        <v>521</v>
      </c>
      <c r="F173" s="5">
        <f t="shared" si="2"/>
        <v>0.1063265306122449</v>
      </c>
      <c r="G173" t="s">
        <v>6</v>
      </c>
      <c r="H173">
        <v>5</v>
      </c>
      <c r="I173" t="s">
        <v>109</v>
      </c>
      <c r="J173" t="s">
        <v>110</v>
      </c>
      <c r="K173" s="4">
        <v>41718.208333333336</v>
      </c>
      <c r="L173" s="4" t="s">
        <v>49</v>
      </c>
      <c r="M173" s="4" t="s">
        <v>111</v>
      </c>
      <c r="N173" s="4">
        <v>41740.208333333336</v>
      </c>
      <c r="O173" t="b">
        <v>0</v>
      </c>
      <c r="P173" t="b">
        <v>0</v>
      </c>
      <c r="Q173" t="s">
        <v>301</v>
      </c>
      <c r="R173" t="str" cm="1">
        <f t="array" ref="R173:S173">_xlfn.TEXTSPLIT(Q173, "/", , FALSE)</f>
        <v>publishing</v>
      </c>
      <c r="S173" t="str">
        <v>translations</v>
      </c>
    </row>
    <row r="174" spans="1:19" ht="17" x14ac:dyDescent="0.2">
      <c r="A174">
        <v>172</v>
      </c>
      <c r="B174" t="s">
        <v>491</v>
      </c>
      <c r="C174" s="3" t="s">
        <v>492</v>
      </c>
      <c r="D174">
        <v>800</v>
      </c>
      <c r="E174">
        <v>663</v>
      </c>
      <c r="F174" s="5">
        <f t="shared" si="2"/>
        <v>0.82874999999999999</v>
      </c>
      <c r="G174" t="s">
        <v>6</v>
      </c>
      <c r="H174">
        <v>26</v>
      </c>
      <c r="I174" t="s">
        <v>109</v>
      </c>
      <c r="J174" t="s">
        <v>110</v>
      </c>
      <c r="K174" s="4">
        <v>41839.208333333336</v>
      </c>
      <c r="L174" s="4" t="s">
        <v>53</v>
      </c>
      <c r="M174" s="4" t="s">
        <v>111</v>
      </c>
      <c r="N174" s="4">
        <v>41854.208333333336</v>
      </c>
      <c r="O174" t="b">
        <v>0</v>
      </c>
      <c r="P174" t="b">
        <v>1</v>
      </c>
      <c r="Q174" t="s">
        <v>135</v>
      </c>
      <c r="R174" t="str" cm="1">
        <f t="array" ref="R174:S174">_xlfn.TEXTSPLIT(Q174, "/", , FALSE)</f>
        <v>film &amp; video</v>
      </c>
      <c r="S174" t="str">
        <v>documentary</v>
      </c>
    </row>
    <row r="175" spans="1:19" ht="34" x14ac:dyDescent="0.2">
      <c r="A175">
        <v>173</v>
      </c>
      <c r="B175" t="s">
        <v>493</v>
      </c>
      <c r="C175" s="3" t="s">
        <v>494</v>
      </c>
      <c r="D175">
        <v>96700</v>
      </c>
      <c r="E175">
        <v>157635</v>
      </c>
      <c r="F175" s="5">
        <f t="shared" si="2"/>
        <v>1.6301447776628748</v>
      </c>
      <c r="G175" t="s">
        <v>8</v>
      </c>
      <c r="H175">
        <v>1561</v>
      </c>
      <c r="I175" t="s">
        <v>109</v>
      </c>
      <c r="J175" t="s">
        <v>110</v>
      </c>
      <c r="K175" s="4">
        <v>41412.208333333336</v>
      </c>
      <c r="L175" s="4" t="s">
        <v>51</v>
      </c>
      <c r="M175" s="4" t="s">
        <v>117</v>
      </c>
      <c r="N175" s="4">
        <v>41418.208333333336</v>
      </c>
      <c r="O175" t="b">
        <v>0</v>
      </c>
      <c r="P175" t="b">
        <v>0</v>
      </c>
      <c r="Q175" t="s">
        <v>124</v>
      </c>
      <c r="R175" t="str" cm="1">
        <f t="array" ref="R175:S175">_xlfn.TEXTSPLIT(Q175, "/", , FALSE)</f>
        <v>theater</v>
      </c>
      <c r="S175" t="str">
        <v>plays</v>
      </c>
    </row>
    <row r="176" spans="1:19" ht="17" x14ac:dyDescent="0.2">
      <c r="A176">
        <v>174</v>
      </c>
      <c r="B176" t="s">
        <v>495</v>
      </c>
      <c r="C176" s="3" t="s">
        <v>496</v>
      </c>
      <c r="D176">
        <v>600</v>
      </c>
      <c r="E176">
        <v>5368</v>
      </c>
      <c r="F176" s="5">
        <f t="shared" si="2"/>
        <v>8.9466666666666672</v>
      </c>
      <c r="G176" t="s">
        <v>8</v>
      </c>
      <c r="H176">
        <v>48</v>
      </c>
      <c r="I176" t="s">
        <v>109</v>
      </c>
      <c r="J176" t="s">
        <v>110</v>
      </c>
      <c r="K176" s="4">
        <v>42282.208333333328</v>
      </c>
      <c r="L176" s="4" t="s">
        <v>56</v>
      </c>
      <c r="M176" s="4" t="s">
        <v>105</v>
      </c>
      <c r="N176" s="4">
        <v>42283.208333333328</v>
      </c>
      <c r="O176" t="b">
        <v>0</v>
      </c>
      <c r="P176" t="b">
        <v>1</v>
      </c>
      <c r="Q176" t="s">
        <v>159</v>
      </c>
      <c r="R176" t="str" cm="1">
        <f t="array" ref="R176:S176">_xlfn.TEXTSPLIT(Q176, "/", , FALSE)</f>
        <v>technology</v>
      </c>
      <c r="S176" t="str">
        <v>wearables</v>
      </c>
    </row>
    <row r="177" spans="1:19" ht="17" x14ac:dyDescent="0.2">
      <c r="A177">
        <v>175</v>
      </c>
      <c r="B177" t="s">
        <v>497</v>
      </c>
      <c r="C177" s="3" t="s">
        <v>498</v>
      </c>
      <c r="D177">
        <v>181200</v>
      </c>
      <c r="E177">
        <v>47459</v>
      </c>
      <c r="F177" s="5">
        <f t="shared" si="2"/>
        <v>0.26191501103752757</v>
      </c>
      <c r="G177" t="s">
        <v>6</v>
      </c>
      <c r="H177">
        <v>1130</v>
      </c>
      <c r="I177" t="s">
        <v>109</v>
      </c>
      <c r="J177" t="s">
        <v>110</v>
      </c>
      <c r="K177" s="4">
        <v>42613.208333333328</v>
      </c>
      <c r="L177" s="4" t="s">
        <v>54</v>
      </c>
      <c r="M177" s="4" t="s">
        <v>153</v>
      </c>
      <c r="N177" s="4">
        <v>42632.208333333328</v>
      </c>
      <c r="O177" t="b">
        <v>0</v>
      </c>
      <c r="P177" t="b">
        <v>0</v>
      </c>
      <c r="Q177" t="s">
        <v>124</v>
      </c>
      <c r="R177" t="str" cm="1">
        <f t="array" ref="R177:S177">_xlfn.TEXTSPLIT(Q177, "/", , FALSE)</f>
        <v>theater</v>
      </c>
      <c r="S177" t="str">
        <v>plays</v>
      </c>
    </row>
    <row r="178" spans="1:19" ht="34" x14ac:dyDescent="0.2">
      <c r="A178">
        <v>176</v>
      </c>
      <c r="B178" t="s">
        <v>499</v>
      </c>
      <c r="C178" s="3" t="s">
        <v>500</v>
      </c>
      <c r="D178">
        <v>115000</v>
      </c>
      <c r="E178">
        <v>86060</v>
      </c>
      <c r="F178" s="5">
        <f t="shared" si="2"/>
        <v>0.74834782608695649</v>
      </c>
      <c r="G178" t="s">
        <v>6</v>
      </c>
      <c r="H178">
        <v>782</v>
      </c>
      <c r="I178" t="s">
        <v>109</v>
      </c>
      <c r="J178" t="s">
        <v>110</v>
      </c>
      <c r="K178" s="4">
        <v>42616.208333333328</v>
      </c>
      <c r="L178" s="4" t="s">
        <v>55</v>
      </c>
      <c r="M178" s="4" t="s">
        <v>153</v>
      </c>
      <c r="N178" s="4">
        <v>42625.208333333328</v>
      </c>
      <c r="O178" t="b">
        <v>0</v>
      </c>
      <c r="P178" t="b">
        <v>0</v>
      </c>
      <c r="Q178" t="s">
        <v>124</v>
      </c>
      <c r="R178" t="str" cm="1">
        <f t="array" ref="R178:S178">_xlfn.TEXTSPLIT(Q178, "/", , FALSE)</f>
        <v>theater</v>
      </c>
      <c r="S178" t="str">
        <v>plays</v>
      </c>
    </row>
    <row r="179" spans="1:19" ht="17" x14ac:dyDescent="0.2">
      <c r="A179">
        <v>177</v>
      </c>
      <c r="B179" t="s">
        <v>501</v>
      </c>
      <c r="C179" s="3" t="s">
        <v>502</v>
      </c>
      <c r="D179">
        <v>38800</v>
      </c>
      <c r="E179">
        <v>161593</v>
      </c>
      <c r="F179" s="5">
        <f t="shared" si="2"/>
        <v>4.1647680412371137</v>
      </c>
      <c r="G179" t="s">
        <v>8</v>
      </c>
      <c r="H179">
        <v>2739</v>
      </c>
      <c r="I179" t="s">
        <v>109</v>
      </c>
      <c r="J179" t="s">
        <v>110</v>
      </c>
      <c r="K179" s="4">
        <v>40497.25</v>
      </c>
      <c r="L179" s="4" t="s">
        <v>57</v>
      </c>
      <c r="M179" s="4" t="s">
        <v>140</v>
      </c>
      <c r="N179" s="4">
        <v>40522.25</v>
      </c>
      <c r="O179" t="b">
        <v>0</v>
      </c>
      <c r="P179" t="b">
        <v>0</v>
      </c>
      <c r="Q179" t="s">
        <v>124</v>
      </c>
      <c r="R179" t="str" cm="1">
        <f t="array" ref="R179:S179">_xlfn.TEXTSPLIT(Q179, "/", , FALSE)</f>
        <v>theater</v>
      </c>
      <c r="S179" t="str">
        <v>plays</v>
      </c>
    </row>
    <row r="180" spans="1:19" ht="17" x14ac:dyDescent="0.2">
      <c r="A180">
        <v>178</v>
      </c>
      <c r="B180" t="s">
        <v>503</v>
      </c>
      <c r="C180" s="3" t="s">
        <v>504</v>
      </c>
      <c r="D180">
        <v>7200</v>
      </c>
      <c r="E180">
        <v>6927</v>
      </c>
      <c r="F180" s="5">
        <f t="shared" si="2"/>
        <v>0.96208333333333329</v>
      </c>
      <c r="G180" t="s">
        <v>6</v>
      </c>
      <c r="H180">
        <v>210</v>
      </c>
      <c r="I180" t="s">
        <v>109</v>
      </c>
      <c r="J180" t="s">
        <v>110</v>
      </c>
      <c r="K180" s="4">
        <v>42999.208333333328</v>
      </c>
      <c r="L180" s="4" t="s">
        <v>55</v>
      </c>
      <c r="M180" s="4" t="s">
        <v>134</v>
      </c>
      <c r="N180" s="4">
        <v>43008.208333333328</v>
      </c>
      <c r="O180" t="b">
        <v>0</v>
      </c>
      <c r="P180" t="b">
        <v>0</v>
      </c>
      <c r="Q180" t="s">
        <v>106</v>
      </c>
      <c r="R180" t="str" cm="1">
        <f t="array" ref="R180:S180">_xlfn.TEXTSPLIT(Q180, "/", , FALSE)</f>
        <v>food</v>
      </c>
      <c r="S180" t="str">
        <v>food trucks</v>
      </c>
    </row>
    <row r="181" spans="1:19" ht="34" x14ac:dyDescent="0.2">
      <c r="A181">
        <v>179</v>
      </c>
      <c r="B181" t="s">
        <v>505</v>
      </c>
      <c r="C181" s="3" t="s">
        <v>506</v>
      </c>
      <c r="D181">
        <v>44500</v>
      </c>
      <c r="E181">
        <v>159185</v>
      </c>
      <c r="F181" s="5">
        <f t="shared" si="2"/>
        <v>3.5771910112359548</v>
      </c>
      <c r="G181" t="s">
        <v>8</v>
      </c>
      <c r="H181">
        <v>3537</v>
      </c>
      <c r="I181" t="s">
        <v>103</v>
      </c>
      <c r="J181" t="s">
        <v>104</v>
      </c>
      <c r="K181" s="4">
        <v>41350.208333333336</v>
      </c>
      <c r="L181" s="4" t="s">
        <v>49</v>
      </c>
      <c r="M181" s="4" t="s">
        <v>117</v>
      </c>
      <c r="N181" s="4">
        <v>41351.208333333336</v>
      </c>
      <c r="O181" t="b">
        <v>0</v>
      </c>
      <c r="P181" t="b">
        <v>1</v>
      </c>
      <c r="Q181" t="s">
        <v>124</v>
      </c>
      <c r="R181" t="str" cm="1">
        <f t="array" ref="R181:S181">_xlfn.TEXTSPLIT(Q181, "/", , FALSE)</f>
        <v>theater</v>
      </c>
      <c r="S181" t="str">
        <v>plays</v>
      </c>
    </row>
    <row r="182" spans="1:19" ht="17" x14ac:dyDescent="0.2">
      <c r="A182">
        <v>180</v>
      </c>
      <c r="B182" t="s">
        <v>507</v>
      </c>
      <c r="C182" s="3" t="s">
        <v>508</v>
      </c>
      <c r="D182">
        <v>56000</v>
      </c>
      <c r="E182">
        <v>172736</v>
      </c>
      <c r="F182" s="5">
        <f t="shared" si="2"/>
        <v>3.0845714285714285</v>
      </c>
      <c r="G182" t="s">
        <v>8</v>
      </c>
      <c r="H182">
        <v>2107</v>
      </c>
      <c r="I182" t="s">
        <v>115</v>
      </c>
      <c r="J182" t="s">
        <v>116</v>
      </c>
      <c r="K182" s="4">
        <v>40259.208333333336</v>
      </c>
      <c r="L182" s="4" t="s">
        <v>49</v>
      </c>
      <c r="M182" s="4" t="s">
        <v>140</v>
      </c>
      <c r="N182" s="4">
        <v>40264.208333333336</v>
      </c>
      <c r="O182" t="b">
        <v>0</v>
      </c>
      <c r="P182" t="b">
        <v>0</v>
      </c>
      <c r="Q182" t="s">
        <v>159</v>
      </c>
      <c r="R182" t="str" cm="1">
        <f t="array" ref="R182:S182">_xlfn.TEXTSPLIT(Q182, "/", , FALSE)</f>
        <v>technology</v>
      </c>
      <c r="S182" t="str">
        <v>wearables</v>
      </c>
    </row>
    <row r="183" spans="1:19" ht="17" x14ac:dyDescent="0.2">
      <c r="A183">
        <v>181</v>
      </c>
      <c r="B183" t="s">
        <v>509</v>
      </c>
      <c r="C183" s="3" t="s">
        <v>510</v>
      </c>
      <c r="D183">
        <v>8600</v>
      </c>
      <c r="E183">
        <v>5315</v>
      </c>
      <c r="F183" s="5">
        <f t="shared" si="2"/>
        <v>0.61802325581395345</v>
      </c>
      <c r="G183" t="s">
        <v>6</v>
      </c>
      <c r="H183">
        <v>136</v>
      </c>
      <c r="I183" t="s">
        <v>109</v>
      </c>
      <c r="J183" t="s">
        <v>110</v>
      </c>
      <c r="K183" s="4">
        <v>43012.208333333328</v>
      </c>
      <c r="L183" s="4" t="s">
        <v>56</v>
      </c>
      <c r="M183" s="4" t="s">
        <v>134</v>
      </c>
      <c r="N183" s="4">
        <v>43030.208333333328</v>
      </c>
      <c r="O183" t="b">
        <v>0</v>
      </c>
      <c r="P183" t="b">
        <v>0</v>
      </c>
      <c r="Q183" t="s">
        <v>118</v>
      </c>
      <c r="R183" t="str" cm="1">
        <f t="array" ref="R183:S183">_xlfn.TEXTSPLIT(Q183, "/", , FALSE)</f>
        <v>technology</v>
      </c>
      <c r="S183" t="str">
        <v>web</v>
      </c>
    </row>
    <row r="184" spans="1:19" ht="34" x14ac:dyDescent="0.2">
      <c r="A184">
        <v>182</v>
      </c>
      <c r="B184" t="s">
        <v>511</v>
      </c>
      <c r="C184" s="3" t="s">
        <v>512</v>
      </c>
      <c r="D184">
        <v>27100</v>
      </c>
      <c r="E184">
        <v>195750</v>
      </c>
      <c r="F184" s="5">
        <f t="shared" si="2"/>
        <v>7.2232472324723247</v>
      </c>
      <c r="G184" t="s">
        <v>8</v>
      </c>
      <c r="H184">
        <v>3318</v>
      </c>
      <c r="I184" t="s">
        <v>127</v>
      </c>
      <c r="J184" t="s">
        <v>128</v>
      </c>
      <c r="K184" s="4">
        <v>43631.208333333328</v>
      </c>
      <c r="L184" s="4" t="s">
        <v>52</v>
      </c>
      <c r="M184" s="4" t="s">
        <v>121</v>
      </c>
      <c r="N184" s="4">
        <v>43647.208333333328</v>
      </c>
      <c r="O184" t="b">
        <v>0</v>
      </c>
      <c r="P184" t="b">
        <v>0</v>
      </c>
      <c r="Q184" t="s">
        <v>124</v>
      </c>
      <c r="R184" t="str" cm="1">
        <f t="array" ref="R184:S184">_xlfn.TEXTSPLIT(Q184, "/", , FALSE)</f>
        <v>theater</v>
      </c>
      <c r="S184" t="str">
        <v>plays</v>
      </c>
    </row>
    <row r="185" spans="1:19" ht="34" x14ac:dyDescent="0.2">
      <c r="A185">
        <v>183</v>
      </c>
      <c r="B185" t="s">
        <v>513</v>
      </c>
      <c r="C185" s="3" t="s">
        <v>514</v>
      </c>
      <c r="D185">
        <v>5100</v>
      </c>
      <c r="E185">
        <v>3525</v>
      </c>
      <c r="F185" s="5">
        <f t="shared" si="2"/>
        <v>0.69117647058823528</v>
      </c>
      <c r="G185" t="s">
        <v>6</v>
      </c>
      <c r="H185">
        <v>86</v>
      </c>
      <c r="I185" t="s">
        <v>103</v>
      </c>
      <c r="J185" t="s">
        <v>104</v>
      </c>
      <c r="K185" s="4">
        <v>40430.208333333336</v>
      </c>
      <c r="L185" s="4" t="s">
        <v>55</v>
      </c>
      <c r="M185" s="4" t="s">
        <v>140</v>
      </c>
      <c r="N185" s="4">
        <v>40443.208333333336</v>
      </c>
      <c r="O185" t="b">
        <v>0</v>
      </c>
      <c r="P185" t="b">
        <v>0</v>
      </c>
      <c r="Q185" t="s">
        <v>112</v>
      </c>
      <c r="R185" t="str" cm="1">
        <f t="array" ref="R185:S185">_xlfn.TEXTSPLIT(Q185, "/", , FALSE)</f>
        <v>music</v>
      </c>
      <c r="S185" t="str">
        <v>rock</v>
      </c>
    </row>
    <row r="186" spans="1:19" ht="17" x14ac:dyDescent="0.2">
      <c r="A186">
        <v>184</v>
      </c>
      <c r="B186" t="s">
        <v>515</v>
      </c>
      <c r="C186" s="3" t="s">
        <v>516</v>
      </c>
      <c r="D186">
        <v>3600</v>
      </c>
      <c r="E186">
        <v>10550</v>
      </c>
      <c r="F186" s="5">
        <f t="shared" si="2"/>
        <v>2.9305555555555554</v>
      </c>
      <c r="G186" t="s">
        <v>8</v>
      </c>
      <c r="H186">
        <v>340</v>
      </c>
      <c r="I186" t="s">
        <v>109</v>
      </c>
      <c r="J186" t="s">
        <v>110</v>
      </c>
      <c r="K186" s="4">
        <v>43588.208333333328</v>
      </c>
      <c r="L186" s="4" t="s">
        <v>51</v>
      </c>
      <c r="M186" s="4" t="s">
        <v>121</v>
      </c>
      <c r="N186" s="4">
        <v>43589.208333333328</v>
      </c>
      <c r="O186" t="b">
        <v>0</v>
      </c>
      <c r="P186" t="b">
        <v>0</v>
      </c>
      <c r="Q186" t="s">
        <v>124</v>
      </c>
      <c r="R186" t="str" cm="1">
        <f t="array" ref="R186:S186">_xlfn.TEXTSPLIT(Q186, "/", , FALSE)</f>
        <v>theater</v>
      </c>
      <c r="S186" t="str">
        <v>plays</v>
      </c>
    </row>
    <row r="187" spans="1:19" ht="17" x14ac:dyDescent="0.2">
      <c r="A187">
        <v>185</v>
      </c>
      <c r="B187" t="s">
        <v>517</v>
      </c>
      <c r="C187" s="3" t="s">
        <v>518</v>
      </c>
      <c r="D187">
        <v>1000</v>
      </c>
      <c r="E187">
        <v>718</v>
      </c>
      <c r="F187" s="5">
        <f t="shared" si="2"/>
        <v>0.71799999999999997</v>
      </c>
      <c r="G187" t="s">
        <v>6</v>
      </c>
      <c r="H187">
        <v>19</v>
      </c>
      <c r="I187" t="s">
        <v>109</v>
      </c>
      <c r="J187" t="s">
        <v>110</v>
      </c>
      <c r="K187" s="4">
        <v>43233.208333333328</v>
      </c>
      <c r="L187" s="4" t="s">
        <v>51</v>
      </c>
      <c r="M187" s="4" t="s">
        <v>169</v>
      </c>
      <c r="N187" s="4">
        <v>43244.208333333328</v>
      </c>
      <c r="O187" t="b">
        <v>0</v>
      </c>
      <c r="P187" t="b">
        <v>0</v>
      </c>
      <c r="Q187" t="s">
        <v>364</v>
      </c>
      <c r="R187" t="str" cm="1">
        <f t="array" ref="R187:S187">_xlfn.TEXTSPLIT(Q187, "/", , FALSE)</f>
        <v>film &amp; video</v>
      </c>
      <c r="S187" t="str">
        <v>television</v>
      </c>
    </row>
    <row r="188" spans="1:19" ht="17" x14ac:dyDescent="0.2">
      <c r="A188">
        <v>186</v>
      </c>
      <c r="B188" t="s">
        <v>519</v>
      </c>
      <c r="C188" s="3" t="s">
        <v>520</v>
      </c>
      <c r="D188">
        <v>88800</v>
      </c>
      <c r="E188">
        <v>28358</v>
      </c>
      <c r="F188" s="5">
        <f t="shared" si="2"/>
        <v>0.31934684684684683</v>
      </c>
      <c r="G188" t="s">
        <v>6</v>
      </c>
      <c r="H188">
        <v>886</v>
      </c>
      <c r="I188" t="s">
        <v>109</v>
      </c>
      <c r="J188" t="s">
        <v>110</v>
      </c>
      <c r="K188" s="4">
        <v>41782.208333333336</v>
      </c>
      <c r="L188" s="4" t="s">
        <v>51</v>
      </c>
      <c r="M188" s="4" t="s">
        <v>111</v>
      </c>
      <c r="N188" s="4">
        <v>41797.208333333336</v>
      </c>
      <c r="O188" t="b">
        <v>0</v>
      </c>
      <c r="P188" t="b">
        <v>0</v>
      </c>
      <c r="Q188" t="s">
        <v>124</v>
      </c>
      <c r="R188" t="str" cm="1">
        <f t="array" ref="R188:S188">_xlfn.TEXTSPLIT(Q188, "/", , FALSE)</f>
        <v>theater</v>
      </c>
      <c r="S188" t="str">
        <v>plays</v>
      </c>
    </row>
    <row r="189" spans="1:19" ht="17" x14ac:dyDescent="0.2">
      <c r="A189">
        <v>187</v>
      </c>
      <c r="B189" t="s">
        <v>521</v>
      </c>
      <c r="C189" s="3" t="s">
        <v>522</v>
      </c>
      <c r="D189">
        <v>60200</v>
      </c>
      <c r="E189">
        <v>138384</v>
      </c>
      <c r="F189" s="5">
        <f t="shared" si="2"/>
        <v>2.2987375415282392</v>
      </c>
      <c r="G189" t="s">
        <v>8</v>
      </c>
      <c r="H189">
        <v>1442</v>
      </c>
      <c r="I189" t="s">
        <v>103</v>
      </c>
      <c r="J189" t="s">
        <v>104</v>
      </c>
      <c r="K189" s="4">
        <v>41328.25</v>
      </c>
      <c r="L189" s="4" t="s">
        <v>48</v>
      </c>
      <c r="M189" s="4" t="s">
        <v>117</v>
      </c>
      <c r="N189" s="4">
        <v>41356.208333333336</v>
      </c>
      <c r="O189" t="b">
        <v>0</v>
      </c>
      <c r="P189" t="b">
        <v>1</v>
      </c>
      <c r="Q189" t="s">
        <v>195</v>
      </c>
      <c r="R189" t="str" cm="1">
        <f t="array" ref="R189:S189">_xlfn.TEXTSPLIT(Q189, "/", , FALSE)</f>
        <v>film &amp; video</v>
      </c>
      <c r="S189" t="str">
        <v>shorts</v>
      </c>
    </row>
    <row r="190" spans="1:19" ht="17" x14ac:dyDescent="0.2">
      <c r="A190">
        <v>188</v>
      </c>
      <c r="B190" t="s">
        <v>523</v>
      </c>
      <c r="C190" s="3" t="s">
        <v>524</v>
      </c>
      <c r="D190">
        <v>8200</v>
      </c>
      <c r="E190">
        <v>2625</v>
      </c>
      <c r="F190" s="5">
        <f t="shared" si="2"/>
        <v>0.3201219512195122</v>
      </c>
      <c r="G190" t="s">
        <v>6</v>
      </c>
      <c r="H190">
        <v>35</v>
      </c>
      <c r="I190" t="s">
        <v>202</v>
      </c>
      <c r="J190" t="s">
        <v>203</v>
      </c>
      <c r="K190" s="4">
        <v>41975.25</v>
      </c>
      <c r="L190" s="4" t="s">
        <v>58</v>
      </c>
      <c r="M190" s="4" t="s">
        <v>111</v>
      </c>
      <c r="N190" s="4">
        <v>41976.25</v>
      </c>
      <c r="O190" t="b">
        <v>0</v>
      </c>
      <c r="P190" t="b">
        <v>0</v>
      </c>
      <c r="Q190" t="s">
        <v>124</v>
      </c>
      <c r="R190" t="str" cm="1">
        <f t="array" ref="R190:S190">_xlfn.TEXTSPLIT(Q190, "/", , FALSE)</f>
        <v>theater</v>
      </c>
      <c r="S190" t="str">
        <v>plays</v>
      </c>
    </row>
    <row r="191" spans="1:19" ht="17" x14ac:dyDescent="0.2">
      <c r="A191">
        <v>189</v>
      </c>
      <c r="B191" t="s">
        <v>525</v>
      </c>
      <c r="C191" s="3" t="s">
        <v>526</v>
      </c>
      <c r="D191">
        <v>191300</v>
      </c>
      <c r="E191">
        <v>45004</v>
      </c>
      <c r="F191" s="5">
        <f t="shared" si="2"/>
        <v>0.23525352848928385</v>
      </c>
      <c r="G191" t="s">
        <v>5</v>
      </c>
      <c r="H191">
        <v>441</v>
      </c>
      <c r="I191" t="s">
        <v>109</v>
      </c>
      <c r="J191" t="s">
        <v>110</v>
      </c>
      <c r="K191" s="4">
        <v>42433.25</v>
      </c>
      <c r="L191" s="4" t="s">
        <v>49</v>
      </c>
      <c r="M191" s="4" t="s">
        <v>153</v>
      </c>
      <c r="N191" s="4">
        <v>42433.25</v>
      </c>
      <c r="O191" t="b">
        <v>0</v>
      </c>
      <c r="P191" t="b">
        <v>0</v>
      </c>
      <c r="Q191" t="s">
        <v>124</v>
      </c>
      <c r="R191" t="str" cm="1">
        <f t="array" ref="R191:S191">_xlfn.TEXTSPLIT(Q191, "/", , FALSE)</f>
        <v>theater</v>
      </c>
      <c r="S191" t="str">
        <v>plays</v>
      </c>
    </row>
    <row r="192" spans="1:19" ht="17" x14ac:dyDescent="0.2">
      <c r="A192">
        <v>190</v>
      </c>
      <c r="B192" t="s">
        <v>527</v>
      </c>
      <c r="C192" s="3" t="s">
        <v>528</v>
      </c>
      <c r="D192">
        <v>3700</v>
      </c>
      <c r="E192">
        <v>2538</v>
      </c>
      <c r="F192" s="5">
        <f t="shared" si="2"/>
        <v>0.68594594594594593</v>
      </c>
      <c r="G192" t="s">
        <v>6</v>
      </c>
      <c r="H192">
        <v>24</v>
      </c>
      <c r="I192" t="s">
        <v>109</v>
      </c>
      <c r="J192" t="s">
        <v>110</v>
      </c>
      <c r="K192" s="4">
        <v>41429.208333333336</v>
      </c>
      <c r="L192" s="4" t="s">
        <v>52</v>
      </c>
      <c r="M192" s="4" t="s">
        <v>117</v>
      </c>
      <c r="N192" s="4">
        <v>41430.208333333336</v>
      </c>
      <c r="O192" t="b">
        <v>0</v>
      </c>
      <c r="P192" t="b">
        <v>1</v>
      </c>
      <c r="Q192" t="s">
        <v>124</v>
      </c>
      <c r="R192" t="str" cm="1">
        <f t="array" ref="R192:S192">_xlfn.TEXTSPLIT(Q192, "/", , FALSE)</f>
        <v>theater</v>
      </c>
      <c r="S192" t="str">
        <v>plays</v>
      </c>
    </row>
    <row r="193" spans="1:19" ht="17" x14ac:dyDescent="0.2">
      <c r="A193">
        <v>191</v>
      </c>
      <c r="B193" t="s">
        <v>529</v>
      </c>
      <c r="C193" s="3" t="s">
        <v>530</v>
      </c>
      <c r="D193">
        <v>8400</v>
      </c>
      <c r="E193">
        <v>3188</v>
      </c>
      <c r="F193" s="5">
        <f t="shared" si="2"/>
        <v>0.37952380952380954</v>
      </c>
      <c r="G193" t="s">
        <v>6</v>
      </c>
      <c r="H193">
        <v>86</v>
      </c>
      <c r="I193" t="s">
        <v>202</v>
      </c>
      <c r="J193" t="s">
        <v>203</v>
      </c>
      <c r="K193" s="4">
        <v>43536.208333333328</v>
      </c>
      <c r="L193" s="4" t="s">
        <v>49</v>
      </c>
      <c r="M193" s="4" t="s">
        <v>121</v>
      </c>
      <c r="N193" s="4">
        <v>43539.208333333328</v>
      </c>
      <c r="O193" t="b">
        <v>0</v>
      </c>
      <c r="P193" t="b">
        <v>0</v>
      </c>
      <c r="Q193" t="s">
        <v>124</v>
      </c>
      <c r="R193" t="str" cm="1">
        <f t="array" ref="R193:S193">_xlfn.TEXTSPLIT(Q193, "/", , FALSE)</f>
        <v>theater</v>
      </c>
      <c r="S193" t="str">
        <v>plays</v>
      </c>
    </row>
    <row r="194" spans="1:19" ht="17" x14ac:dyDescent="0.2">
      <c r="A194">
        <v>192</v>
      </c>
      <c r="B194" t="s">
        <v>531</v>
      </c>
      <c r="C194" s="3" t="s">
        <v>532</v>
      </c>
      <c r="D194">
        <v>42600</v>
      </c>
      <c r="E194">
        <v>8517</v>
      </c>
      <c r="F194" s="5">
        <f t="shared" si="2"/>
        <v>0.19992957746478873</v>
      </c>
      <c r="G194" t="s">
        <v>6</v>
      </c>
      <c r="H194">
        <v>243</v>
      </c>
      <c r="I194" t="s">
        <v>109</v>
      </c>
      <c r="J194" t="s">
        <v>110</v>
      </c>
      <c r="K194" s="4">
        <v>41817.208333333336</v>
      </c>
      <c r="L194" s="4" t="s">
        <v>52</v>
      </c>
      <c r="M194" s="4" t="s">
        <v>111</v>
      </c>
      <c r="N194" s="4">
        <v>41821.208333333336</v>
      </c>
      <c r="O194" t="b">
        <v>0</v>
      </c>
      <c r="P194" t="b">
        <v>0</v>
      </c>
      <c r="Q194" t="s">
        <v>112</v>
      </c>
      <c r="R194" t="str" cm="1">
        <f t="array" ref="R194:S194">_xlfn.TEXTSPLIT(Q194, "/", , FALSE)</f>
        <v>music</v>
      </c>
      <c r="S194" t="str">
        <v>rock</v>
      </c>
    </row>
    <row r="195" spans="1:19" ht="17" x14ac:dyDescent="0.2">
      <c r="A195">
        <v>193</v>
      </c>
      <c r="B195" t="s">
        <v>533</v>
      </c>
      <c r="C195" s="3" t="s">
        <v>534</v>
      </c>
      <c r="D195">
        <v>6600</v>
      </c>
      <c r="E195">
        <v>3012</v>
      </c>
      <c r="F195" s="5">
        <f t="shared" ref="F195:F258" si="3">E195/D195</f>
        <v>0.45636363636363636</v>
      </c>
      <c r="G195" t="s">
        <v>6</v>
      </c>
      <c r="H195">
        <v>65</v>
      </c>
      <c r="I195" t="s">
        <v>109</v>
      </c>
      <c r="J195" t="s">
        <v>110</v>
      </c>
      <c r="K195" s="4">
        <v>43198.208333333328</v>
      </c>
      <c r="L195" s="4" t="s">
        <v>50</v>
      </c>
      <c r="M195" s="4" t="s">
        <v>169</v>
      </c>
      <c r="N195" s="4">
        <v>43202.208333333328</v>
      </c>
      <c r="O195" t="b">
        <v>1</v>
      </c>
      <c r="P195" t="b">
        <v>0</v>
      </c>
      <c r="Q195" t="s">
        <v>154</v>
      </c>
      <c r="R195" t="str" cm="1">
        <f t="array" ref="R195:S195">_xlfn.TEXTSPLIT(Q195, "/", , FALSE)</f>
        <v>music</v>
      </c>
      <c r="S195" t="str">
        <v>indie rock</v>
      </c>
    </row>
    <row r="196" spans="1:19" ht="17" x14ac:dyDescent="0.2">
      <c r="A196">
        <v>194</v>
      </c>
      <c r="B196" t="s">
        <v>535</v>
      </c>
      <c r="C196" s="3" t="s">
        <v>536</v>
      </c>
      <c r="D196">
        <v>7100</v>
      </c>
      <c r="E196">
        <v>8716</v>
      </c>
      <c r="F196" s="5">
        <f t="shared" si="3"/>
        <v>1.227605633802817</v>
      </c>
      <c r="G196" t="s">
        <v>8</v>
      </c>
      <c r="H196">
        <v>126</v>
      </c>
      <c r="I196" t="s">
        <v>109</v>
      </c>
      <c r="J196" t="s">
        <v>110</v>
      </c>
      <c r="K196" s="4">
        <v>42261.208333333328</v>
      </c>
      <c r="L196" s="4" t="s">
        <v>55</v>
      </c>
      <c r="M196" s="4" t="s">
        <v>105</v>
      </c>
      <c r="N196" s="4">
        <v>42277.208333333328</v>
      </c>
      <c r="O196" t="b">
        <v>0</v>
      </c>
      <c r="P196" t="b">
        <v>0</v>
      </c>
      <c r="Q196" t="s">
        <v>243</v>
      </c>
      <c r="R196" t="str" cm="1">
        <f t="array" ref="R196:S196">_xlfn.TEXTSPLIT(Q196, "/", , FALSE)</f>
        <v>music</v>
      </c>
      <c r="S196" t="str">
        <v>metal</v>
      </c>
    </row>
    <row r="197" spans="1:19" ht="17" x14ac:dyDescent="0.2">
      <c r="A197">
        <v>195</v>
      </c>
      <c r="B197" t="s">
        <v>537</v>
      </c>
      <c r="C197" s="3" t="s">
        <v>538</v>
      </c>
      <c r="D197">
        <v>15800</v>
      </c>
      <c r="E197">
        <v>57157</v>
      </c>
      <c r="F197" s="5">
        <f t="shared" si="3"/>
        <v>3.61753164556962</v>
      </c>
      <c r="G197" t="s">
        <v>8</v>
      </c>
      <c r="H197">
        <v>524</v>
      </c>
      <c r="I197" t="s">
        <v>109</v>
      </c>
      <c r="J197" t="s">
        <v>110</v>
      </c>
      <c r="K197" s="4">
        <v>43310.208333333328</v>
      </c>
      <c r="L197" s="4" t="s">
        <v>53</v>
      </c>
      <c r="M197" s="4" t="s">
        <v>169</v>
      </c>
      <c r="N197" s="4">
        <v>43317.208333333328</v>
      </c>
      <c r="O197" t="b">
        <v>0</v>
      </c>
      <c r="P197" t="b">
        <v>0</v>
      </c>
      <c r="Q197" t="s">
        <v>143</v>
      </c>
      <c r="R197" t="str" cm="1">
        <f t="array" ref="R197:S197">_xlfn.TEXTSPLIT(Q197, "/", , FALSE)</f>
        <v>music</v>
      </c>
      <c r="S197" t="str">
        <v>electric music</v>
      </c>
    </row>
    <row r="198" spans="1:19" ht="17" x14ac:dyDescent="0.2">
      <c r="A198">
        <v>196</v>
      </c>
      <c r="B198" t="s">
        <v>539</v>
      </c>
      <c r="C198" s="3" t="s">
        <v>540</v>
      </c>
      <c r="D198">
        <v>8200</v>
      </c>
      <c r="E198">
        <v>5178</v>
      </c>
      <c r="F198" s="5">
        <f t="shared" si="3"/>
        <v>0.63146341463414635</v>
      </c>
      <c r="G198" t="s">
        <v>6</v>
      </c>
      <c r="H198">
        <v>100</v>
      </c>
      <c r="I198" t="s">
        <v>127</v>
      </c>
      <c r="J198" t="s">
        <v>128</v>
      </c>
      <c r="K198" s="4">
        <v>42616.208333333328</v>
      </c>
      <c r="L198" s="4" t="s">
        <v>55</v>
      </c>
      <c r="M198" s="4" t="s">
        <v>153</v>
      </c>
      <c r="N198" s="4">
        <v>42635.208333333328</v>
      </c>
      <c r="O198" t="b">
        <v>0</v>
      </c>
      <c r="P198" t="b">
        <v>0</v>
      </c>
      <c r="Q198" t="s">
        <v>159</v>
      </c>
      <c r="R198" t="str" cm="1">
        <f t="array" ref="R198:S198">_xlfn.TEXTSPLIT(Q198, "/", , FALSE)</f>
        <v>technology</v>
      </c>
      <c r="S198" t="str">
        <v>wearables</v>
      </c>
    </row>
    <row r="199" spans="1:19" ht="17" x14ac:dyDescent="0.2">
      <c r="A199">
        <v>197</v>
      </c>
      <c r="B199" t="s">
        <v>541</v>
      </c>
      <c r="C199" s="3" t="s">
        <v>542</v>
      </c>
      <c r="D199">
        <v>54700</v>
      </c>
      <c r="E199">
        <v>163118</v>
      </c>
      <c r="F199" s="5">
        <f t="shared" si="3"/>
        <v>2.9820475319926874</v>
      </c>
      <c r="G199" t="s">
        <v>8</v>
      </c>
      <c r="H199">
        <v>1989</v>
      </c>
      <c r="I199" t="s">
        <v>109</v>
      </c>
      <c r="J199" t="s">
        <v>110</v>
      </c>
      <c r="K199" s="4">
        <v>42909.208333333328</v>
      </c>
      <c r="L199" s="4" t="s">
        <v>52</v>
      </c>
      <c r="M199" s="4" t="s">
        <v>134</v>
      </c>
      <c r="N199" s="4">
        <v>42923.208333333328</v>
      </c>
      <c r="O199" t="b">
        <v>0</v>
      </c>
      <c r="P199" t="b">
        <v>0</v>
      </c>
      <c r="Q199" t="s">
        <v>146</v>
      </c>
      <c r="R199" t="str" cm="1">
        <f t="array" ref="R199:S199">_xlfn.TEXTSPLIT(Q199, "/", , FALSE)</f>
        <v>film &amp; video</v>
      </c>
      <c r="S199" t="str">
        <v>drama</v>
      </c>
    </row>
    <row r="200" spans="1:19" ht="17" x14ac:dyDescent="0.2">
      <c r="A200">
        <v>198</v>
      </c>
      <c r="B200" t="s">
        <v>543</v>
      </c>
      <c r="C200" s="3" t="s">
        <v>544</v>
      </c>
      <c r="D200">
        <v>63200</v>
      </c>
      <c r="E200">
        <v>6041</v>
      </c>
      <c r="F200" s="5">
        <f t="shared" si="3"/>
        <v>9.5585443037974685E-2</v>
      </c>
      <c r="G200" t="s">
        <v>6</v>
      </c>
      <c r="H200">
        <v>168</v>
      </c>
      <c r="I200" t="s">
        <v>109</v>
      </c>
      <c r="J200" t="s">
        <v>110</v>
      </c>
      <c r="K200" s="4">
        <v>40396.208333333336</v>
      </c>
      <c r="L200" s="4" t="s">
        <v>54</v>
      </c>
      <c r="M200" s="4" t="s">
        <v>140</v>
      </c>
      <c r="N200" s="4">
        <v>40425.208333333336</v>
      </c>
      <c r="O200" t="b">
        <v>0</v>
      </c>
      <c r="P200" t="b">
        <v>0</v>
      </c>
      <c r="Q200" t="s">
        <v>143</v>
      </c>
      <c r="R200" t="str" cm="1">
        <f t="array" ref="R200:S200">_xlfn.TEXTSPLIT(Q200, "/", , FALSE)</f>
        <v>music</v>
      </c>
      <c r="S200" t="str">
        <v>electric music</v>
      </c>
    </row>
    <row r="201" spans="1:19" ht="17" x14ac:dyDescent="0.2">
      <c r="A201">
        <v>199</v>
      </c>
      <c r="B201" t="s">
        <v>545</v>
      </c>
      <c r="C201" s="3" t="s">
        <v>546</v>
      </c>
      <c r="D201">
        <v>1800</v>
      </c>
      <c r="E201">
        <v>968</v>
      </c>
      <c r="F201" s="5">
        <f t="shared" si="3"/>
        <v>0.5377777777777778</v>
      </c>
      <c r="G201" t="s">
        <v>6</v>
      </c>
      <c r="H201">
        <v>13</v>
      </c>
      <c r="I201" t="s">
        <v>109</v>
      </c>
      <c r="J201" t="s">
        <v>110</v>
      </c>
      <c r="K201" s="4">
        <v>42192.208333333328</v>
      </c>
      <c r="L201" s="4" t="s">
        <v>53</v>
      </c>
      <c r="M201" s="4" t="s">
        <v>105</v>
      </c>
      <c r="N201" s="4">
        <v>42196.208333333328</v>
      </c>
      <c r="O201" t="b">
        <v>0</v>
      </c>
      <c r="P201" t="b">
        <v>0</v>
      </c>
      <c r="Q201" t="s">
        <v>112</v>
      </c>
      <c r="R201" t="str" cm="1">
        <f t="array" ref="R201:S201">_xlfn.TEXTSPLIT(Q201, "/", , FALSE)</f>
        <v>music</v>
      </c>
      <c r="S201" t="str">
        <v>rock</v>
      </c>
    </row>
    <row r="202" spans="1:19" ht="17" x14ac:dyDescent="0.2">
      <c r="A202">
        <v>200</v>
      </c>
      <c r="B202" t="s">
        <v>547</v>
      </c>
      <c r="C202" s="3" t="s">
        <v>548</v>
      </c>
      <c r="D202">
        <v>100</v>
      </c>
      <c r="E202">
        <v>2</v>
      </c>
      <c r="F202" s="5">
        <f t="shared" si="3"/>
        <v>0.02</v>
      </c>
      <c r="G202" t="s">
        <v>6</v>
      </c>
      <c r="H202">
        <v>1</v>
      </c>
      <c r="I202" t="s">
        <v>103</v>
      </c>
      <c r="J202" t="s">
        <v>104</v>
      </c>
      <c r="K202" s="4">
        <v>40262.208333333336</v>
      </c>
      <c r="L202" s="4" t="s">
        <v>49</v>
      </c>
      <c r="M202" s="4" t="s">
        <v>140</v>
      </c>
      <c r="N202" s="4">
        <v>40273.208333333336</v>
      </c>
      <c r="O202" t="b">
        <v>0</v>
      </c>
      <c r="P202" t="b">
        <v>0</v>
      </c>
      <c r="Q202" t="s">
        <v>124</v>
      </c>
      <c r="R202" t="str" cm="1">
        <f t="array" ref="R202:S202">_xlfn.TEXTSPLIT(Q202, "/", , FALSE)</f>
        <v>theater</v>
      </c>
      <c r="S202" t="str">
        <v>plays</v>
      </c>
    </row>
    <row r="203" spans="1:19" ht="34" x14ac:dyDescent="0.2">
      <c r="A203">
        <v>201</v>
      </c>
      <c r="B203" t="s">
        <v>549</v>
      </c>
      <c r="C203" s="3" t="s">
        <v>550</v>
      </c>
      <c r="D203">
        <v>2100</v>
      </c>
      <c r="E203">
        <v>14305</v>
      </c>
      <c r="F203" s="5">
        <f t="shared" si="3"/>
        <v>6.8119047619047617</v>
      </c>
      <c r="G203" t="s">
        <v>8</v>
      </c>
      <c r="H203">
        <v>157</v>
      </c>
      <c r="I203" t="s">
        <v>109</v>
      </c>
      <c r="J203" t="s">
        <v>110</v>
      </c>
      <c r="K203" s="4">
        <v>41845.208333333336</v>
      </c>
      <c r="L203" s="4" t="s">
        <v>53</v>
      </c>
      <c r="M203" s="4" t="s">
        <v>111</v>
      </c>
      <c r="N203" s="4">
        <v>41863.208333333336</v>
      </c>
      <c r="O203" t="b">
        <v>0</v>
      </c>
      <c r="P203" t="b">
        <v>0</v>
      </c>
      <c r="Q203" t="s">
        <v>118</v>
      </c>
      <c r="R203" t="str" cm="1">
        <f t="array" ref="R203:S203">_xlfn.TEXTSPLIT(Q203, "/", , FALSE)</f>
        <v>technology</v>
      </c>
      <c r="S203" t="str">
        <v>web</v>
      </c>
    </row>
    <row r="204" spans="1:19" ht="17" x14ac:dyDescent="0.2">
      <c r="A204">
        <v>202</v>
      </c>
      <c r="B204" t="s">
        <v>551</v>
      </c>
      <c r="C204" s="3" t="s">
        <v>552</v>
      </c>
      <c r="D204">
        <v>8300</v>
      </c>
      <c r="E204">
        <v>6543</v>
      </c>
      <c r="F204" s="5">
        <f t="shared" si="3"/>
        <v>0.78831325301204824</v>
      </c>
      <c r="G204" t="s">
        <v>5</v>
      </c>
      <c r="H204">
        <v>82</v>
      </c>
      <c r="I204" t="s">
        <v>109</v>
      </c>
      <c r="J204" t="s">
        <v>110</v>
      </c>
      <c r="K204" s="4">
        <v>40818.208333333336</v>
      </c>
      <c r="L204" s="4" t="s">
        <v>56</v>
      </c>
      <c r="M204" s="4" t="s">
        <v>165</v>
      </c>
      <c r="N204" s="4">
        <v>40822.208333333336</v>
      </c>
      <c r="O204" t="b">
        <v>0</v>
      </c>
      <c r="P204" t="b">
        <v>0</v>
      </c>
      <c r="Q204" t="s">
        <v>106</v>
      </c>
      <c r="R204" t="str" cm="1">
        <f t="array" ref="R204:S204">_xlfn.TEXTSPLIT(Q204, "/", , FALSE)</f>
        <v>food</v>
      </c>
      <c r="S204" t="str">
        <v>food trucks</v>
      </c>
    </row>
    <row r="205" spans="1:19" ht="34" x14ac:dyDescent="0.2">
      <c r="A205">
        <v>203</v>
      </c>
      <c r="B205" t="s">
        <v>553</v>
      </c>
      <c r="C205" s="3" t="s">
        <v>554</v>
      </c>
      <c r="D205">
        <v>143900</v>
      </c>
      <c r="E205">
        <v>193413</v>
      </c>
      <c r="F205" s="5">
        <f t="shared" si="3"/>
        <v>1.3440792216817234</v>
      </c>
      <c r="G205" t="s">
        <v>8</v>
      </c>
      <c r="H205">
        <v>4498</v>
      </c>
      <c r="I205" t="s">
        <v>115</v>
      </c>
      <c r="J205" t="s">
        <v>116</v>
      </c>
      <c r="K205" s="4">
        <v>42752.25</v>
      </c>
      <c r="L205" s="4" t="s">
        <v>47</v>
      </c>
      <c r="M205" s="4" t="s">
        <v>134</v>
      </c>
      <c r="N205" s="4">
        <v>42754.25</v>
      </c>
      <c r="O205" t="b">
        <v>0</v>
      </c>
      <c r="P205" t="b">
        <v>0</v>
      </c>
      <c r="Q205" t="s">
        <v>124</v>
      </c>
      <c r="R205" t="str" cm="1">
        <f t="array" ref="R205:S205">_xlfn.TEXTSPLIT(Q205, "/", , FALSE)</f>
        <v>theater</v>
      </c>
      <c r="S205" t="str">
        <v>plays</v>
      </c>
    </row>
    <row r="206" spans="1:19" ht="17" x14ac:dyDescent="0.2">
      <c r="A206">
        <v>204</v>
      </c>
      <c r="B206" t="s">
        <v>555</v>
      </c>
      <c r="C206" s="3" t="s">
        <v>556</v>
      </c>
      <c r="D206">
        <v>75000</v>
      </c>
      <c r="E206">
        <v>2529</v>
      </c>
      <c r="F206" s="5">
        <f t="shared" si="3"/>
        <v>3.372E-2</v>
      </c>
      <c r="G206" t="s">
        <v>6</v>
      </c>
      <c r="H206">
        <v>40</v>
      </c>
      <c r="I206" t="s">
        <v>109</v>
      </c>
      <c r="J206" t="s">
        <v>110</v>
      </c>
      <c r="K206" s="4">
        <v>40636.208333333336</v>
      </c>
      <c r="L206" s="4" t="s">
        <v>50</v>
      </c>
      <c r="M206" s="4" t="s">
        <v>165</v>
      </c>
      <c r="N206" s="4">
        <v>40646.208333333336</v>
      </c>
      <c r="O206" t="b">
        <v>0</v>
      </c>
      <c r="P206" t="b">
        <v>0</v>
      </c>
      <c r="Q206" t="s">
        <v>254</v>
      </c>
      <c r="R206" t="str" cm="1">
        <f t="array" ref="R206:S206">_xlfn.TEXTSPLIT(Q206, "/", , FALSE)</f>
        <v>music</v>
      </c>
      <c r="S206" t="str">
        <v>jazz</v>
      </c>
    </row>
    <row r="207" spans="1:19" ht="17" x14ac:dyDescent="0.2">
      <c r="A207">
        <v>205</v>
      </c>
      <c r="B207" t="s">
        <v>557</v>
      </c>
      <c r="C207" s="3" t="s">
        <v>558</v>
      </c>
      <c r="D207">
        <v>1300</v>
      </c>
      <c r="E207">
        <v>5614</v>
      </c>
      <c r="F207" s="5">
        <f t="shared" si="3"/>
        <v>4.3184615384615386</v>
      </c>
      <c r="G207" t="s">
        <v>8</v>
      </c>
      <c r="H207">
        <v>80</v>
      </c>
      <c r="I207" t="s">
        <v>109</v>
      </c>
      <c r="J207" t="s">
        <v>110</v>
      </c>
      <c r="K207" s="4">
        <v>43390.208333333328</v>
      </c>
      <c r="L207" s="4" t="s">
        <v>56</v>
      </c>
      <c r="M207" s="4" t="s">
        <v>169</v>
      </c>
      <c r="N207" s="4">
        <v>43402.208333333328</v>
      </c>
      <c r="O207" t="b">
        <v>1</v>
      </c>
      <c r="P207" t="b">
        <v>0</v>
      </c>
      <c r="Q207" t="s">
        <v>124</v>
      </c>
      <c r="R207" t="str" cm="1">
        <f t="array" ref="R207:S207">_xlfn.TEXTSPLIT(Q207, "/", , FALSE)</f>
        <v>theater</v>
      </c>
      <c r="S207" t="str">
        <v>plays</v>
      </c>
    </row>
    <row r="208" spans="1:19" ht="17" x14ac:dyDescent="0.2">
      <c r="A208">
        <v>206</v>
      </c>
      <c r="B208" t="s">
        <v>559</v>
      </c>
      <c r="C208" s="3" t="s">
        <v>560</v>
      </c>
      <c r="D208">
        <v>9000</v>
      </c>
      <c r="E208">
        <v>3496</v>
      </c>
      <c r="F208" s="5">
        <f t="shared" si="3"/>
        <v>0.38844444444444443</v>
      </c>
      <c r="G208" t="s">
        <v>5</v>
      </c>
      <c r="H208">
        <v>57</v>
      </c>
      <c r="I208" t="s">
        <v>109</v>
      </c>
      <c r="J208" t="s">
        <v>110</v>
      </c>
      <c r="K208" s="4">
        <v>40236.25</v>
      </c>
      <c r="L208" s="4" t="s">
        <v>48</v>
      </c>
      <c r="M208" s="4" t="s">
        <v>140</v>
      </c>
      <c r="N208" s="4">
        <v>40245.25</v>
      </c>
      <c r="O208" t="b">
        <v>0</v>
      </c>
      <c r="P208" t="b">
        <v>0</v>
      </c>
      <c r="Q208" t="s">
        <v>214</v>
      </c>
      <c r="R208" t="str" cm="1">
        <f t="array" ref="R208:S208">_xlfn.TEXTSPLIT(Q208, "/", , FALSE)</f>
        <v>publishing</v>
      </c>
      <c r="S208" t="str">
        <v>fiction</v>
      </c>
    </row>
    <row r="209" spans="1:19" ht="34" x14ac:dyDescent="0.2">
      <c r="A209">
        <v>207</v>
      </c>
      <c r="B209" t="s">
        <v>561</v>
      </c>
      <c r="C209" s="3" t="s">
        <v>562</v>
      </c>
      <c r="D209">
        <v>1000</v>
      </c>
      <c r="E209">
        <v>4257</v>
      </c>
      <c r="F209" s="5">
        <f t="shared" si="3"/>
        <v>4.2569999999999997</v>
      </c>
      <c r="G209" t="s">
        <v>8</v>
      </c>
      <c r="H209">
        <v>43</v>
      </c>
      <c r="I209" t="s">
        <v>109</v>
      </c>
      <c r="J209" t="s">
        <v>110</v>
      </c>
      <c r="K209" s="4">
        <v>43340.208333333328</v>
      </c>
      <c r="L209" s="4" t="s">
        <v>54</v>
      </c>
      <c r="M209" s="4" t="s">
        <v>169</v>
      </c>
      <c r="N209" s="4">
        <v>43360.208333333328</v>
      </c>
      <c r="O209" t="b">
        <v>0</v>
      </c>
      <c r="P209" t="b">
        <v>1</v>
      </c>
      <c r="Q209" t="s">
        <v>112</v>
      </c>
      <c r="R209" t="str" cm="1">
        <f t="array" ref="R209:S209">_xlfn.TEXTSPLIT(Q209, "/", , FALSE)</f>
        <v>music</v>
      </c>
      <c r="S209" t="str">
        <v>rock</v>
      </c>
    </row>
    <row r="210" spans="1:19" ht="17" x14ac:dyDescent="0.2">
      <c r="A210">
        <v>208</v>
      </c>
      <c r="B210" t="s">
        <v>563</v>
      </c>
      <c r="C210" s="3" t="s">
        <v>564</v>
      </c>
      <c r="D210">
        <v>196900</v>
      </c>
      <c r="E210">
        <v>199110</v>
      </c>
      <c r="F210" s="5">
        <f t="shared" si="3"/>
        <v>1.0112239715591671</v>
      </c>
      <c r="G210" t="s">
        <v>8</v>
      </c>
      <c r="H210">
        <v>2053</v>
      </c>
      <c r="I210" t="s">
        <v>109</v>
      </c>
      <c r="J210" t="s">
        <v>110</v>
      </c>
      <c r="K210" s="4">
        <v>43048.25</v>
      </c>
      <c r="L210" s="4" t="s">
        <v>57</v>
      </c>
      <c r="M210" s="4" t="s">
        <v>134</v>
      </c>
      <c r="N210" s="4">
        <v>43072.25</v>
      </c>
      <c r="O210" t="b">
        <v>0</v>
      </c>
      <c r="P210" t="b">
        <v>0</v>
      </c>
      <c r="Q210" t="s">
        <v>135</v>
      </c>
      <c r="R210" t="str" cm="1">
        <f t="array" ref="R210:S210">_xlfn.TEXTSPLIT(Q210, "/", , FALSE)</f>
        <v>film &amp; video</v>
      </c>
      <c r="S210" t="str">
        <v>documentary</v>
      </c>
    </row>
    <row r="211" spans="1:19" ht="17" x14ac:dyDescent="0.2">
      <c r="A211">
        <v>209</v>
      </c>
      <c r="B211" t="s">
        <v>565</v>
      </c>
      <c r="C211" s="3" t="s">
        <v>566</v>
      </c>
      <c r="D211">
        <v>194500</v>
      </c>
      <c r="E211">
        <v>41212</v>
      </c>
      <c r="F211" s="5">
        <f t="shared" si="3"/>
        <v>0.21188688946015424</v>
      </c>
      <c r="G211" t="s">
        <v>7</v>
      </c>
      <c r="H211">
        <v>808</v>
      </c>
      <c r="I211" t="s">
        <v>115</v>
      </c>
      <c r="J211" t="s">
        <v>116</v>
      </c>
      <c r="K211" s="4">
        <v>42496.208333333328</v>
      </c>
      <c r="L211" s="4" t="s">
        <v>51</v>
      </c>
      <c r="M211" s="4" t="s">
        <v>153</v>
      </c>
      <c r="N211" s="4">
        <v>42503.208333333328</v>
      </c>
      <c r="O211" t="b">
        <v>0</v>
      </c>
      <c r="P211" t="b">
        <v>0</v>
      </c>
      <c r="Q211" t="s">
        <v>135</v>
      </c>
      <c r="R211" t="str" cm="1">
        <f t="array" ref="R211:S211">_xlfn.TEXTSPLIT(Q211, "/", , FALSE)</f>
        <v>film &amp; video</v>
      </c>
      <c r="S211" t="str">
        <v>documentary</v>
      </c>
    </row>
    <row r="212" spans="1:19" ht="17" x14ac:dyDescent="0.2">
      <c r="A212">
        <v>210</v>
      </c>
      <c r="B212" t="s">
        <v>567</v>
      </c>
      <c r="C212" s="3" t="s">
        <v>568</v>
      </c>
      <c r="D212">
        <v>9400</v>
      </c>
      <c r="E212">
        <v>6338</v>
      </c>
      <c r="F212" s="5">
        <f t="shared" si="3"/>
        <v>0.67425531914893622</v>
      </c>
      <c r="G212" t="s">
        <v>6</v>
      </c>
      <c r="H212">
        <v>226</v>
      </c>
      <c r="I212" t="s">
        <v>127</v>
      </c>
      <c r="J212" t="s">
        <v>128</v>
      </c>
      <c r="K212" s="4">
        <v>42797.25</v>
      </c>
      <c r="L212" s="4" t="s">
        <v>49</v>
      </c>
      <c r="M212" s="4" t="s">
        <v>134</v>
      </c>
      <c r="N212" s="4">
        <v>42824.208333333328</v>
      </c>
      <c r="O212" t="b">
        <v>0</v>
      </c>
      <c r="P212" t="b">
        <v>0</v>
      </c>
      <c r="Q212" t="s">
        <v>569</v>
      </c>
      <c r="R212" t="str" cm="1">
        <f t="array" ref="R212:S212">_xlfn.TEXTSPLIT(Q212, "/", , FALSE)</f>
        <v>film &amp; video</v>
      </c>
      <c r="S212" t="str">
        <v>science fiction</v>
      </c>
    </row>
    <row r="213" spans="1:19" ht="34" x14ac:dyDescent="0.2">
      <c r="A213">
        <v>211</v>
      </c>
      <c r="B213" t="s">
        <v>570</v>
      </c>
      <c r="C213" s="3" t="s">
        <v>571</v>
      </c>
      <c r="D213">
        <v>104400</v>
      </c>
      <c r="E213">
        <v>99100</v>
      </c>
      <c r="F213" s="5">
        <f t="shared" si="3"/>
        <v>0.9492337164750958</v>
      </c>
      <c r="G213" t="s">
        <v>6</v>
      </c>
      <c r="H213">
        <v>1625</v>
      </c>
      <c r="I213" t="s">
        <v>109</v>
      </c>
      <c r="J213" t="s">
        <v>110</v>
      </c>
      <c r="K213" s="4">
        <v>41513.208333333336</v>
      </c>
      <c r="L213" s="4" t="s">
        <v>54</v>
      </c>
      <c r="M213" s="4" t="s">
        <v>117</v>
      </c>
      <c r="N213" s="4">
        <v>41537.208333333336</v>
      </c>
      <c r="O213" t="b">
        <v>0</v>
      </c>
      <c r="P213" t="b">
        <v>0</v>
      </c>
      <c r="Q213" t="s">
        <v>124</v>
      </c>
      <c r="R213" t="str" cm="1">
        <f t="array" ref="R213:S213">_xlfn.TEXTSPLIT(Q213, "/", , FALSE)</f>
        <v>theater</v>
      </c>
      <c r="S213" t="str">
        <v>plays</v>
      </c>
    </row>
    <row r="214" spans="1:19" ht="34" x14ac:dyDescent="0.2">
      <c r="A214">
        <v>212</v>
      </c>
      <c r="B214" t="s">
        <v>572</v>
      </c>
      <c r="C214" s="3" t="s">
        <v>573</v>
      </c>
      <c r="D214">
        <v>8100</v>
      </c>
      <c r="E214">
        <v>12300</v>
      </c>
      <c r="F214" s="5">
        <f t="shared" si="3"/>
        <v>1.5185185185185186</v>
      </c>
      <c r="G214" t="s">
        <v>8</v>
      </c>
      <c r="H214">
        <v>168</v>
      </c>
      <c r="I214" t="s">
        <v>109</v>
      </c>
      <c r="J214" t="s">
        <v>110</v>
      </c>
      <c r="K214" s="4">
        <v>43814.25</v>
      </c>
      <c r="L214" s="4" t="s">
        <v>58</v>
      </c>
      <c r="M214" s="4" t="s">
        <v>121</v>
      </c>
      <c r="N214" s="4">
        <v>43860.25</v>
      </c>
      <c r="O214" t="b">
        <v>0</v>
      </c>
      <c r="P214" t="b">
        <v>0</v>
      </c>
      <c r="Q214" t="s">
        <v>124</v>
      </c>
      <c r="R214" t="str" cm="1">
        <f t="array" ref="R214:S214">_xlfn.TEXTSPLIT(Q214, "/", , FALSE)</f>
        <v>theater</v>
      </c>
      <c r="S214" t="str">
        <v>plays</v>
      </c>
    </row>
    <row r="215" spans="1:19" ht="34" x14ac:dyDescent="0.2">
      <c r="A215">
        <v>213</v>
      </c>
      <c r="B215" t="s">
        <v>574</v>
      </c>
      <c r="C215" s="3" t="s">
        <v>575</v>
      </c>
      <c r="D215">
        <v>87900</v>
      </c>
      <c r="E215">
        <v>171549</v>
      </c>
      <c r="F215" s="5">
        <f t="shared" si="3"/>
        <v>1.9516382252559727</v>
      </c>
      <c r="G215" t="s">
        <v>8</v>
      </c>
      <c r="H215">
        <v>4289</v>
      </c>
      <c r="I215" t="s">
        <v>109</v>
      </c>
      <c r="J215" t="s">
        <v>110</v>
      </c>
      <c r="K215" s="4">
        <v>40488.208333333336</v>
      </c>
      <c r="L215" s="4" t="s">
        <v>57</v>
      </c>
      <c r="M215" s="4" t="s">
        <v>140</v>
      </c>
      <c r="N215" s="4">
        <v>40496.25</v>
      </c>
      <c r="O215" t="b">
        <v>0</v>
      </c>
      <c r="P215" t="b">
        <v>1</v>
      </c>
      <c r="Q215" t="s">
        <v>154</v>
      </c>
      <c r="R215" t="str" cm="1">
        <f t="array" ref="R215:S215">_xlfn.TEXTSPLIT(Q215, "/", , FALSE)</f>
        <v>music</v>
      </c>
      <c r="S215" t="str">
        <v>indie rock</v>
      </c>
    </row>
    <row r="216" spans="1:19" ht="17" x14ac:dyDescent="0.2">
      <c r="A216">
        <v>214</v>
      </c>
      <c r="B216" t="s">
        <v>576</v>
      </c>
      <c r="C216" s="3" t="s">
        <v>577</v>
      </c>
      <c r="D216">
        <v>1400</v>
      </c>
      <c r="E216">
        <v>14324</v>
      </c>
      <c r="F216" s="5">
        <f t="shared" si="3"/>
        <v>10.231428571428571</v>
      </c>
      <c r="G216" t="s">
        <v>8</v>
      </c>
      <c r="H216">
        <v>165</v>
      </c>
      <c r="I216" t="s">
        <v>109</v>
      </c>
      <c r="J216" t="s">
        <v>110</v>
      </c>
      <c r="K216" s="4">
        <v>40409.208333333336</v>
      </c>
      <c r="L216" s="4" t="s">
        <v>54</v>
      </c>
      <c r="M216" s="4" t="s">
        <v>140</v>
      </c>
      <c r="N216" s="4">
        <v>40415.208333333336</v>
      </c>
      <c r="O216" t="b">
        <v>0</v>
      </c>
      <c r="P216" t="b">
        <v>0</v>
      </c>
      <c r="Q216" t="s">
        <v>112</v>
      </c>
      <c r="R216" t="str" cm="1">
        <f t="array" ref="R216:S216">_xlfn.TEXTSPLIT(Q216, "/", , FALSE)</f>
        <v>music</v>
      </c>
      <c r="S216" t="str">
        <v>rock</v>
      </c>
    </row>
    <row r="217" spans="1:19" ht="17" x14ac:dyDescent="0.2">
      <c r="A217">
        <v>215</v>
      </c>
      <c r="B217" t="s">
        <v>578</v>
      </c>
      <c r="C217" s="3" t="s">
        <v>579</v>
      </c>
      <c r="D217">
        <v>156800</v>
      </c>
      <c r="E217">
        <v>6024</v>
      </c>
      <c r="F217" s="5">
        <f t="shared" si="3"/>
        <v>3.8418367346938778E-2</v>
      </c>
      <c r="G217" t="s">
        <v>6</v>
      </c>
      <c r="H217">
        <v>143</v>
      </c>
      <c r="I217" t="s">
        <v>109</v>
      </c>
      <c r="J217" t="s">
        <v>110</v>
      </c>
      <c r="K217" s="4">
        <v>43509.25</v>
      </c>
      <c r="L217" s="4" t="s">
        <v>48</v>
      </c>
      <c r="M217" s="4" t="s">
        <v>121</v>
      </c>
      <c r="N217" s="4">
        <v>43511.25</v>
      </c>
      <c r="O217" t="b">
        <v>0</v>
      </c>
      <c r="P217" t="b">
        <v>0</v>
      </c>
      <c r="Q217" t="s">
        <v>124</v>
      </c>
      <c r="R217" t="str" cm="1">
        <f t="array" ref="R217:S217">_xlfn.TEXTSPLIT(Q217, "/", , FALSE)</f>
        <v>theater</v>
      </c>
      <c r="S217" t="str">
        <v>plays</v>
      </c>
    </row>
    <row r="218" spans="1:19" ht="17" x14ac:dyDescent="0.2">
      <c r="A218">
        <v>216</v>
      </c>
      <c r="B218" t="s">
        <v>580</v>
      </c>
      <c r="C218" s="3" t="s">
        <v>581</v>
      </c>
      <c r="D218">
        <v>121700</v>
      </c>
      <c r="E218">
        <v>188721</v>
      </c>
      <c r="F218" s="5">
        <f t="shared" si="3"/>
        <v>1.5507066557107643</v>
      </c>
      <c r="G218" t="s">
        <v>8</v>
      </c>
      <c r="H218">
        <v>1815</v>
      </c>
      <c r="I218" t="s">
        <v>109</v>
      </c>
      <c r="J218" t="s">
        <v>110</v>
      </c>
      <c r="K218" s="4">
        <v>40869.25</v>
      </c>
      <c r="L218" s="4" t="s">
        <v>57</v>
      </c>
      <c r="M218" s="4" t="s">
        <v>165</v>
      </c>
      <c r="N218" s="4">
        <v>40871.25</v>
      </c>
      <c r="O218" t="b">
        <v>0</v>
      </c>
      <c r="P218" t="b">
        <v>0</v>
      </c>
      <c r="Q218" t="s">
        <v>124</v>
      </c>
      <c r="R218" t="str" cm="1">
        <f t="array" ref="R218:S218">_xlfn.TEXTSPLIT(Q218, "/", , FALSE)</f>
        <v>theater</v>
      </c>
      <c r="S218" t="str">
        <v>plays</v>
      </c>
    </row>
    <row r="219" spans="1:19" ht="17" x14ac:dyDescent="0.2">
      <c r="A219">
        <v>217</v>
      </c>
      <c r="B219" t="s">
        <v>582</v>
      </c>
      <c r="C219" s="3" t="s">
        <v>583</v>
      </c>
      <c r="D219">
        <v>129400</v>
      </c>
      <c r="E219">
        <v>57911</v>
      </c>
      <c r="F219" s="5">
        <f t="shared" si="3"/>
        <v>0.44753477588871715</v>
      </c>
      <c r="G219" t="s">
        <v>6</v>
      </c>
      <c r="H219">
        <v>934</v>
      </c>
      <c r="I219" t="s">
        <v>109</v>
      </c>
      <c r="J219" t="s">
        <v>110</v>
      </c>
      <c r="K219" s="4">
        <v>43583.208333333328</v>
      </c>
      <c r="L219" s="4" t="s">
        <v>50</v>
      </c>
      <c r="M219" s="4" t="s">
        <v>121</v>
      </c>
      <c r="N219" s="4">
        <v>43592.208333333328</v>
      </c>
      <c r="O219" t="b">
        <v>0</v>
      </c>
      <c r="P219" t="b">
        <v>0</v>
      </c>
      <c r="Q219" t="s">
        <v>569</v>
      </c>
      <c r="R219" t="str" cm="1">
        <f t="array" ref="R219:S219">_xlfn.TEXTSPLIT(Q219, "/", , FALSE)</f>
        <v>film &amp; video</v>
      </c>
      <c r="S219" t="str">
        <v>science fiction</v>
      </c>
    </row>
    <row r="220" spans="1:19" ht="17" x14ac:dyDescent="0.2">
      <c r="A220">
        <v>218</v>
      </c>
      <c r="B220" t="s">
        <v>584</v>
      </c>
      <c r="C220" s="3" t="s">
        <v>585</v>
      </c>
      <c r="D220">
        <v>5700</v>
      </c>
      <c r="E220">
        <v>12309</v>
      </c>
      <c r="F220" s="5">
        <f t="shared" si="3"/>
        <v>2.1594736842105262</v>
      </c>
      <c r="G220" t="s">
        <v>8</v>
      </c>
      <c r="H220">
        <v>397</v>
      </c>
      <c r="I220" t="s">
        <v>132</v>
      </c>
      <c r="J220" t="s">
        <v>133</v>
      </c>
      <c r="K220" s="4">
        <v>40858.25</v>
      </c>
      <c r="L220" s="4" t="s">
        <v>57</v>
      </c>
      <c r="M220" s="4" t="s">
        <v>165</v>
      </c>
      <c r="N220" s="4">
        <v>40892.25</v>
      </c>
      <c r="O220" t="b">
        <v>0</v>
      </c>
      <c r="P220" t="b">
        <v>1</v>
      </c>
      <c r="Q220" t="s">
        <v>195</v>
      </c>
      <c r="R220" t="str" cm="1">
        <f t="array" ref="R220:S220">_xlfn.TEXTSPLIT(Q220, "/", , FALSE)</f>
        <v>film &amp; video</v>
      </c>
      <c r="S220" t="str">
        <v>shorts</v>
      </c>
    </row>
    <row r="221" spans="1:19" ht="17" x14ac:dyDescent="0.2">
      <c r="A221">
        <v>219</v>
      </c>
      <c r="B221" t="s">
        <v>586</v>
      </c>
      <c r="C221" s="3" t="s">
        <v>587</v>
      </c>
      <c r="D221">
        <v>41700</v>
      </c>
      <c r="E221">
        <v>138497</v>
      </c>
      <c r="F221" s="5">
        <f t="shared" si="3"/>
        <v>3.3212709832134291</v>
      </c>
      <c r="G221" t="s">
        <v>8</v>
      </c>
      <c r="H221">
        <v>1539</v>
      </c>
      <c r="I221" t="s">
        <v>109</v>
      </c>
      <c r="J221" t="s">
        <v>110</v>
      </c>
      <c r="K221" s="4">
        <v>41137.208333333336</v>
      </c>
      <c r="L221" s="4" t="s">
        <v>54</v>
      </c>
      <c r="M221" s="4" t="s">
        <v>129</v>
      </c>
      <c r="N221" s="4">
        <v>41149.208333333336</v>
      </c>
      <c r="O221" t="b">
        <v>0</v>
      </c>
      <c r="P221" t="b">
        <v>0</v>
      </c>
      <c r="Q221" t="s">
        <v>166</v>
      </c>
      <c r="R221" t="str" cm="1">
        <f t="array" ref="R221:S221">_xlfn.TEXTSPLIT(Q221, "/", , FALSE)</f>
        <v>film &amp; video</v>
      </c>
      <c r="S221" t="str">
        <v>animation</v>
      </c>
    </row>
    <row r="222" spans="1:19" ht="17" x14ac:dyDescent="0.2">
      <c r="A222">
        <v>220</v>
      </c>
      <c r="B222" t="s">
        <v>588</v>
      </c>
      <c r="C222" s="3" t="s">
        <v>589</v>
      </c>
      <c r="D222">
        <v>7900</v>
      </c>
      <c r="E222">
        <v>667</v>
      </c>
      <c r="F222" s="5">
        <f t="shared" si="3"/>
        <v>8.4430379746835441E-2</v>
      </c>
      <c r="G222" t="s">
        <v>6</v>
      </c>
      <c r="H222">
        <v>17</v>
      </c>
      <c r="I222" t="s">
        <v>109</v>
      </c>
      <c r="J222" t="s">
        <v>110</v>
      </c>
      <c r="K222" s="4">
        <v>40725.208333333336</v>
      </c>
      <c r="L222" s="4" t="s">
        <v>53</v>
      </c>
      <c r="M222" s="4" t="s">
        <v>165</v>
      </c>
      <c r="N222" s="4">
        <v>40743.208333333336</v>
      </c>
      <c r="O222" t="b">
        <v>1</v>
      </c>
      <c r="P222" t="b">
        <v>0</v>
      </c>
      <c r="Q222" t="s">
        <v>124</v>
      </c>
      <c r="R222" t="str" cm="1">
        <f t="array" ref="R222:S222">_xlfn.TEXTSPLIT(Q222, "/", , FALSE)</f>
        <v>theater</v>
      </c>
      <c r="S222" t="str">
        <v>plays</v>
      </c>
    </row>
    <row r="223" spans="1:19" ht="34" x14ac:dyDescent="0.2">
      <c r="A223">
        <v>221</v>
      </c>
      <c r="B223" t="s">
        <v>590</v>
      </c>
      <c r="C223" s="3" t="s">
        <v>591</v>
      </c>
      <c r="D223">
        <v>121500</v>
      </c>
      <c r="E223">
        <v>119830</v>
      </c>
      <c r="F223" s="5">
        <f t="shared" si="3"/>
        <v>0.9862551440329218</v>
      </c>
      <c r="G223" t="s">
        <v>6</v>
      </c>
      <c r="H223">
        <v>2179</v>
      </c>
      <c r="I223" t="s">
        <v>109</v>
      </c>
      <c r="J223" t="s">
        <v>110</v>
      </c>
      <c r="K223" s="4">
        <v>41081.208333333336</v>
      </c>
      <c r="L223" s="4" t="s">
        <v>52</v>
      </c>
      <c r="M223" s="4" t="s">
        <v>129</v>
      </c>
      <c r="N223" s="4">
        <v>41083.208333333336</v>
      </c>
      <c r="O223" t="b">
        <v>1</v>
      </c>
      <c r="P223" t="b">
        <v>0</v>
      </c>
      <c r="Q223" t="s">
        <v>106</v>
      </c>
      <c r="R223" t="str" cm="1">
        <f t="array" ref="R223:S223">_xlfn.TEXTSPLIT(Q223, "/", , FALSE)</f>
        <v>food</v>
      </c>
      <c r="S223" t="str">
        <v>food trucks</v>
      </c>
    </row>
    <row r="224" spans="1:19" ht="17" x14ac:dyDescent="0.2">
      <c r="A224">
        <v>222</v>
      </c>
      <c r="B224" t="s">
        <v>592</v>
      </c>
      <c r="C224" s="3" t="s">
        <v>593</v>
      </c>
      <c r="D224">
        <v>4800</v>
      </c>
      <c r="E224">
        <v>6623</v>
      </c>
      <c r="F224" s="5">
        <f t="shared" si="3"/>
        <v>1.3797916666666667</v>
      </c>
      <c r="G224" t="s">
        <v>8</v>
      </c>
      <c r="H224">
        <v>138</v>
      </c>
      <c r="I224" t="s">
        <v>109</v>
      </c>
      <c r="J224" t="s">
        <v>110</v>
      </c>
      <c r="K224" s="4">
        <v>41914.208333333336</v>
      </c>
      <c r="L224" s="4" t="s">
        <v>56</v>
      </c>
      <c r="M224" s="4" t="s">
        <v>111</v>
      </c>
      <c r="N224" s="4">
        <v>41915.208333333336</v>
      </c>
      <c r="O224" t="b">
        <v>0</v>
      </c>
      <c r="P224" t="b">
        <v>0</v>
      </c>
      <c r="Q224" t="s">
        <v>217</v>
      </c>
      <c r="R224" t="str" cm="1">
        <f t="array" ref="R224:S224">_xlfn.TEXTSPLIT(Q224, "/", , FALSE)</f>
        <v>photography</v>
      </c>
      <c r="S224" t="str">
        <v>photography books</v>
      </c>
    </row>
    <row r="225" spans="1:19" ht="17" x14ac:dyDescent="0.2">
      <c r="A225">
        <v>223</v>
      </c>
      <c r="B225" t="s">
        <v>594</v>
      </c>
      <c r="C225" s="3" t="s">
        <v>595</v>
      </c>
      <c r="D225">
        <v>87300</v>
      </c>
      <c r="E225">
        <v>81897</v>
      </c>
      <c r="F225" s="5">
        <f t="shared" si="3"/>
        <v>0.93810996563573879</v>
      </c>
      <c r="G225" t="s">
        <v>6</v>
      </c>
      <c r="H225">
        <v>931</v>
      </c>
      <c r="I225" t="s">
        <v>109</v>
      </c>
      <c r="J225" t="s">
        <v>110</v>
      </c>
      <c r="K225" s="4">
        <v>42445.208333333328</v>
      </c>
      <c r="L225" s="4" t="s">
        <v>49</v>
      </c>
      <c r="M225" s="4" t="s">
        <v>153</v>
      </c>
      <c r="N225" s="4">
        <v>42459.208333333328</v>
      </c>
      <c r="O225" t="b">
        <v>0</v>
      </c>
      <c r="P225" t="b">
        <v>0</v>
      </c>
      <c r="Q225" t="s">
        <v>124</v>
      </c>
      <c r="R225" t="str" cm="1">
        <f t="array" ref="R225:S225">_xlfn.TEXTSPLIT(Q225, "/", , FALSE)</f>
        <v>theater</v>
      </c>
      <c r="S225" t="str">
        <v>plays</v>
      </c>
    </row>
    <row r="226" spans="1:19" ht="17" x14ac:dyDescent="0.2">
      <c r="A226">
        <v>224</v>
      </c>
      <c r="B226" t="s">
        <v>596</v>
      </c>
      <c r="C226" s="3" t="s">
        <v>597</v>
      </c>
      <c r="D226">
        <v>46300</v>
      </c>
      <c r="E226">
        <v>186885</v>
      </c>
      <c r="F226" s="5">
        <f t="shared" si="3"/>
        <v>4.0363930885529156</v>
      </c>
      <c r="G226" t="s">
        <v>8</v>
      </c>
      <c r="H226">
        <v>3594</v>
      </c>
      <c r="I226" t="s">
        <v>109</v>
      </c>
      <c r="J226" t="s">
        <v>110</v>
      </c>
      <c r="K226" s="4">
        <v>41906.208333333336</v>
      </c>
      <c r="L226" s="4" t="s">
        <v>55</v>
      </c>
      <c r="M226" s="4" t="s">
        <v>111</v>
      </c>
      <c r="N226" s="4">
        <v>41951.25</v>
      </c>
      <c r="O226" t="b">
        <v>0</v>
      </c>
      <c r="P226" t="b">
        <v>0</v>
      </c>
      <c r="Q226" t="s">
        <v>569</v>
      </c>
      <c r="R226" t="str" cm="1">
        <f t="array" ref="R226:S226">_xlfn.TEXTSPLIT(Q226, "/", , FALSE)</f>
        <v>film &amp; video</v>
      </c>
      <c r="S226" t="str">
        <v>science fiction</v>
      </c>
    </row>
    <row r="227" spans="1:19" ht="17" x14ac:dyDescent="0.2">
      <c r="A227">
        <v>225</v>
      </c>
      <c r="B227" t="s">
        <v>598</v>
      </c>
      <c r="C227" s="3" t="s">
        <v>599</v>
      </c>
      <c r="D227">
        <v>67800</v>
      </c>
      <c r="E227">
        <v>176398</v>
      </c>
      <c r="F227" s="5">
        <f t="shared" si="3"/>
        <v>2.6017404129793511</v>
      </c>
      <c r="G227" t="s">
        <v>8</v>
      </c>
      <c r="H227">
        <v>5880</v>
      </c>
      <c r="I227" t="s">
        <v>109</v>
      </c>
      <c r="J227" t="s">
        <v>110</v>
      </c>
      <c r="K227" s="4">
        <v>41762.208333333336</v>
      </c>
      <c r="L227" s="4" t="s">
        <v>51</v>
      </c>
      <c r="M227" s="4" t="s">
        <v>111</v>
      </c>
      <c r="N227" s="4">
        <v>41762.208333333336</v>
      </c>
      <c r="O227" t="b">
        <v>1</v>
      </c>
      <c r="P227" t="b">
        <v>0</v>
      </c>
      <c r="Q227" t="s">
        <v>112</v>
      </c>
      <c r="R227" t="str" cm="1">
        <f t="array" ref="R227:S227">_xlfn.TEXTSPLIT(Q227, "/", , FALSE)</f>
        <v>music</v>
      </c>
      <c r="S227" t="str">
        <v>rock</v>
      </c>
    </row>
    <row r="228" spans="1:19" ht="17" x14ac:dyDescent="0.2">
      <c r="A228">
        <v>226</v>
      </c>
      <c r="B228" t="s">
        <v>348</v>
      </c>
      <c r="C228" s="3" t="s">
        <v>600</v>
      </c>
      <c r="D228">
        <v>3000</v>
      </c>
      <c r="E228">
        <v>10999</v>
      </c>
      <c r="F228" s="5">
        <f t="shared" si="3"/>
        <v>3.6663333333333332</v>
      </c>
      <c r="G228" t="s">
        <v>8</v>
      </c>
      <c r="H228">
        <v>112</v>
      </c>
      <c r="I228" t="s">
        <v>109</v>
      </c>
      <c r="J228" t="s">
        <v>110</v>
      </c>
      <c r="K228" s="4">
        <v>40276.208333333336</v>
      </c>
      <c r="L228" s="4" t="s">
        <v>50</v>
      </c>
      <c r="M228" s="4" t="s">
        <v>140</v>
      </c>
      <c r="N228" s="4">
        <v>40313.208333333336</v>
      </c>
      <c r="O228" t="b">
        <v>0</v>
      </c>
      <c r="P228" t="b">
        <v>0</v>
      </c>
      <c r="Q228" t="s">
        <v>217</v>
      </c>
      <c r="R228" t="str" cm="1">
        <f t="array" ref="R228:S228">_xlfn.TEXTSPLIT(Q228, "/", , FALSE)</f>
        <v>photography</v>
      </c>
      <c r="S228" t="str">
        <v>photography books</v>
      </c>
    </row>
    <row r="229" spans="1:19" ht="17" x14ac:dyDescent="0.2">
      <c r="A229">
        <v>227</v>
      </c>
      <c r="B229" t="s">
        <v>601</v>
      </c>
      <c r="C229" s="3" t="s">
        <v>602</v>
      </c>
      <c r="D229">
        <v>60900</v>
      </c>
      <c r="E229">
        <v>102751</v>
      </c>
      <c r="F229" s="5">
        <f t="shared" si="3"/>
        <v>1.687208538587849</v>
      </c>
      <c r="G229" t="s">
        <v>8</v>
      </c>
      <c r="H229">
        <v>943</v>
      </c>
      <c r="I229" t="s">
        <v>109</v>
      </c>
      <c r="J229" t="s">
        <v>110</v>
      </c>
      <c r="K229" s="4">
        <v>42139.208333333328</v>
      </c>
      <c r="L229" s="4" t="s">
        <v>51</v>
      </c>
      <c r="M229" s="4" t="s">
        <v>105</v>
      </c>
      <c r="N229" s="4">
        <v>42145.208333333328</v>
      </c>
      <c r="O229" t="b">
        <v>0</v>
      </c>
      <c r="P229" t="b">
        <v>0</v>
      </c>
      <c r="Q229" t="s">
        <v>387</v>
      </c>
      <c r="R229" t="str" cm="1">
        <f t="array" ref="R229:S229">_xlfn.TEXTSPLIT(Q229, "/", , FALSE)</f>
        <v>games</v>
      </c>
      <c r="S229" t="str">
        <v>mobile games</v>
      </c>
    </row>
    <row r="230" spans="1:19" ht="17" x14ac:dyDescent="0.2">
      <c r="A230">
        <v>228</v>
      </c>
      <c r="B230" t="s">
        <v>603</v>
      </c>
      <c r="C230" s="3" t="s">
        <v>604</v>
      </c>
      <c r="D230">
        <v>137900</v>
      </c>
      <c r="E230">
        <v>165352</v>
      </c>
      <c r="F230" s="5">
        <f t="shared" si="3"/>
        <v>1.1990717911530093</v>
      </c>
      <c r="G230" t="s">
        <v>8</v>
      </c>
      <c r="H230">
        <v>2468</v>
      </c>
      <c r="I230" t="s">
        <v>109</v>
      </c>
      <c r="J230" t="s">
        <v>110</v>
      </c>
      <c r="K230" s="4">
        <v>42613.208333333328</v>
      </c>
      <c r="L230" s="4" t="s">
        <v>54</v>
      </c>
      <c r="M230" s="4" t="s">
        <v>153</v>
      </c>
      <c r="N230" s="4">
        <v>42638.208333333328</v>
      </c>
      <c r="O230" t="b">
        <v>0</v>
      </c>
      <c r="P230" t="b">
        <v>0</v>
      </c>
      <c r="Q230" t="s">
        <v>166</v>
      </c>
      <c r="R230" t="str" cm="1">
        <f t="array" ref="R230:S230">_xlfn.TEXTSPLIT(Q230, "/", , FALSE)</f>
        <v>film &amp; video</v>
      </c>
      <c r="S230" t="str">
        <v>animation</v>
      </c>
    </row>
    <row r="231" spans="1:19" ht="17" x14ac:dyDescent="0.2">
      <c r="A231">
        <v>229</v>
      </c>
      <c r="B231" t="s">
        <v>605</v>
      </c>
      <c r="C231" s="3" t="s">
        <v>606</v>
      </c>
      <c r="D231">
        <v>85600</v>
      </c>
      <c r="E231">
        <v>165798</v>
      </c>
      <c r="F231" s="5">
        <f t="shared" si="3"/>
        <v>1.936892523364486</v>
      </c>
      <c r="G231" t="s">
        <v>8</v>
      </c>
      <c r="H231">
        <v>2551</v>
      </c>
      <c r="I231" t="s">
        <v>109</v>
      </c>
      <c r="J231" t="s">
        <v>110</v>
      </c>
      <c r="K231" s="4">
        <v>42887.208333333328</v>
      </c>
      <c r="L231" s="4" t="s">
        <v>52</v>
      </c>
      <c r="M231" s="4" t="s">
        <v>134</v>
      </c>
      <c r="N231" s="4">
        <v>42935.208333333328</v>
      </c>
      <c r="O231" t="b">
        <v>0</v>
      </c>
      <c r="P231" t="b">
        <v>1</v>
      </c>
      <c r="Q231" t="s">
        <v>387</v>
      </c>
      <c r="R231" t="str" cm="1">
        <f t="array" ref="R231:S231">_xlfn.TEXTSPLIT(Q231, "/", , FALSE)</f>
        <v>games</v>
      </c>
      <c r="S231" t="str">
        <v>mobile games</v>
      </c>
    </row>
    <row r="232" spans="1:19" ht="17" x14ac:dyDescent="0.2">
      <c r="A232">
        <v>230</v>
      </c>
      <c r="B232" t="s">
        <v>607</v>
      </c>
      <c r="C232" s="3" t="s">
        <v>608</v>
      </c>
      <c r="D232">
        <v>2400</v>
      </c>
      <c r="E232">
        <v>10084</v>
      </c>
      <c r="F232" s="5">
        <f t="shared" si="3"/>
        <v>4.2016666666666671</v>
      </c>
      <c r="G232" t="s">
        <v>8</v>
      </c>
      <c r="H232">
        <v>101</v>
      </c>
      <c r="I232" t="s">
        <v>109</v>
      </c>
      <c r="J232" t="s">
        <v>110</v>
      </c>
      <c r="K232" s="4">
        <v>43805.25</v>
      </c>
      <c r="L232" s="4" t="s">
        <v>58</v>
      </c>
      <c r="M232" s="4" t="s">
        <v>121</v>
      </c>
      <c r="N232" s="4">
        <v>43805.25</v>
      </c>
      <c r="O232" t="b">
        <v>0</v>
      </c>
      <c r="P232" t="b">
        <v>0</v>
      </c>
      <c r="Q232" t="s">
        <v>184</v>
      </c>
      <c r="R232" t="str" cm="1">
        <f t="array" ref="R232:S232">_xlfn.TEXTSPLIT(Q232, "/", , FALSE)</f>
        <v>games</v>
      </c>
      <c r="S232" t="str">
        <v>video games</v>
      </c>
    </row>
    <row r="233" spans="1:19" ht="17" x14ac:dyDescent="0.2">
      <c r="A233">
        <v>231</v>
      </c>
      <c r="B233" t="s">
        <v>609</v>
      </c>
      <c r="C233" s="3" t="s">
        <v>610</v>
      </c>
      <c r="D233">
        <v>7200</v>
      </c>
      <c r="E233">
        <v>5523</v>
      </c>
      <c r="F233" s="5">
        <f t="shared" si="3"/>
        <v>0.76708333333333334</v>
      </c>
      <c r="G233" t="s">
        <v>5</v>
      </c>
      <c r="H233">
        <v>67</v>
      </c>
      <c r="I233" t="s">
        <v>109</v>
      </c>
      <c r="J233" t="s">
        <v>110</v>
      </c>
      <c r="K233" s="4">
        <v>41415.208333333336</v>
      </c>
      <c r="L233" s="4" t="s">
        <v>51</v>
      </c>
      <c r="M233" s="4" t="s">
        <v>117</v>
      </c>
      <c r="N233" s="4">
        <v>41473.208333333336</v>
      </c>
      <c r="O233" t="b">
        <v>0</v>
      </c>
      <c r="P233" t="b">
        <v>0</v>
      </c>
      <c r="Q233" t="s">
        <v>124</v>
      </c>
      <c r="R233" t="str" cm="1">
        <f t="array" ref="R233:S233">_xlfn.TEXTSPLIT(Q233, "/", , FALSE)</f>
        <v>theater</v>
      </c>
      <c r="S233" t="str">
        <v>plays</v>
      </c>
    </row>
    <row r="234" spans="1:19" ht="17" x14ac:dyDescent="0.2">
      <c r="A234">
        <v>232</v>
      </c>
      <c r="B234" t="s">
        <v>611</v>
      </c>
      <c r="C234" s="3" t="s">
        <v>612</v>
      </c>
      <c r="D234">
        <v>3400</v>
      </c>
      <c r="E234">
        <v>5823</v>
      </c>
      <c r="F234" s="5">
        <f t="shared" si="3"/>
        <v>1.7126470588235294</v>
      </c>
      <c r="G234" t="s">
        <v>8</v>
      </c>
      <c r="H234">
        <v>92</v>
      </c>
      <c r="I234" t="s">
        <v>109</v>
      </c>
      <c r="J234" t="s">
        <v>110</v>
      </c>
      <c r="K234" s="4">
        <v>42576.208333333328</v>
      </c>
      <c r="L234" s="4" t="s">
        <v>53</v>
      </c>
      <c r="M234" s="4" t="s">
        <v>153</v>
      </c>
      <c r="N234" s="4">
        <v>42577.208333333328</v>
      </c>
      <c r="O234" t="b">
        <v>0</v>
      </c>
      <c r="P234" t="b">
        <v>0</v>
      </c>
      <c r="Q234" t="s">
        <v>124</v>
      </c>
      <c r="R234" t="str" cm="1">
        <f t="array" ref="R234:S234">_xlfn.TEXTSPLIT(Q234, "/", , FALSE)</f>
        <v>theater</v>
      </c>
      <c r="S234" t="str">
        <v>plays</v>
      </c>
    </row>
    <row r="235" spans="1:19" ht="17" x14ac:dyDescent="0.2">
      <c r="A235">
        <v>233</v>
      </c>
      <c r="B235" t="s">
        <v>613</v>
      </c>
      <c r="C235" s="3" t="s">
        <v>614</v>
      </c>
      <c r="D235">
        <v>3800</v>
      </c>
      <c r="E235">
        <v>6000</v>
      </c>
      <c r="F235" s="5">
        <f t="shared" si="3"/>
        <v>1.5789473684210527</v>
      </c>
      <c r="G235" t="s">
        <v>8</v>
      </c>
      <c r="H235">
        <v>62</v>
      </c>
      <c r="I235" t="s">
        <v>109</v>
      </c>
      <c r="J235" t="s">
        <v>110</v>
      </c>
      <c r="K235" s="4">
        <v>40706.208333333336</v>
      </c>
      <c r="L235" s="4" t="s">
        <v>52</v>
      </c>
      <c r="M235" s="4" t="s">
        <v>165</v>
      </c>
      <c r="N235" s="4">
        <v>40722.208333333336</v>
      </c>
      <c r="O235" t="b">
        <v>0</v>
      </c>
      <c r="P235" t="b">
        <v>0</v>
      </c>
      <c r="Q235" t="s">
        <v>166</v>
      </c>
      <c r="R235" t="str" cm="1">
        <f t="array" ref="R235:S235">_xlfn.TEXTSPLIT(Q235, "/", , FALSE)</f>
        <v>film &amp; video</v>
      </c>
      <c r="S235" t="str">
        <v>animation</v>
      </c>
    </row>
    <row r="236" spans="1:19" ht="17" x14ac:dyDescent="0.2">
      <c r="A236">
        <v>234</v>
      </c>
      <c r="B236" t="s">
        <v>615</v>
      </c>
      <c r="C236" s="3" t="s">
        <v>616</v>
      </c>
      <c r="D236">
        <v>7500</v>
      </c>
      <c r="E236">
        <v>8181</v>
      </c>
      <c r="F236" s="5">
        <f t="shared" si="3"/>
        <v>1.0908</v>
      </c>
      <c r="G236" t="s">
        <v>8</v>
      </c>
      <c r="H236">
        <v>149</v>
      </c>
      <c r="I236" t="s">
        <v>202</v>
      </c>
      <c r="J236" t="s">
        <v>203</v>
      </c>
      <c r="K236" s="4">
        <v>42969.208333333328</v>
      </c>
      <c r="L236" s="4" t="s">
        <v>54</v>
      </c>
      <c r="M236" s="4" t="s">
        <v>134</v>
      </c>
      <c r="N236" s="4">
        <v>42976.208333333328</v>
      </c>
      <c r="O236" t="b">
        <v>0</v>
      </c>
      <c r="P236" t="b">
        <v>1</v>
      </c>
      <c r="Q236" t="s">
        <v>184</v>
      </c>
      <c r="R236" t="str" cm="1">
        <f t="array" ref="R236:S236">_xlfn.TEXTSPLIT(Q236, "/", , FALSE)</f>
        <v>games</v>
      </c>
      <c r="S236" t="str">
        <v>video games</v>
      </c>
    </row>
    <row r="237" spans="1:19" ht="34" x14ac:dyDescent="0.2">
      <c r="A237">
        <v>235</v>
      </c>
      <c r="B237" t="s">
        <v>617</v>
      </c>
      <c r="C237" s="3" t="s">
        <v>618</v>
      </c>
      <c r="D237">
        <v>8600</v>
      </c>
      <c r="E237">
        <v>3589</v>
      </c>
      <c r="F237" s="5">
        <f t="shared" si="3"/>
        <v>0.41732558139534881</v>
      </c>
      <c r="G237" t="s">
        <v>6</v>
      </c>
      <c r="H237">
        <v>92</v>
      </c>
      <c r="I237" t="s">
        <v>109</v>
      </c>
      <c r="J237" t="s">
        <v>110</v>
      </c>
      <c r="K237" s="4">
        <v>42779.25</v>
      </c>
      <c r="L237" s="4" t="s">
        <v>48</v>
      </c>
      <c r="M237" s="4" t="s">
        <v>134</v>
      </c>
      <c r="N237" s="4">
        <v>42784.25</v>
      </c>
      <c r="O237" t="b">
        <v>0</v>
      </c>
      <c r="P237" t="b">
        <v>0</v>
      </c>
      <c r="Q237" t="s">
        <v>166</v>
      </c>
      <c r="R237" t="str" cm="1">
        <f t="array" ref="R237:S237">_xlfn.TEXTSPLIT(Q237, "/", , FALSE)</f>
        <v>film &amp; video</v>
      </c>
      <c r="S237" t="str">
        <v>animation</v>
      </c>
    </row>
    <row r="238" spans="1:19" ht="17" x14ac:dyDescent="0.2">
      <c r="A238">
        <v>236</v>
      </c>
      <c r="B238" t="s">
        <v>619</v>
      </c>
      <c r="C238" s="3" t="s">
        <v>620</v>
      </c>
      <c r="D238">
        <v>39500</v>
      </c>
      <c r="E238">
        <v>4323</v>
      </c>
      <c r="F238" s="5">
        <f t="shared" si="3"/>
        <v>0.10944303797468355</v>
      </c>
      <c r="G238" t="s">
        <v>6</v>
      </c>
      <c r="H238">
        <v>57</v>
      </c>
      <c r="I238" t="s">
        <v>115</v>
      </c>
      <c r="J238" t="s">
        <v>116</v>
      </c>
      <c r="K238" s="4">
        <v>43641.208333333328</v>
      </c>
      <c r="L238" s="4" t="s">
        <v>52</v>
      </c>
      <c r="M238" s="4" t="s">
        <v>121</v>
      </c>
      <c r="N238" s="4">
        <v>43648.208333333328</v>
      </c>
      <c r="O238" t="b">
        <v>0</v>
      </c>
      <c r="P238" t="b">
        <v>1</v>
      </c>
      <c r="Q238" t="s">
        <v>112</v>
      </c>
      <c r="R238" t="str" cm="1">
        <f t="array" ref="R238:S238">_xlfn.TEXTSPLIT(Q238, "/", , FALSE)</f>
        <v>music</v>
      </c>
      <c r="S238" t="str">
        <v>rock</v>
      </c>
    </row>
    <row r="239" spans="1:19" ht="34" x14ac:dyDescent="0.2">
      <c r="A239">
        <v>237</v>
      </c>
      <c r="B239" t="s">
        <v>621</v>
      </c>
      <c r="C239" s="3" t="s">
        <v>622</v>
      </c>
      <c r="D239">
        <v>9300</v>
      </c>
      <c r="E239">
        <v>14822</v>
      </c>
      <c r="F239" s="5">
        <f t="shared" si="3"/>
        <v>1.593763440860215</v>
      </c>
      <c r="G239" t="s">
        <v>8</v>
      </c>
      <c r="H239">
        <v>329</v>
      </c>
      <c r="I239" t="s">
        <v>109</v>
      </c>
      <c r="J239" t="s">
        <v>110</v>
      </c>
      <c r="K239" s="4">
        <v>41754.208333333336</v>
      </c>
      <c r="L239" s="4" t="s">
        <v>50</v>
      </c>
      <c r="M239" s="4" t="s">
        <v>111</v>
      </c>
      <c r="N239" s="4">
        <v>41756.208333333336</v>
      </c>
      <c r="O239" t="b">
        <v>0</v>
      </c>
      <c r="P239" t="b">
        <v>0</v>
      </c>
      <c r="Q239" t="s">
        <v>166</v>
      </c>
      <c r="R239" t="str" cm="1">
        <f t="array" ref="R239:S239">_xlfn.TEXTSPLIT(Q239, "/", , FALSE)</f>
        <v>film &amp; video</v>
      </c>
      <c r="S239" t="str">
        <v>animation</v>
      </c>
    </row>
    <row r="240" spans="1:19" ht="17" x14ac:dyDescent="0.2">
      <c r="A240">
        <v>238</v>
      </c>
      <c r="B240" t="s">
        <v>623</v>
      </c>
      <c r="C240" s="3" t="s">
        <v>624</v>
      </c>
      <c r="D240">
        <v>2400</v>
      </c>
      <c r="E240">
        <v>10138</v>
      </c>
      <c r="F240" s="5">
        <f t="shared" si="3"/>
        <v>4.2241666666666671</v>
      </c>
      <c r="G240" t="s">
        <v>8</v>
      </c>
      <c r="H240">
        <v>97</v>
      </c>
      <c r="I240" t="s">
        <v>127</v>
      </c>
      <c r="J240" t="s">
        <v>128</v>
      </c>
      <c r="K240" s="4">
        <v>43083.25</v>
      </c>
      <c r="L240" s="4" t="s">
        <v>58</v>
      </c>
      <c r="M240" s="4" t="s">
        <v>134</v>
      </c>
      <c r="N240" s="4">
        <v>43108.25</v>
      </c>
      <c r="O240" t="b">
        <v>0</v>
      </c>
      <c r="P240" t="b">
        <v>1</v>
      </c>
      <c r="Q240" t="s">
        <v>124</v>
      </c>
      <c r="R240" t="str" cm="1">
        <f t="array" ref="R240:S240">_xlfn.TEXTSPLIT(Q240, "/", , FALSE)</f>
        <v>theater</v>
      </c>
      <c r="S240" t="str">
        <v>plays</v>
      </c>
    </row>
    <row r="241" spans="1:19" ht="34" x14ac:dyDescent="0.2">
      <c r="A241">
        <v>239</v>
      </c>
      <c r="B241" t="s">
        <v>625</v>
      </c>
      <c r="C241" s="3" t="s">
        <v>626</v>
      </c>
      <c r="D241">
        <v>3200</v>
      </c>
      <c r="E241">
        <v>3127</v>
      </c>
      <c r="F241" s="5">
        <f t="shared" si="3"/>
        <v>0.97718749999999999</v>
      </c>
      <c r="G241" t="s">
        <v>6</v>
      </c>
      <c r="H241">
        <v>41</v>
      </c>
      <c r="I241" t="s">
        <v>109</v>
      </c>
      <c r="J241" t="s">
        <v>110</v>
      </c>
      <c r="K241" s="4">
        <v>42245.208333333328</v>
      </c>
      <c r="L241" s="4" t="s">
        <v>54</v>
      </c>
      <c r="M241" s="4" t="s">
        <v>105</v>
      </c>
      <c r="N241" s="4">
        <v>42249.208333333328</v>
      </c>
      <c r="O241" t="b">
        <v>0</v>
      </c>
      <c r="P241" t="b">
        <v>0</v>
      </c>
      <c r="Q241" t="s">
        <v>159</v>
      </c>
      <c r="R241" t="str" cm="1">
        <f t="array" ref="R241:S241">_xlfn.TEXTSPLIT(Q241, "/", , FALSE)</f>
        <v>technology</v>
      </c>
      <c r="S241" t="str">
        <v>wearables</v>
      </c>
    </row>
    <row r="242" spans="1:19" ht="17" x14ac:dyDescent="0.2">
      <c r="A242">
        <v>240</v>
      </c>
      <c r="B242" t="s">
        <v>627</v>
      </c>
      <c r="C242" s="3" t="s">
        <v>628</v>
      </c>
      <c r="D242">
        <v>29400</v>
      </c>
      <c r="E242">
        <v>123124</v>
      </c>
      <c r="F242" s="5">
        <f t="shared" si="3"/>
        <v>4.1878911564625847</v>
      </c>
      <c r="G242" t="s">
        <v>8</v>
      </c>
      <c r="H242">
        <v>1784</v>
      </c>
      <c r="I242" t="s">
        <v>109</v>
      </c>
      <c r="J242" t="s">
        <v>110</v>
      </c>
      <c r="K242" s="4">
        <v>40396.208333333336</v>
      </c>
      <c r="L242" s="4" t="s">
        <v>54</v>
      </c>
      <c r="M242" s="4" t="s">
        <v>140</v>
      </c>
      <c r="N242" s="4">
        <v>40397.208333333336</v>
      </c>
      <c r="O242" t="b">
        <v>0</v>
      </c>
      <c r="P242" t="b">
        <v>0</v>
      </c>
      <c r="Q242" t="s">
        <v>124</v>
      </c>
      <c r="R242" t="str" cm="1">
        <f t="array" ref="R242:S242">_xlfn.TEXTSPLIT(Q242, "/", , FALSE)</f>
        <v>theater</v>
      </c>
      <c r="S242" t="str">
        <v>plays</v>
      </c>
    </row>
    <row r="243" spans="1:19" ht="17" x14ac:dyDescent="0.2">
      <c r="A243">
        <v>241</v>
      </c>
      <c r="B243" t="s">
        <v>629</v>
      </c>
      <c r="C243" s="3" t="s">
        <v>630</v>
      </c>
      <c r="D243">
        <v>168500</v>
      </c>
      <c r="E243">
        <v>171729</v>
      </c>
      <c r="F243" s="5">
        <f t="shared" si="3"/>
        <v>1.0191632047477746</v>
      </c>
      <c r="G243" t="s">
        <v>8</v>
      </c>
      <c r="H243">
        <v>1684</v>
      </c>
      <c r="I243" t="s">
        <v>115</v>
      </c>
      <c r="J243" t="s">
        <v>116</v>
      </c>
      <c r="K243" s="4">
        <v>41742.208333333336</v>
      </c>
      <c r="L243" s="4" t="s">
        <v>50</v>
      </c>
      <c r="M243" s="4" t="s">
        <v>111</v>
      </c>
      <c r="N243" s="4">
        <v>41752.208333333336</v>
      </c>
      <c r="O243" t="b">
        <v>0</v>
      </c>
      <c r="P243" t="b">
        <v>1</v>
      </c>
      <c r="Q243" t="s">
        <v>162</v>
      </c>
      <c r="R243" t="str" cm="1">
        <f t="array" ref="R243:S243">_xlfn.TEXTSPLIT(Q243, "/", , FALSE)</f>
        <v>publishing</v>
      </c>
      <c r="S243" t="str">
        <v>nonfiction</v>
      </c>
    </row>
    <row r="244" spans="1:19" ht="17" x14ac:dyDescent="0.2">
      <c r="A244">
        <v>242</v>
      </c>
      <c r="B244" t="s">
        <v>631</v>
      </c>
      <c r="C244" s="3" t="s">
        <v>632</v>
      </c>
      <c r="D244">
        <v>8400</v>
      </c>
      <c r="E244">
        <v>10729</v>
      </c>
      <c r="F244" s="5">
        <f t="shared" si="3"/>
        <v>1.2772619047619047</v>
      </c>
      <c r="G244" t="s">
        <v>8</v>
      </c>
      <c r="H244">
        <v>250</v>
      </c>
      <c r="I244" t="s">
        <v>109</v>
      </c>
      <c r="J244" t="s">
        <v>110</v>
      </c>
      <c r="K244" s="4">
        <v>42865.208333333328</v>
      </c>
      <c r="L244" s="4" t="s">
        <v>51</v>
      </c>
      <c r="M244" s="4" t="s">
        <v>134</v>
      </c>
      <c r="N244" s="4">
        <v>42875.208333333328</v>
      </c>
      <c r="O244" t="b">
        <v>0</v>
      </c>
      <c r="P244" t="b">
        <v>1</v>
      </c>
      <c r="Q244" t="s">
        <v>112</v>
      </c>
      <c r="R244" t="str" cm="1">
        <f t="array" ref="R244:S244">_xlfn.TEXTSPLIT(Q244, "/", , FALSE)</f>
        <v>music</v>
      </c>
      <c r="S244" t="str">
        <v>rock</v>
      </c>
    </row>
    <row r="245" spans="1:19" ht="34" x14ac:dyDescent="0.2">
      <c r="A245">
        <v>243</v>
      </c>
      <c r="B245" t="s">
        <v>633</v>
      </c>
      <c r="C245" s="3" t="s">
        <v>634</v>
      </c>
      <c r="D245">
        <v>2300</v>
      </c>
      <c r="E245">
        <v>10240</v>
      </c>
      <c r="F245" s="5">
        <f t="shared" si="3"/>
        <v>4.4521739130434783</v>
      </c>
      <c r="G245" t="s">
        <v>8</v>
      </c>
      <c r="H245">
        <v>238</v>
      </c>
      <c r="I245" t="s">
        <v>109</v>
      </c>
      <c r="J245" t="s">
        <v>110</v>
      </c>
      <c r="K245" s="4">
        <v>43163.25</v>
      </c>
      <c r="L245" s="4" t="s">
        <v>49</v>
      </c>
      <c r="M245" s="4" t="s">
        <v>169</v>
      </c>
      <c r="N245" s="4">
        <v>43166.25</v>
      </c>
      <c r="O245" t="b">
        <v>0</v>
      </c>
      <c r="P245" t="b">
        <v>0</v>
      </c>
      <c r="Q245" t="s">
        <v>124</v>
      </c>
      <c r="R245" t="str" cm="1">
        <f t="array" ref="R245:S245">_xlfn.TEXTSPLIT(Q245, "/", , FALSE)</f>
        <v>theater</v>
      </c>
      <c r="S245" t="str">
        <v>plays</v>
      </c>
    </row>
    <row r="246" spans="1:19" ht="34" x14ac:dyDescent="0.2">
      <c r="A246">
        <v>244</v>
      </c>
      <c r="B246" t="s">
        <v>635</v>
      </c>
      <c r="C246" s="3" t="s">
        <v>636</v>
      </c>
      <c r="D246">
        <v>700</v>
      </c>
      <c r="E246">
        <v>3988</v>
      </c>
      <c r="F246" s="5">
        <f t="shared" si="3"/>
        <v>5.6971428571428575</v>
      </c>
      <c r="G246" t="s">
        <v>8</v>
      </c>
      <c r="H246">
        <v>53</v>
      </c>
      <c r="I246" t="s">
        <v>109</v>
      </c>
      <c r="J246" t="s">
        <v>110</v>
      </c>
      <c r="K246" s="4">
        <v>41834.208333333336</v>
      </c>
      <c r="L246" s="4" t="s">
        <v>53</v>
      </c>
      <c r="M246" s="4" t="s">
        <v>111</v>
      </c>
      <c r="N246" s="4">
        <v>41886.208333333336</v>
      </c>
      <c r="O246" t="b">
        <v>0</v>
      </c>
      <c r="P246" t="b">
        <v>0</v>
      </c>
      <c r="Q246" t="s">
        <v>124</v>
      </c>
      <c r="R246" t="str" cm="1">
        <f t="array" ref="R246:S246">_xlfn.TEXTSPLIT(Q246, "/", , FALSE)</f>
        <v>theater</v>
      </c>
      <c r="S246" t="str">
        <v>plays</v>
      </c>
    </row>
    <row r="247" spans="1:19" ht="17" x14ac:dyDescent="0.2">
      <c r="A247">
        <v>245</v>
      </c>
      <c r="B247" t="s">
        <v>637</v>
      </c>
      <c r="C247" s="3" t="s">
        <v>638</v>
      </c>
      <c r="D247">
        <v>2900</v>
      </c>
      <c r="E247">
        <v>14771</v>
      </c>
      <c r="F247" s="5">
        <f t="shared" si="3"/>
        <v>5.0934482758620687</v>
      </c>
      <c r="G247" t="s">
        <v>8</v>
      </c>
      <c r="H247">
        <v>214</v>
      </c>
      <c r="I247" t="s">
        <v>109</v>
      </c>
      <c r="J247" t="s">
        <v>110</v>
      </c>
      <c r="K247" s="4">
        <v>41736.208333333336</v>
      </c>
      <c r="L247" s="4" t="s">
        <v>50</v>
      </c>
      <c r="M247" s="4" t="s">
        <v>111</v>
      </c>
      <c r="N247" s="4">
        <v>41737.208333333336</v>
      </c>
      <c r="O247" t="b">
        <v>0</v>
      </c>
      <c r="P247" t="b">
        <v>0</v>
      </c>
      <c r="Q247" t="s">
        <v>124</v>
      </c>
      <c r="R247" t="str" cm="1">
        <f t="array" ref="R247:S247">_xlfn.TEXTSPLIT(Q247, "/", , FALSE)</f>
        <v>theater</v>
      </c>
      <c r="S247" t="str">
        <v>plays</v>
      </c>
    </row>
    <row r="248" spans="1:19" ht="17" x14ac:dyDescent="0.2">
      <c r="A248">
        <v>246</v>
      </c>
      <c r="B248" t="s">
        <v>639</v>
      </c>
      <c r="C248" s="3" t="s">
        <v>640</v>
      </c>
      <c r="D248">
        <v>4500</v>
      </c>
      <c r="E248">
        <v>14649</v>
      </c>
      <c r="F248" s="5">
        <f t="shared" si="3"/>
        <v>3.2553333333333332</v>
      </c>
      <c r="G248" t="s">
        <v>8</v>
      </c>
      <c r="H248">
        <v>222</v>
      </c>
      <c r="I248" t="s">
        <v>109</v>
      </c>
      <c r="J248" t="s">
        <v>110</v>
      </c>
      <c r="K248" s="4">
        <v>41491.208333333336</v>
      </c>
      <c r="L248" s="4" t="s">
        <v>54</v>
      </c>
      <c r="M248" s="4" t="s">
        <v>117</v>
      </c>
      <c r="N248" s="4">
        <v>41495.208333333336</v>
      </c>
      <c r="O248" t="b">
        <v>0</v>
      </c>
      <c r="P248" t="b">
        <v>0</v>
      </c>
      <c r="Q248" t="s">
        <v>118</v>
      </c>
      <c r="R248" t="str" cm="1">
        <f t="array" ref="R248:S248">_xlfn.TEXTSPLIT(Q248, "/", , FALSE)</f>
        <v>technology</v>
      </c>
      <c r="S248" t="str">
        <v>web</v>
      </c>
    </row>
    <row r="249" spans="1:19" ht="17" x14ac:dyDescent="0.2">
      <c r="A249">
        <v>247</v>
      </c>
      <c r="B249" t="s">
        <v>641</v>
      </c>
      <c r="C249" s="3" t="s">
        <v>642</v>
      </c>
      <c r="D249">
        <v>19800</v>
      </c>
      <c r="E249">
        <v>184658</v>
      </c>
      <c r="F249" s="5">
        <f t="shared" si="3"/>
        <v>9.3261616161616168</v>
      </c>
      <c r="G249" t="s">
        <v>8</v>
      </c>
      <c r="H249">
        <v>1884</v>
      </c>
      <c r="I249" t="s">
        <v>109</v>
      </c>
      <c r="J249" t="s">
        <v>110</v>
      </c>
      <c r="K249" s="4">
        <v>42726.25</v>
      </c>
      <c r="L249" s="4" t="s">
        <v>58</v>
      </c>
      <c r="M249" s="4" t="s">
        <v>153</v>
      </c>
      <c r="N249" s="4">
        <v>42741.25</v>
      </c>
      <c r="O249" t="b">
        <v>0</v>
      </c>
      <c r="P249" t="b">
        <v>1</v>
      </c>
      <c r="Q249" t="s">
        <v>214</v>
      </c>
      <c r="R249" t="str" cm="1">
        <f t="array" ref="R249:S249">_xlfn.TEXTSPLIT(Q249, "/", , FALSE)</f>
        <v>publishing</v>
      </c>
      <c r="S249" t="str">
        <v>fiction</v>
      </c>
    </row>
    <row r="250" spans="1:19" ht="17" x14ac:dyDescent="0.2">
      <c r="A250">
        <v>248</v>
      </c>
      <c r="B250" t="s">
        <v>643</v>
      </c>
      <c r="C250" s="3" t="s">
        <v>644</v>
      </c>
      <c r="D250">
        <v>6200</v>
      </c>
      <c r="E250">
        <v>13103</v>
      </c>
      <c r="F250" s="5">
        <f t="shared" si="3"/>
        <v>2.1133870967741935</v>
      </c>
      <c r="G250" t="s">
        <v>8</v>
      </c>
      <c r="H250">
        <v>218</v>
      </c>
      <c r="I250" t="s">
        <v>115</v>
      </c>
      <c r="J250" t="s">
        <v>116</v>
      </c>
      <c r="K250" s="4">
        <v>42004.25</v>
      </c>
      <c r="L250" s="4" t="s">
        <v>58</v>
      </c>
      <c r="M250" s="4" t="s">
        <v>111</v>
      </c>
      <c r="N250" s="4">
        <v>42009.25</v>
      </c>
      <c r="O250" t="b">
        <v>0</v>
      </c>
      <c r="P250" t="b">
        <v>0</v>
      </c>
      <c r="Q250" t="s">
        <v>387</v>
      </c>
      <c r="R250" t="str" cm="1">
        <f t="array" ref="R250:S250">_xlfn.TEXTSPLIT(Q250, "/", , FALSE)</f>
        <v>games</v>
      </c>
      <c r="S250" t="str">
        <v>mobile games</v>
      </c>
    </row>
    <row r="251" spans="1:19" ht="17" x14ac:dyDescent="0.2">
      <c r="A251">
        <v>249</v>
      </c>
      <c r="B251" t="s">
        <v>645</v>
      </c>
      <c r="C251" s="3" t="s">
        <v>646</v>
      </c>
      <c r="D251">
        <v>61500</v>
      </c>
      <c r="E251">
        <v>168095</v>
      </c>
      <c r="F251" s="5">
        <f t="shared" si="3"/>
        <v>2.7332520325203253</v>
      </c>
      <c r="G251" t="s">
        <v>8</v>
      </c>
      <c r="H251">
        <v>6465</v>
      </c>
      <c r="I251" t="s">
        <v>109</v>
      </c>
      <c r="J251" t="s">
        <v>110</v>
      </c>
      <c r="K251" s="4">
        <v>42006.25</v>
      </c>
      <c r="L251" s="4" t="s">
        <v>47</v>
      </c>
      <c r="M251" s="4" t="s">
        <v>105</v>
      </c>
      <c r="N251" s="4">
        <v>42013.25</v>
      </c>
      <c r="O251" t="b">
        <v>0</v>
      </c>
      <c r="P251" t="b">
        <v>0</v>
      </c>
      <c r="Q251" t="s">
        <v>301</v>
      </c>
      <c r="R251" t="str" cm="1">
        <f t="array" ref="R251:S251">_xlfn.TEXTSPLIT(Q251, "/", , FALSE)</f>
        <v>publishing</v>
      </c>
      <c r="S251" t="str">
        <v>translations</v>
      </c>
    </row>
    <row r="252" spans="1:19" ht="17" x14ac:dyDescent="0.2">
      <c r="A252">
        <v>250</v>
      </c>
      <c r="B252" t="s">
        <v>647</v>
      </c>
      <c r="C252" s="3" t="s">
        <v>648</v>
      </c>
      <c r="D252">
        <v>100</v>
      </c>
      <c r="E252">
        <v>3</v>
      </c>
      <c r="F252" s="5">
        <f t="shared" si="3"/>
        <v>0.03</v>
      </c>
      <c r="G252" t="s">
        <v>6</v>
      </c>
      <c r="H252">
        <v>1</v>
      </c>
      <c r="I252" t="s">
        <v>109</v>
      </c>
      <c r="J252" t="s">
        <v>110</v>
      </c>
      <c r="K252" s="4">
        <v>40203.25</v>
      </c>
      <c r="L252" s="4" t="s">
        <v>47</v>
      </c>
      <c r="M252" s="4" t="s">
        <v>140</v>
      </c>
      <c r="N252" s="4">
        <v>40238.25</v>
      </c>
      <c r="O252" t="b">
        <v>0</v>
      </c>
      <c r="P252" t="b">
        <v>0</v>
      </c>
      <c r="Q252" t="s">
        <v>112</v>
      </c>
      <c r="R252" t="str" cm="1">
        <f t="array" ref="R252:S252">_xlfn.TEXTSPLIT(Q252, "/", , FALSE)</f>
        <v>music</v>
      </c>
      <c r="S252" t="str">
        <v>rock</v>
      </c>
    </row>
    <row r="253" spans="1:19" ht="17" x14ac:dyDescent="0.2">
      <c r="A253">
        <v>251</v>
      </c>
      <c r="B253" t="s">
        <v>649</v>
      </c>
      <c r="C253" s="3" t="s">
        <v>650</v>
      </c>
      <c r="D253">
        <v>7100</v>
      </c>
      <c r="E253">
        <v>3840</v>
      </c>
      <c r="F253" s="5">
        <f t="shared" si="3"/>
        <v>0.54084507042253516</v>
      </c>
      <c r="G253" t="s">
        <v>6</v>
      </c>
      <c r="H253">
        <v>101</v>
      </c>
      <c r="I253" t="s">
        <v>109</v>
      </c>
      <c r="J253" t="s">
        <v>110</v>
      </c>
      <c r="K253" s="4">
        <v>41252.25</v>
      </c>
      <c r="L253" s="4" t="s">
        <v>58</v>
      </c>
      <c r="M253" s="4" t="s">
        <v>129</v>
      </c>
      <c r="N253" s="4">
        <v>41254.25</v>
      </c>
      <c r="O253" t="b">
        <v>0</v>
      </c>
      <c r="P253" t="b">
        <v>0</v>
      </c>
      <c r="Q253" t="s">
        <v>124</v>
      </c>
      <c r="R253" t="str" cm="1">
        <f t="array" ref="R253:S253">_xlfn.TEXTSPLIT(Q253, "/", , FALSE)</f>
        <v>theater</v>
      </c>
      <c r="S253" t="str">
        <v>plays</v>
      </c>
    </row>
    <row r="254" spans="1:19" ht="34" x14ac:dyDescent="0.2">
      <c r="A254">
        <v>252</v>
      </c>
      <c r="B254" t="s">
        <v>651</v>
      </c>
      <c r="C254" s="3" t="s">
        <v>652</v>
      </c>
      <c r="D254">
        <v>1000</v>
      </c>
      <c r="E254">
        <v>6263</v>
      </c>
      <c r="F254" s="5">
        <f t="shared" si="3"/>
        <v>6.2629999999999999</v>
      </c>
      <c r="G254" t="s">
        <v>8</v>
      </c>
      <c r="H254">
        <v>59</v>
      </c>
      <c r="I254" t="s">
        <v>109</v>
      </c>
      <c r="J254" t="s">
        <v>110</v>
      </c>
      <c r="K254" s="4">
        <v>41572.208333333336</v>
      </c>
      <c r="L254" s="4" t="s">
        <v>56</v>
      </c>
      <c r="M254" s="4" t="s">
        <v>117</v>
      </c>
      <c r="N254" s="4">
        <v>41577.208333333336</v>
      </c>
      <c r="O254" t="b">
        <v>0</v>
      </c>
      <c r="P254" t="b">
        <v>0</v>
      </c>
      <c r="Q254" t="s">
        <v>124</v>
      </c>
      <c r="R254" t="str" cm="1">
        <f t="array" ref="R254:S254">_xlfn.TEXTSPLIT(Q254, "/", , FALSE)</f>
        <v>theater</v>
      </c>
      <c r="S254" t="str">
        <v>plays</v>
      </c>
    </row>
    <row r="255" spans="1:19" ht="17" x14ac:dyDescent="0.2">
      <c r="A255">
        <v>253</v>
      </c>
      <c r="B255" t="s">
        <v>653</v>
      </c>
      <c r="C255" s="3" t="s">
        <v>654</v>
      </c>
      <c r="D255">
        <v>121500</v>
      </c>
      <c r="E255">
        <v>108161</v>
      </c>
      <c r="F255" s="5">
        <f t="shared" si="3"/>
        <v>0.8902139917695473</v>
      </c>
      <c r="G255" t="s">
        <v>6</v>
      </c>
      <c r="H255">
        <v>1335</v>
      </c>
      <c r="I255" t="s">
        <v>103</v>
      </c>
      <c r="J255" t="s">
        <v>104</v>
      </c>
      <c r="K255" s="4">
        <v>40641.208333333336</v>
      </c>
      <c r="L255" s="4" t="s">
        <v>50</v>
      </c>
      <c r="M255" s="4" t="s">
        <v>165</v>
      </c>
      <c r="N255" s="4">
        <v>40653.208333333336</v>
      </c>
      <c r="O255" t="b">
        <v>0</v>
      </c>
      <c r="P255" t="b">
        <v>0</v>
      </c>
      <c r="Q255" t="s">
        <v>146</v>
      </c>
      <c r="R255" t="str" cm="1">
        <f t="array" ref="R255:S255">_xlfn.TEXTSPLIT(Q255, "/", , FALSE)</f>
        <v>film &amp; video</v>
      </c>
      <c r="S255" t="str">
        <v>drama</v>
      </c>
    </row>
    <row r="256" spans="1:19" ht="34" x14ac:dyDescent="0.2">
      <c r="A256">
        <v>254</v>
      </c>
      <c r="B256" t="s">
        <v>655</v>
      </c>
      <c r="C256" s="3" t="s">
        <v>656</v>
      </c>
      <c r="D256">
        <v>4600</v>
      </c>
      <c r="E256">
        <v>8505</v>
      </c>
      <c r="F256" s="5">
        <f t="shared" si="3"/>
        <v>1.8489130434782608</v>
      </c>
      <c r="G256" t="s">
        <v>8</v>
      </c>
      <c r="H256">
        <v>88</v>
      </c>
      <c r="I256" t="s">
        <v>109</v>
      </c>
      <c r="J256" t="s">
        <v>110</v>
      </c>
      <c r="K256" s="4">
        <v>42787.25</v>
      </c>
      <c r="L256" s="4" t="s">
        <v>48</v>
      </c>
      <c r="M256" s="4" t="s">
        <v>134</v>
      </c>
      <c r="N256" s="4">
        <v>42789.25</v>
      </c>
      <c r="O256" t="b">
        <v>0</v>
      </c>
      <c r="P256" t="b">
        <v>0</v>
      </c>
      <c r="Q256" t="s">
        <v>162</v>
      </c>
      <c r="R256" t="str" cm="1">
        <f t="array" ref="R256:S256">_xlfn.TEXTSPLIT(Q256, "/", , FALSE)</f>
        <v>publishing</v>
      </c>
      <c r="S256" t="str">
        <v>nonfiction</v>
      </c>
    </row>
    <row r="257" spans="1:19" ht="34" x14ac:dyDescent="0.2">
      <c r="A257">
        <v>255</v>
      </c>
      <c r="B257" t="s">
        <v>657</v>
      </c>
      <c r="C257" s="3" t="s">
        <v>658</v>
      </c>
      <c r="D257">
        <v>80500</v>
      </c>
      <c r="E257">
        <v>96735</v>
      </c>
      <c r="F257" s="5">
        <f t="shared" si="3"/>
        <v>1.2016770186335404</v>
      </c>
      <c r="G257" t="s">
        <v>8</v>
      </c>
      <c r="H257">
        <v>1697</v>
      </c>
      <c r="I257" t="s">
        <v>109</v>
      </c>
      <c r="J257" t="s">
        <v>110</v>
      </c>
      <c r="K257" s="4">
        <v>40590.25</v>
      </c>
      <c r="L257" s="4" t="s">
        <v>48</v>
      </c>
      <c r="M257" s="4" t="s">
        <v>165</v>
      </c>
      <c r="N257" s="4">
        <v>40595.25</v>
      </c>
      <c r="O257" t="b">
        <v>0</v>
      </c>
      <c r="P257" t="b">
        <v>1</v>
      </c>
      <c r="Q257" t="s">
        <v>112</v>
      </c>
      <c r="R257" t="str" cm="1">
        <f t="array" ref="R257:S257">_xlfn.TEXTSPLIT(Q257, "/", , FALSE)</f>
        <v>music</v>
      </c>
      <c r="S257" t="str">
        <v>rock</v>
      </c>
    </row>
    <row r="258" spans="1:19" ht="17" x14ac:dyDescent="0.2">
      <c r="A258">
        <v>256</v>
      </c>
      <c r="B258" t="s">
        <v>659</v>
      </c>
      <c r="C258" s="3" t="s">
        <v>660</v>
      </c>
      <c r="D258">
        <v>4100</v>
      </c>
      <c r="E258">
        <v>959</v>
      </c>
      <c r="F258" s="5">
        <f t="shared" si="3"/>
        <v>0.23390243902439026</v>
      </c>
      <c r="G258" t="s">
        <v>6</v>
      </c>
      <c r="H258">
        <v>15</v>
      </c>
      <c r="I258" t="s">
        <v>132</v>
      </c>
      <c r="J258" t="s">
        <v>133</v>
      </c>
      <c r="K258" s="4">
        <v>42393.25</v>
      </c>
      <c r="L258" s="4" t="s">
        <v>47</v>
      </c>
      <c r="M258" s="4" t="s">
        <v>153</v>
      </c>
      <c r="N258" s="4">
        <v>42430.25</v>
      </c>
      <c r="O258" t="b">
        <v>0</v>
      </c>
      <c r="P258" t="b">
        <v>0</v>
      </c>
      <c r="Q258" t="s">
        <v>112</v>
      </c>
      <c r="R258" t="str" cm="1">
        <f t="array" ref="R258:S258">_xlfn.TEXTSPLIT(Q258, "/", , FALSE)</f>
        <v>music</v>
      </c>
      <c r="S258" t="str">
        <v>rock</v>
      </c>
    </row>
    <row r="259" spans="1:19" ht="17" x14ac:dyDescent="0.2">
      <c r="A259">
        <v>257</v>
      </c>
      <c r="B259" t="s">
        <v>661</v>
      </c>
      <c r="C259" s="3" t="s">
        <v>662</v>
      </c>
      <c r="D259">
        <v>5700</v>
      </c>
      <c r="E259">
        <v>8322</v>
      </c>
      <c r="F259" s="5">
        <f t="shared" ref="F259:F322" si="4">E259/D259</f>
        <v>1.46</v>
      </c>
      <c r="G259" t="s">
        <v>8</v>
      </c>
      <c r="H259">
        <v>92</v>
      </c>
      <c r="I259" t="s">
        <v>109</v>
      </c>
      <c r="J259" t="s">
        <v>110</v>
      </c>
      <c r="K259" s="4">
        <v>41338.25</v>
      </c>
      <c r="L259" s="4" t="s">
        <v>49</v>
      </c>
      <c r="M259" s="4" t="s">
        <v>117</v>
      </c>
      <c r="N259" s="4">
        <v>41352.208333333336</v>
      </c>
      <c r="O259" t="b">
        <v>0</v>
      </c>
      <c r="P259" t="b">
        <v>0</v>
      </c>
      <c r="Q259" t="s">
        <v>124</v>
      </c>
      <c r="R259" t="str" cm="1">
        <f t="array" ref="R259:S259">_xlfn.TEXTSPLIT(Q259, "/", , FALSE)</f>
        <v>theater</v>
      </c>
      <c r="S259" t="str">
        <v>plays</v>
      </c>
    </row>
    <row r="260" spans="1:19" ht="17" x14ac:dyDescent="0.2">
      <c r="A260">
        <v>258</v>
      </c>
      <c r="B260" t="s">
        <v>663</v>
      </c>
      <c r="C260" s="3" t="s">
        <v>664</v>
      </c>
      <c r="D260">
        <v>5000</v>
      </c>
      <c r="E260">
        <v>13424</v>
      </c>
      <c r="F260" s="5">
        <f t="shared" si="4"/>
        <v>2.6848000000000001</v>
      </c>
      <c r="G260" t="s">
        <v>8</v>
      </c>
      <c r="H260">
        <v>186</v>
      </c>
      <c r="I260" t="s">
        <v>109</v>
      </c>
      <c r="J260" t="s">
        <v>110</v>
      </c>
      <c r="K260" s="4">
        <v>42712.25</v>
      </c>
      <c r="L260" s="4" t="s">
        <v>58</v>
      </c>
      <c r="M260" s="4" t="s">
        <v>153</v>
      </c>
      <c r="N260" s="4">
        <v>42732.25</v>
      </c>
      <c r="O260" t="b">
        <v>0</v>
      </c>
      <c r="P260" t="b">
        <v>1</v>
      </c>
      <c r="Q260" t="s">
        <v>124</v>
      </c>
      <c r="R260" t="str" cm="1">
        <f t="array" ref="R260:S260">_xlfn.TEXTSPLIT(Q260, "/", , FALSE)</f>
        <v>theater</v>
      </c>
      <c r="S260" t="str">
        <v>plays</v>
      </c>
    </row>
    <row r="261" spans="1:19" ht="34" x14ac:dyDescent="0.2">
      <c r="A261">
        <v>259</v>
      </c>
      <c r="B261" t="s">
        <v>665</v>
      </c>
      <c r="C261" s="3" t="s">
        <v>666</v>
      </c>
      <c r="D261">
        <v>1800</v>
      </c>
      <c r="E261">
        <v>10755</v>
      </c>
      <c r="F261" s="5">
        <f t="shared" si="4"/>
        <v>5.9749999999999996</v>
      </c>
      <c r="G261" t="s">
        <v>8</v>
      </c>
      <c r="H261">
        <v>138</v>
      </c>
      <c r="I261" t="s">
        <v>109</v>
      </c>
      <c r="J261" t="s">
        <v>110</v>
      </c>
      <c r="K261" s="4">
        <v>41251.25</v>
      </c>
      <c r="L261" s="4" t="s">
        <v>58</v>
      </c>
      <c r="M261" s="4" t="s">
        <v>129</v>
      </c>
      <c r="N261" s="4">
        <v>41270.25</v>
      </c>
      <c r="O261" t="b">
        <v>1</v>
      </c>
      <c r="P261" t="b">
        <v>0</v>
      </c>
      <c r="Q261" t="s">
        <v>217</v>
      </c>
      <c r="R261" t="str" cm="1">
        <f t="array" ref="R261:S261">_xlfn.TEXTSPLIT(Q261, "/", , FALSE)</f>
        <v>photography</v>
      </c>
      <c r="S261" t="str">
        <v>photography books</v>
      </c>
    </row>
    <row r="262" spans="1:19" ht="17" x14ac:dyDescent="0.2">
      <c r="A262">
        <v>260</v>
      </c>
      <c r="B262" t="s">
        <v>667</v>
      </c>
      <c r="C262" s="3" t="s">
        <v>668</v>
      </c>
      <c r="D262">
        <v>6300</v>
      </c>
      <c r="E262">
        <v>9935</v>
      </c>
      <c r="F262" s="5">
        <f t="shared" si="4"/>
        <v>1.5769841269841269</v>
      </c>
      <c r="G262" t="s">
        <v>8</v>
      </c>
      <c r="H262">
        <v>261</v>
      </c>
      <c r="I262" t="s">
        <v>109</v>
      </c>
      <c r="J262" t="s">
        <v>110</v>
      </c>
      <c r="K262" s="4">
        <v>41180.208333333336</v>
      </c>
      <c r="L262" s="4" t="s">
        <v>55</v>
      </c>
      <c r="M262" s="4" t="s">
        <v>129</v>
      </c>
      <c r="N262" s="4">
        <v>41192.208333333336</v>
      </c>
      <c r="O262" t="b">
        <v>0</v>
      </c>
      <c r="P262" t="b">
        <v>0</v>
      </c>
      <c r="Q262" t="s">
        <v>112</v>
      </c>
      <c r="R262" t="str" cm="1">
        <f t="array" ref="R262:S262">_xlfn.TEXTSPLIT(Q262, "/", , FALSE)</f>
        <v>music</v>
      </c>
      <c r="S262" t="str">
        <v>rock</v>
      </c>
    </row>
    <row r="263" spans="1:19" ht="34" x14ac:dyDescent="0.2">
      <c r="A263">
        <v>261</v>
      </c>
      <c r="B263" t="s">
        <v>669</v>
      </c>
      <c r="C263" s="3" t="s">
        <v>670</v>
      </c>
      <c r="D263">
        <v>84300</v>
      </c>
      <c r="E263">
        <v>26303</v>
      </c>
      <c r="F263" s="5">
        <f t="shared" si="4"/>
        <v>0.31201660735468567</v>
      </c>
      <c r="G263" t="s">
        <v>6</v>
      </c>
      <c r="H263">
        <v>454</v>
      </c>
      <c r="I263" t="s">
        <v>109</v>
      </c>
      <c r="J263" t="s">
        <v>110</v>
      </c>
      <c r="K263" s="4">
        <v>40415.208333333336</v>
      </c>
      <c r="L263" s="4" t="s">
        <v>54</v>
      </c>
      <c r="M263" s="4" t="s">
        <v>140</v>
      </c>
      <c r="N263" s="4">
        <v>40419.208333333336</v>
      </c>
      <c r="O263" t="b">
        <v>0</v>
      </c>
      <c r="P263" t="b">
        <v>1</v>
      </c>
      <c r="Q263" t="s">
        <v>112</v>
      </c>
      <c r="R263" t="str" cm="1">
        <f t="array" ref="R263:S263">_xlfn.TEXTSPLIT(Q263, "/", , FALSE)</f>
        <v>music</v>
      </c>
      <c r="S263" t="str">
        <v>rock</v>
      </c>
    </row>
    <row r="264" spans="1:19" ht="17" x14ac:dyDescent="0.2">
      <c r="A264">
        <v>262</v>
      </c>
      <c r="B264" t="s">
        <v>671</v>
      </c>
      <c r="C264" s="3" t="s">
        <v>672</v>
      </c>
      <c r="D264">
        <v>1700</v>
      </c>
      <c r="E264">
        <v>5328</v>
      </c>
      <c r="F264" s="5">
        <f t="shared" si="4"/>
        <v>3.1341176470588237</v>
      </c>
      <c r="G264" t="s">
        <v>8</v>
      </c>
      <c r="H264">
        <v>107</v>
      </c>
      <c r="I264" t="s">
        <v>109</v>
      </c>
      <c r="J264" t="s">
        <v>110</v>
      </c>
      <c r="K264" s="4">
        <v>40638.208333333336</v>
      </c>
      <c r="L264" s="4" t="s">
        <v>50</v>
      </c>
      <c r="M264" s="4" t="s">
        <v>165</v>
      </c>
      <c r="N264" s="4">
        <v>40664.208333333336</v>
      </c>
      <c r="O264" t="b">
        <v>0</v>
      </c>
      <c r="P264" t="b">
        <v>1</v>
      </c>
      <c r="Q264" t="s">
        <v>154</v>
      </c>
      <c r="R264" t="str" cm="1">
        <f t="array" ref="R264:S264">_xlfn.TEXTSPLIT(Q264, "/", , FALSE)</f>
        <v>music</v>
      </c>
      <c r="S264" t="str">
        <v>indie rock</v>
      </c>
    </row>
    <row r="265" spans="1:19" ht="17" x14ac:dyDescent="0.2">
      <c r="A265">
        <v>263</v>
      </c>
      <c r="B265" t="s">
        <v>673</v>
      </c>
      <c r="C265" s="3" t="s">
        <v>674</v>
      </c>
      <c r="D265">
        <v>2900</v>
      </c>
      <c r="E265">
        <v>10756</v>
      </c>
      <c r="F265" s="5">
        <f t="shared" si="4"/>
        <v>3.7089655172413791</v>
      </c>
      <c r="G265" t="s">
        <v>8</v>
      </c>
      <c r="H265">
        <v>199</v>
      </c>
      <c r="I265" t="s">
        <v>109</v>
      </c>
      <c r="J265" t="s">
        <v>110</v>
      </c>
      <c r="K265" s="4">
        <v>40187.25</v>
      </c>
      <c r="L265" s="4" t="s">
        <v>47</v>
      </c>
      <c r="M265" s="4" t="s">
        <v>140</v>
      </c>
      <c r="N265" s="4">
        <v>40187.25</v>
      </c>
      <c r="O265" t="b">
        <v>0</v>
      </c>
      <c r="P265" t="b">
        <v>0</v>
      </c>
      <c r="Q265" t="s">
        <v>217</v>
      </c>
      <c r="R265" t="str" cm="1">
        <f t="array" ref="R265:S265">_xlfn.TEXTSPLIT(Q265, "/", , FALSE)</f>
        <v>photography</v>
      </c>
      <c r="S265" t="str">
        <v>photography books</v>
      </c>
    </row>
    <row r="266" spans="1:19" ht="17" x14ac:dyDescent="0.2">
      <c r="A266">
        <v>264</v>
      </c>
      <c r="B266" t="s">
        <v>675</v>
      </c>
      <c r="C266" s="3" t="s">
        <v>676</v>
      </c>
      <c r="D266">
        <v>45600</v>
      </c>
      <c r="E266">
        <v>165375</v>
      </c>
      <c r="F266" s="5">
        <f t="shared" si="4"/>
        <v>3.6266447368421053</v>
      </c>
      <c r="G266" t="s">
        <v>8</v>
      </c>
      <c r="H266">
        <v>5512</v>
      </c>
      <c r="I266" t="s">
        <v>109</v>
      </c>
      <c r="J266" t="s">
        <v>110</v>
      </c>
      <c r="K266" s="4">
        <v>41317.25</v>
      </c>
      <c r="L266" s="4" t="s">
        <v>48</v>
      </c>
      <c r="M266" s="4" t="s">
        <v>117</v>
      </c>
      <c r="N266" s="4">
        <v>41333.25</v>
      </c>
      <c r="O266" t="b">
        <v>0</v>
      </c>
      <c r="P266" t="b">
        <v>0</v>
      </c>
      <c r="Q266" t="s">
        <v>124</v>
      </c>
      <c r="R266" t="str" cm="1">
        <f t="array" ref="R266:S266">_xlfn.TEXTSPLIT(Q266, "/", , FALSE)</f>
        <v>theater</v>
      </c>
      <c r="S266" t="str">
        <v>plays</v>
      </c>
    </row>
    <row r="267" spans="1:19" ht="17" x14ac:dyDescent="0.2">
      <c r="A267">
        <v>265</v>
      </c>
      <c r="B267" t="s">
        <v>677</v>
      </c>
      <c r="C267" s="3" t="s">
        <v>678</v>
      </c>
      <c r="D267">
        <v>4900</v>
      </c>
      <c r="E267">
        <v>6031</v>
      </c>
      <c r="F267" s="5">
        <f t="shared" si="4"/>
        <v>1.2308163265306122</v>
      </c>
      <c r="G267" t="s">
        <v>8</v>
      </c>
      <c r="H267">
        <v>86</v>
      </c>
      <c r="I267" t="s">
        <v>109</v>
      </c>
      <c r="J267" t="s">
        <v>110</v>
      </c>
      <c r="K267" s="4">
        <v>42372.25</v>
      </c>
      <c r="L267" s="4" t="s">
        <v>47</v>
      </c>
      <c r="M267" s="4" t="s">
        <v>153</v>
      </c>
      <c r="N267" s="4">
        <v>42416.25</v>
      </c>
      <c r="O267" t="b">
        <v>0</v>
      </c>
      <c r="P267" t="b">
        <v>0</v>
      </c>
      <c r="Q267" t="s">
        <v>124</v>
      </c>
      <c r="R267" t="str" cm="1">
        <f t="array" ref="R267:S267">_xlfn.TEXTSPLIT(Q267, "/", , FALSE)</f>
        <v>theater</v>
      </c>
      <c r="S267" t="str">
        <v>plays</v>
      </c>
    </row>
    <row r="268" spans="1:19" ht="17" x14ac:dyDescent="0.2">
      <c r="A268">
        <v>266</v>
      </c>
      <c r="B268" t="s">
        <v>679</v>
      </c>
      <c r="C268" s="3" t="s">
        <v>680</v>
      </c>
      <c r="D268">
        <v>111900</v>
      </c>
      <c r="E268">
        <v>85902</v>
      </c>
      <c r="F268" s="5">
        <f t="shared" si="4"/>
        <v>0.76766756032171579</v>
      </c>
      <c r="G268" t="s">
        <v>6</v>
      </c>
      <c r="H268">
        <v>3182</v>
      </c>
      <c r="I268" t="s">
        <v>202</v>
      </c>
      <c r="J268" t="s">
        <v>203</v>
      </c>
      <c r="K268" s="4">
        <v>41950.25</v>
      </c>
      <c r="L268" s="4" t="s">
        <v>57</v>
      </c>
      <c r="M268" s="4" t="s">
        <v>111</v>
      </c>
      <c r="N268" s="4">
        <v>41983.25</v>
      </c>
      <c r="O268" t="b">
        <v>0</v>
      </c>
      <c r="P268" t="b">
        <v>1</v>
      </c>
      <c r="Q268" t="s">
        <v>254</v>
      </c>
      <c r="R268" t="str" cm="1">
        <f t="array" ref="R268:S268">_xlfn.TEXTSPLIT(Q268, "/", , FALSE)</f>
        <v>music</v>
      </c>
      <c r="S268" t="str">
        <v>jazz</v>
      </c>
    </row>
    <row r="269" spans="1:19" ht="17" x14ac:dyDescent="0.2">
      <c r="A269">
        <v>267</v>
      </c>
      <c r="B269" t="s">
        <v>681</v>
      </c>
      <c r="C269" s="3" t="s">
        <v>682</v>
      </c>
      <c r="D269">
        <v>61600</v>
      </c>
      <c r="E269">
        <v>143910</v>
      </c>
      <c r="F269" s="5">
        <f t="shared" si="4"/>
        <v>2.3362012987012988</v>
      </c>
      <c r="G269" t="s">
        <v>8</v>
      </c>
      <c r="H269">
        <v>2768</v>
      </c>
      <c r="I269" t="s">
        <v>115</v>
      </c>
      <c r="J269" t="s">
        <v>116</v>
      </c>
      <c r="K269" s="4">
        <v>41206.208333333336</v>
      </c>
      <c r="L269" s="4" t="s">
        <v>56</v>
      </c>
      <c r="M269" s="4" t="s">
        <v>129</v>
      </c>
      <c r="N269" s="4">
        <v>41222.25</v>
      </c>
      <c r="O269" t="b">
        <v>0</v>
      </c>
      <c r="P269" t="b">
        <v>0</v>
      </c>
      <c r="Q269" t="s">
        <v>124</v>
      </c>
      <c r="R269" t="str" cm="1">
        <f t="array" ref="R269:S269">_xlfn.TEXTSPLIT(Q269, "/", , FALSE)</f>
        <v>theater</v>
      </c>
      <c r="S269" t="str">
        <v>plays</v>
      </c>
    </row>
    <row r="270" spans="1:19" ht="17" x14ac:dyDescent="0.2">
      <c r="A270">
        <v>268</v>
      </c>
      <c r="B270" t="s">
        <v>683</v>
      </c>
      <c r="C270" s="3" t="s">
        <v>684</v>
      </c>
      <c r="D270">
        <v>1500</v>
      </c>
      <c r="E270">
        <v>2708</v>
      </c>
      <c r="F270" s="5">
        <f t="shared" si="4"/>
        <v>1.8053333333333332</v>
      </c>
      <c r="G270" t="s">
        <v>8</v>
      </c>
      <c r="H270">
        <v>48</v>
      </c>
      <c r="I270" t="s">
        <v>109</v>
      </c>
      <c r="J270" t="s">
        <v>110</v>
      </c>
      <c r="K270" s="4">
        <v>41186.208333333336</v>
      </c>
      <c r="L270" s="4" t="s">
        <v>56</v>
      </c>
      <c r="M270" s="4" t="s">
        <v>129</v>
      </c>
      <c r="N270" s="4">
        <v>41232.25</v>
      </c>
      <c r="O270" t="b">
        <v>0</v>
      </c>
      <c r="P270" t="b">
        <v>0</v>
      </c>
      <c r="Q270" t="s">
        <v>135</v>
      </c>
      <c r="R270" t="str" cm="1">
        <f t="array" ref="R270:S270">_xlfn.TEXTSPLIT(Q270, "/", , FALSE)</f>
        <v>film &amp; video</v>
      </c>
      <c r="S270" t="str">
        <v>documentary</v>
      </c>
    </row>
    <row r="271" spans="1:19" ht="17" x14ac:dyDescent="0.2">
      <c r="A271">
        <v>269</v>
      </c>
      <c r="B271" t="s">
        <v>685</v>
      </c>
      <c r="C271" s="3" t="s">
        <v>686</v>
      </c>
      <c r="D271">
        <v>3500</v>
      </c>
      <c r="E271">
        <v>8842</v>
      </c>
      <c r="F271" s="5">
        <f t="shared" si="4"/>
        <v>2.5262857142857142</v>
      </c>
      <c r="G271" t="s">
        <v>8</v>
      </c>
      <c r="H271">
        <v>87</v>
      </c>
      <c r="I271" t="s">
        <v>109</v>
      </c>
      <c r="J271" t="s">
        <v>110</v>
      </c>
      <c r="K271" s="4">
        <v>43496.25</v>
      </c>
      <c r="L271" s="4" t="s">
        <v>47</v>
      </c>
      <c r="M271" s="4" t="s">
        <v>121</v>
      </c>
      <c r="N271" s="4">
        <v>43517.25</v>
      </c>
      <c r="O271" t="b">
        <v>0</v>
      </c>
      <c r="P271" t="b">
        <v>0</v>
      </c>
      <c r="Q271" t="s">
        <v>364</v>
      </c>
      <c r="R271" t="str" cm="1">
        <f t="array" ref="R271:S271">_xlfn.TEXTSPLIT(Q271, "/", , FALSE)</f>
        <v>film &amp; video</v>
      </c>
      <c r="S271" t="str">
        <v>television</v>
      </c>
    </row>
    <row r="272" spans="1:19" ht="17" x14ac:dyDescent="0.2">
      <c r="A272">
        <v>270</v>
      </c>
      <c r="B272" t="s">
        <v>687</v>
      </c>
      <c r="C272" s="3" t="s">
        <v>688</v>
      </c>
      <c r="D272">
        <v>173900</v>
      </c>
      <c r="E272">
        <v>47260</v>
      </c>
      <c r="F272" s="5">
        <f t="shared" si="4"/>
        <v>0.27176538240368026</v>
      </c>
      <c r="G272" t="s">
        <v>5</v>
      </c>
      <c r="H272">
        <v>1890</v>
      </c>
      <c r="I272" t="s">
        <v>109</v>
      </c>
      <c r="J272" t="s">
        <v>110</v>
      </c>
      <c r="K272" s="4">
        <v>40514.25</v>
      </c>
      <c r="L272" s="4" t="s">
        <v>58</v>
      </c>
      <c r="M272" s="4" t="s">
        <v>140</v>
      </c>
      <c r="N272" s="4">
        <v>40516.25</v>
      </c>
      <c r="O272" t="b">
        <v>0</v>
      </c>
      <c r="P272" t="b">
        <v>0</v>
      </c>
      <c r="Q272" t="s">
        <v>184</v>
      </c>
      <c r="R272" t="str" cm="1">
        <f t="array" ref="R272:S272">_xlfn.TEXTSPLIT(Q272, "/", , FALSE)</f>
        <v>games</v>
      </c>
      <c r="S272" t="str">
        <v>video games</v>
      </c>
    </row>
    <row r="273" spans="1:19" ht="34" x14ac:dyDescent="0.2">
      <c r="A273">
        <v>271</v>
      </c>
      <c r="B273" t="s">
        <v>689</v>
      </c>
      <c r="C273" s="3" t="s">
        <v>690</v>
      </c>
      <c r="D273">
        <v>153700</v>
      </c>
      <c r="E273">
        <v>1953</v>
      </c>
      <c r="F273" s="5">
        <f t="shared" si="4"/>
        <v>1.2706571242680547E-2</v>
      </c>
      <c r="G273" t="s">
        <v>7</v>
      </c>
      <c r="H273">
        <v>61</v>
      </c>
      <c r="I273" t="s">
        <v>109</v>
      </c>
      <c r="J273" t="s">
        <v>110</v>
      </c>
      <c r="K273" s="4">
        <v>42345.25</v>
      </c>
      <c r="L273" s="4" t="s">
        <v>58</v>
      </c>
      <c r="M273" s="4" t="s">
        <v>105</v>
      </c>
      <c r="N273" s="4">
        <v>42376.25</v>
      </c>
      <c r="O273" t="b">
        <v>0</v>
      </c>
      <c r="P273" t="b">
        <v>0</v>
      </c>
      <c r="Q273" t="s">
        <v>217</v>
      </c>
      <c r="R273" t="str" cm="1">
        <f t="array" ref="R273:S273">_xlfn.TEXTSPLIT(Q273, "/", , FALSE)</f>
        <v>photography</v>
      </c>
      <c r="S273" t="str">
        <v>photography books</v>
      </c>
    </row>
    <row r="274" spans="1:19" ht="17" x14ac:dyDescent="0.2">
      <c r="A274">
        <v>272</v>
      </c>
      <c r="B274" t="s">
        <v>691</v>
      </c>
      <c r="C274" s="3" t="s">
        <v>692</v>
      </c>
      <c r="D274">
        <v>51100</v>
      </c>
      <c r="E274">
        <v>155349</v>
      </c>
      <c r="F274" s="5">
        <f t="shared" si="4"/>
        <v>3.0400978473581213</v>
      </c>
      <c r="G274" t="s">
        <v>8</v>
      </c>
      <c r="H274">
        <v>1894</v>
      </c>
      <c r="I274" t="s">
        <v>109</v>
      </c>
      <c r="J274" t="s">
        <v>110</v>
      </c>
      <c r="K274" s="4">
        <v>43656.208333333328</v>
      </c>
      <c r="L274" s="4" t="s">
        <v>53</v>
      </c>
      <c r="M274" s="4" t="s">
        <v>121</v>
      </c>
      <c r="N274" s="4">
        <v>43681.208333333328</v>
      </c>
      <c r="O274" t="b">
        <v>0</v>
      </c>
      <c r="P274" t="b">
        <v>1</v>
      </c>
      <c r="Q274" t="s">
        <v>124</v>
      </c>
      <c r="R274" t="str" cm="1">
        <f t="array" ref="R274:S274">_xlfn.TEXTSPLIT(Q274, "/", , FALSE)</f>
        <v>theater</v>
      </c>
      <c r="S274" t="str">
        <v>plays</v>
      </c>
    </row>
    <row r="275" spans="1:19" ht="17" x14ac:dyDescent="0.2">
      <c r="A275">
        <v>273</v>
      </c>
      <c r="B275" t="s">
        <v>693</v>
      </c>
      <c r="C275" s="3" t="s">
        <v>694</v>
      </c>
      <c r="D275">
        <v>7800</v>
      </c>
      <c r="E275">
        <v>10704</v>
      </c>
      <c r="F275" s="5">
        <f t="shared" si="4"/>
        <v>1.3723076923076922</v>
      </c>
      <c r="G275" t="s">
        <v>8</v>
      </c>
      <c r="H275">
        <v>282</v>
      </c>
      <c r="I275" t="s">
        <v>103</v>
      </c>
      <c r="J275" t="s">
        <v>104</v>
      </c>
      <c r="K275" s="4">
        <v>42995.208333333328</v>
      </c>
      <c r="L275" s="4" t="s">
        <v>55</v>
      </c>
      <c r="M275" s="4" t="s">
        <v>134</v>
      </c>
      <c r="N275" s="4">
        <v>42998.208333333328</v>
      </c>
      <c r="O275" t="b">
        <v>0</v>
      </c>
      <c r="P275" t="b">
        <v>0</v>
      </c>
      <c r="Q275" t="s">
        <v>124</v>
      </c>
      <c r="R275" t="str" cm="1">
        <f t="array" ref="R275:S275">_xlfn.TEXTSPLIT(Q275, "/", , FALSE)</f>
        <v>theater</v>
      </c>
      <c r="S275" t="str">
        <v>plays</v>
      </c>
    </row>
    <row r="276" spans="1:19" ht="34" x14ac:dyDescent="0.2">
      <c r="A276">
        <v>274</v>
      </c>
      <c r="B276" t="s">
        <v>695</v>
      </c>
      <c r="C276" s="3" t="s">
        <v>696</v>
      </c>
      <c r="D276">
        <v>2400</v>
      </c>
      <c r="E276">
        <v>773</v>
      </c>
      <c r="F276" s="5">
        <f t="shared" si="4"/>
        <v>0.32208333333333333</v>
      </c>
      <c r="G276" t="s">
        <v>6</v>
      </c>
      <c r="H276">
        <v>15</v>
      </c>
      <c r="I276" t="s">
        <v>109</v>
      </c>
      <c r="J276" t="s">
        <v>110</v>
      </c>
      <c r="K276" s="4">
        <v>43045.25</v>
      </c>
      <c r="L276" s="4" t="s">
        <v>57</v>
      </c>
      <c r="M276" s="4" t="s">
        <v>134</v>
      </c>
      <c r="N276" s="4">
        <v>43050.25</v>
      </c>
      <c r="O276" t="b">
        <v>0</v>
      </c>
      <c r="P276" t="b">
        <v>0</v>
      </c>
      <c r="Q276" t="s">
        <v>124</v>
      </c>
      <c r="R276" t="str" cm="1">
        <f t="array" ref="R276:S276">_xlfn.TEXTSPLIT(Q276, "/", , FALSE)</f>
        <v>theater</v>
      </c>
      <c r="S276" t="str">
        <v>plays</v>
      </c>
    </row>
    <row r="277" spans="1:19" ht="34" x14ac:dyDescent="0.2">
      <c r="A277">
        <v>275</v>
      </c>
      <c r="B277" t="s">
        <v>697</v>
      </c>
      <c r="C277" s="3" t="s">
        <v>698</v>
      </c>
      <c r="D277">
        <v>3900</v>
      </c>
      <c r="E277">
        <v>9419</v>
      </c>
      <c r="F277" s="5">
        <f t="shared" si="4"/>
        <v>2.4151282051282053</v>
      </c>
      <c r="G277" t="s">
        <v>8</v>
      </c>
      <c r="H277">
        <v>116</v>
      </c>
      <c r="I277" t="s">
        <v>109</v>
      </c>
      <c r="J277" t="s">
        <v>110</v>
      </c>
      <c r="K277" s="4">
        <v>43561.208333333328</v>
      </c>
      <c r="L277" s="4" t="s">
        <v>50</v>
      </c>
      <c r="M277" s="4" t="s">
        <v>121</v>
      </c>
      <c r="N277" s="4">
        <v>43569.208333333328</v>
      </c>
      <c r="O277" t="b">
        <v>0</v>
      </c>
      <c r="P277" t="b">
        <v>0</v>
      </c>
      <c r="Q277" t="s">
        <v>301</v>
      </c>
      <c r="R277" t="str" cm="1">
        <f t="array" ref="R277:S277">_xlfn.TEXTSPLIT(Q277, "/", , FALSE)</f>
        <v>publishing</v>
      </c>
      <c r="S277" t="str">
        <v>translations</v>
      </c>
    </row>
    <row r="278" spans="1:19" ht="17" x14ac:dyDescent="0.2">
      <c r="A278">
        <v>276</v>
      </c>
      <c r="B278" t="s">
        <v>699</v>
      </c>
      <c r="C278" s="3" t="s">
        <v>700</v>
      </c>
      <c r="D278">
        <v>5500</v>
      </c>
      <c r="E278">
        <v>5324</v>
      </c>
      <c r="F278" s="5">
        <f t="shared" si="4"/>
        <v>0.96799999999999997</v>
      </c>
      <c r="G278" t="s">
        <v>6</v>
      </c>
      <c r="H278">
        <v>133</v>
      </c>
      <c r="I278" t="s">
        <v>109</v>
      </c>
      <c r="J278" t="s">
        <v>110</v>
      </c>
      <c r="K278" s="4">
        <v>41018.208333333336</v>
      </c>
      <c r="L278" s="4" t="s">
        <v>50</v>
      </c>
      <c r="M278" s="4" t="s">
        <v>129</v>
      </c>
      <c r="N278" s="4">
        <v>41023.208333333336</v>
      </c>
      <c r="O278" t="b">
        <v>0</v>
      </c>
      <c r="P278" t="b">
        <v>1</v>
      </c>
      <c r="Q278" t="s">
        <v>184</v>
      </c>
      <c r="R278" t="str" cm="1">
        <f t="array" ref="R278:S278">_xlfn.TEXTSPLIT(Q278, "/", , FALSE)</f>
        <v>games</v>
      </c>
      <c r="S278" t="str">
        <v>video games</v>
      </c>
    </row>
    <row r="279" spans="1:19" ht="34" x14ac:dyDescent="0.2">
      <c r="A279">
        <v>277</v>
      </c>
      <c r="B279" t="s">
        <v>701</v>
      </c>
      <c r="C279" s="3" t="s">
        <v>702</v>
      </c>
      <c r="D279">
        <v>700</v>
      </c>
      <c r="E279">
        <v>7465</v>
      </c>
      <c r="F279" s="5">
        <f t="shared" si="4"/>
        <v>10.664285714285715</v>
      </c>
      <c r="G279" t="s">
        <v>8</v>
      </c>
      <c r="H279">
        <v>83</v>
      </c>
      <c r="I279" t="s">
        <v>109</v>
      </c>
      <c r="J279" t="s">
        <v>110</v>
      </c>
      <c r="K279" s="4">
        <v>40378.208333333336</v>
      </c>
      <c r="L279" s="4" t="s">
        <v>53</v>
      </c>
      <c r="M279" s="4" t="s">
        <v>140</v>
      </c>
      <c r="N279" s="4">
        <v>40380.208333333336</v>
      </c>
      <c r="O279" t="b">
        <v>0</v>
      </c>
      <c r="P279" t="b">
        <v>0</v>
      </c>
      <c r="Q279" t="s">
        <v>124</v>
      </c>
      <c r="R279" t="str" cm="1">
        <f t="array" ref="R279:S279">_xlfn.TEXTSPLIT(Q279, "/", , FALSE)</f>
        <v>theater</v>
      </c>
      <c r="S279" t="str">
        <v>plays</v>
      </c>
    </row>
    <row r="280" spans="1:19" ht="17" x14ac:dyDescent="0.2">
      <c r="A280">
        <v>278</v>
      </c>
      <c r="B280" t="s">
        <v>703</v>
      </c>
      <c r="C280" s="3" t="s">
        <v>704</v>
      </c>
      <c r="D280">
        <v>2700</v>
      </c>
      <c r="E280">
        <v>8799</v>
      </c>
      <c r="F280" s="5">
        <f t="shared" si="4"/>
        <v>3.2588888888888889</v>
      </c>
      <c r="G280" t="s">
        <v>8</v>
      </c>
      <c r="H280">
        <v>91</v>
      </c>
      <c r="I280" t="s">
        <v>109</v>
      </c>
      <c r="J280" t="s">
        <v>110</v>
      </c>
      <c r="K280" s="4">
        <v>41239.25</v>
      </c>
      <c r="L280" s="4" t="s">
        <v>57</v>
      </c>
      <c r="M280" s="4" t="s">
        <v>129</v>
      </c>
      <c r="N280" s="4">
        <v>41264.25</v>
      </c>
      <c r="O280" t="b">
        <v>0</v>
      </c>
      <c r="P280" t="b">
        <v>0</v>
      </c>
      <c r="Q280" t="s">
        <v>118</v>
      </c>
      <c r="R280" t="str" cm="1">
        <f t="array" ref="R280:S280">_xlfn.TEXTSPLIT(Q280, "/", , FALSE)</f>
        <v>technology</v>
      </c>
      <c r="S280" t="str">
        <v>web</v>
      </c>
    </row>
    <row r="281" spans="1:19" ht="17" x14ac:dyDescent="0.2">
      <c r="A281">
        <v>279</v>
      </c>
      <c r="B281" t="s">
        <v>705</v>
      </c>
      <c r="C281" s="3" t="s">
        <v>706</v>
      </c>
      <c r="D281">
        <v>8000</v>
      </c>
      <c r="E281">
        <v>13656</v>
      </c>
      <c r="F281" s="5">
        <f t="shared" si="4"/>
        <v>1.7070000000000001</v>
      </c>
      <c r="G281" t="s">
        <v>8</v>
      </c>
      <c r="H281">
        <v>546</v>
      </c>
      <c r="I281" t="s">
        <v>109</v>
      </c>
      <c r="J281" t="s">
        <v>110</v>
      </c>
      <c r="K281" s="4">
        <v>43346.208333333328</v>
      </c>
      <c r="L281" s="4" t="s">
        <v>55</v>
      </c>
      <c r="M281" s="4" t="s">
        <v>169</v>
      </c>
      <c r="N281" s="4">
        <v>43349.208333333328</v>
      </c>
      <c r="O281" t="b">
        <v>0</v>
      </c>
      <c r="P281" t="b">
        <v>0</v>
      </c>
      <c r="Q281" t="s">
        <v>124</v>
      </c>
      <c r="R281" t="str" cm="1">
        <f t="array" ref="R281:S281">_xlfn.TEXTSPLIT(Q281, "/", , FALSE)</f>
        <v>theater</v>
      </c>
      <c r="S281" t="str">
        <v>plays</v>
      </c>
    </row>
    <row r="282" spans="1:19" ht="34" x14ac:dyDescent="0.2">
      <c r="A282">
        <v>280</v>
      </c>
      <c r="B282" t="s">
        <v>707</v>
      </c>
      <c r="C282" s="3" t="s">
        <v>708</v>
      </c>
      <c r="D282">
        <v>2500</v>
      </c>
      <c r="E282">
        <v>14536</v>
      </c>
      <c r="F282" s="5">
        <f t="shared" si="4"/>
        <v>5.8144</v>
      </c>
      <c r="G282" t="s">
        <v>8</v>
      </c>
      <c r="H282">
        <v>393</v>
      </c>
      <c r="I282" t="s">
        <v>109</v>
      </c>
      <c r="J282" t="s">
        <v>110</v>
      </c>
      <c r="K282" s="4">
        <v>43060.25</v>
      </c>
      <c r="L282" s="4" t="s">
        <v>57</v>
      </c>
      <c r="M282" s="4" t="s">
        <v>134</v>
      </c>
      <c r="N282" s="4">
        <v>43066.25</v>
      </c>
      <c r="O282" t="b">
        <v>0</v>
      </c>
      <c r="P282" t="b">
        <v>0</v>
      </c>
      <c r="Q282" t="s">
        <v>166</v>
      </c>
      <c r="R282" t="str" cm="1">
        <f t="array" ref="R282:S282">_xlfn.TEXTSPLIT(Q282, "/", , FALSE)</f>
        <v>film &amp; video</v>
      </c>
      <c r="S282" t="str">
        <v>animation</v>
      </c>
    </row>
    <row r="283" spans="1:19" ht="17" x14ac:dyDescent="0.2">
      <c r="A283">
        <v>281</v>
      </c>
      <c r="B283" t="s">
        <v>709</v>
      </c>
      <c r="C283" s="3" t="s">
        <v>710</v>
      </c>
      <c r="D283">
        <v>164500</v>
      </c>
      <c r="E283">
        <v>150552</v>
      </c>
      <c r="F283" s="5">
        <f t="shared" si="4"/>
        <v>0.91520972644376897</v>
      </c>
      <c r="G283" t="s">
        <v>6</v>
      </c>
      <c r="H283">
        <v>2062</v>
      </c>
      <c r="I283" t="s">
        <v>109</v>
      </c>
      <c r="J283" t="s">
        <v>110</v>
      </c>
      <c r="K283" s="4">
        <v>40979.25</v>
      </c>
      <c r="L283" s="4" t="s">
        <v>49</v>
      </c>
      <c r="M283" s="4" t="s">
        <v>129</v>
      </c>
      <c r="N283" s="4">
        <v>41000.208333333336</v>
      </c>
      <c r="O283" t="b">
        <v>0</v>
      </c>
      <c r="P283" t="b">
        <v>1</v>
      </c>
      <c r="Q283" t="s">
        <v>124</v>
      </c>
      <c r="R283" t="str" cm="1">
        <f t="array" ref="R283:S283">_xlfn.TEXTSPLIT(Q283, "/", , FALSE)</f>
        <v>theater</v>
      </c>
      <c r="S283" t="str">
        <v>plays</v>
      </c>
    </row>
    <row r="284" spans="1:19" ht="17" x14ac:dyDescent="0.2">
      <c r="A284">
        <v>282</v>
      </c>
      <c r="B284" t="s">
        <v>711</v>
      </c>
      <c r="C284" s="3" t="s">
        <v>712</v>
      </c>
      <c r="D284">
        <v>8400</v>
      </c>
      <c r="E284">
        <v>9076</v>
      </c>
      <c r="F284" s="5">
        <f t="shared" si="4"/>
        <v>1.0804761904761904</v>
      </c>
      <c r="G284" t="s">
        <v>8</v>
      </c>
      <c r="H284">
        <v>133</v>
      </c>
      <c r="I284" t="s">
        <v>109</v>
      </c>
      <c r="J284" t="s">
        <v>110</v>
      </c>
      <c r="K284" s="4">
        <v>42701.25</v>
      </c>
      <c r="L284" s="4" t="s">
        <v>57</v>
      </c>
      <c r="M284" s="4" t="s">
        <v>153</v>
      </c>
      <c r="N284" s="4">
        <v>42707.25</v>
      </c>
      <c r="O284" t="b">
        <v>0</v>
      </c>
      <c r="P284" t="b">
        <v>1</v>
      </c>
      <c r="Q284" t="s">
        <v>364</v>
      </c>
      <c r="R284" t="str" cm="1">
        <f t="array" ref="R284:S284">_xlfn.TEXTSPLIT(Q284, "/", , FALSE)</f>
        <v>film &amp; video</v>
      </c>
      <c r="S284" t="str">
        <v>television</v>
      </c>
    </row>
    <row r="285" spans="1:19" ht="34" x14ac:dyDescent="0.2">
      <c r="A285">
        <v>283</v>
      </c>
      <c r="B285" t="s">
        <v>713</v>
      </c>
      <c r="C285" s="3" t="s">
        <v>714</v>
      </c>
      <c r="D285">
        <v>8100</v>
      </c>
      <c r="E285">
        <v>1517</v>
      </c>
      <c r="F285" s="5">
        <f t="shared" si="4"/>
        <v>0.18728395061728395</v>
      </c>
      <c r="G285" t="s">
        <v>6</v>
      </c>
      <c r="H285">
        <v>29</v>
      </c>
      <c r="I285" t="s">
        <v>127</v>
      </c>
      <c r="J285" t="s">
        <v>128</v>
      </c>
      <c r="K285" s="4">
        <v>42520.208333333328</v>
      </c>
      <c r="L285" s="4" t="s">
        <v>51</v>
      </c>
      <c r="M285" s="4" t="s">
        <v>153</v>
      </c>
      <c r="N285" s="4">
        <v>42525.208333333328</v>
      </c>
      <c r="O285" t="b">
        <v>0</v>
      </c>
      <c r="P285" t="b">
        <v>0</v>
      </c>
      <c r="Q285" t="s">
        <v>112</v>
      </c>
      <c r="R285" t="str" cm="1">
        <f t="array" ref="R285:S285">_xlfn.TEXTSPLIT(Q285, "/", , FALSE)</f>
        <v>music</v>
      </c>
      <c r="S285" t="str">
        <v>rock</v>
      </c>
    </row>
    <row r="286" spans="1:19" ht="17" x14ac:dyDescent="0.2">
      <c r="A286">
        <v>284</v>
      </c>
      <c r="B286" t="s">
        <v>715</v>
      </c>
      <c r="C286" s="3" t="s">
        <v>716</v>
      </c>
      <c r="D286">
        <v>9800</v>
      </c>
      <c r="E286">
        <v>8153</v>
      </c>
      <c r="F286" s="5">
        <f t="shared" si="4"/>
        <v>0.83193877551020412</v>
      </c>
      <c r="G286" t="s">
        <v>6</v>
      </c>
      <c r="H286">
        <v>132</v>
      </c>
      <c r="I286" t="s">
        <v>109</v>
      </c>
      <c r="J286" t="s">
        <v>110</v>
      </c>
      <c r="K286" s="4">
        <v>41030.208333333336</v>
      </c>
      <c r="L286" s="4" t="s">
        <v>51</v>
      </c>
      <c r="M286" s="4" t="s">
        <v>129</v>
      </c>
      <c r="N286" s="4">
        <v>41035.208333333336</v>
      </c>
      <c r="O286" t="b">
        <v>0</v>
      </c>
      <c r="P286" t="b">
        <v>0</v>
      </c>
      <c r="Q286" t="s">
        <v>118</v>
      </c>
      <c r="R286" t="str" cm="1">
        <f t="array" ref="R286:S286">_xlfn.TEXTSPLIT(Q286, "/", , FALSE)</f>
        <v>technology</v>
      </c>
      <c r="S286" t="str">
        <v>web</v>
      </c>
    </row>
    <row r="287" spans="1:19" ht="17" x14ac:dyDescent="0.2">
      <c r="A287">
        <v>285</v>
      </c>
      <c r="B287" t="s">
        <v>717</v>
      </c>
      <c r="C287" s="3" t="s">
        <v>718</v>
      </c>
      <c r="D287">
        <v>900</v>
      </c>
      <c r="E287">
        <v>6357</v>
      </c>
      <c r="F287" s="5">
        <f t="shared" si="4"/>
        <v>7.0633333333333335</v>
      </c>
      <c r="G287" t="s">
        <v>8</v>
      </c>
      <c r="H287">
        <v>254</v>
      </c>
      <c r="I287" t="s">
        <v>109</v>
      </c>
      <c r="J287" t="s">
        <v>110</v>
      </c>
      <c r="K287" s="4">
        <v>42623.208333333328</v>
      </c>
      <c r="L287" s="4" t="s">
        <v>55</v>
      </c>
      <c r="M287" s="4" t="s">
        <v>153</v>
      </c>
      <c r="N287" s="4">
        <v>42661.208333333328</v>
      </c>
      <c r="O287" t="b">
        <v>0</v>
      </c>
      <c r="P287" t="b">
        <v>0</v>
      </c>
      <c r="Q287" t="s">
        <v>124</v>
      </c>
      <c r="R287" t="str" cm="1">
        <f t="array" ref="R287:S287">_xlfn.TEXTSPLIT(Q287, "/", , FALSE)</f>
        <v>theater</v>
      </c>
      <c r="S287" t="str">
        <v>plays</v>
      </c>
    </row>
    <row r="288" spans="1:19" ht="17" x14ac:dyDescent="0.2">
      <c r="A288">
        <v>286</v>
      </c>
      <c r="B288" t="s">
        <v>719</v>
      </c>
      <c r="C288" s="3" t="s">
        <v>720</v>
      </c>
      <c r="D288">
        <v>112100</v>
      </c>
      <c r="E288">
        <v>19557</v>
      </c>
      <c r="F288" s="5">
        <f t="shared" si="4"/>
        <v>0.17446030330062445</v>
      </c>
      <c r="G288" t="s">
        <v>5</v>
      </c>
      <c r="H288">
        <v>184</v>
      </c>
      <c r="I288" t="s">
        <v>109</v>
      </c>
      <c r="J288" t="s">
        <v>110</v>
      </c>
      <c r="K288" s="4">
        <v>42697.25</v>
      </c>
      <c r="L288" s="4" t="s">
        <v>57</v>
      </c>
      <c r="M288" s="4" t="s">
        <v>153</v>
      </c>
      <c r="N288" s="4">
        <v>42704.25</v>
      </c>
      <c r="O288" t="b">
        <v>0</v>
      </c>
      <c r="P288" t="b">
        <v>0</v>
      </c>
      <c r="Q288" t="s">
        <v>124</v>
      </c>
      <c r="R288" t="str" cm="1">
        <f t="array" ref="R288:S288">_xlfn.TEXTSPLIT(Q288, "/", , FALSE)</f>
        <v>theater</v>
      </c>
      <c r="S288" t="str">
        <v>plays</v>
      </c>
    </row>
    <row r="289" spans="1:19" ht="17" x14ac:dyDescent="0.2">
      <c r="A289">
        <v>287</v>
      </c>
      <c r="B289" t="s">
        <v>721</v>
      </c>
      <c r="C289" s="3" t="s">
        <v>722</v>
      </c>
      <c r="D289">
        <v>6300</v>
      </c>
      <c r="E289">
        <v>13213</v>
      </c>
      <c r="F289" s="5">
        <f t="shared" si="4"/>
        <v>2.0973015873015872</v>
      </c>
      <c r="G289" t="s">
        <v>8</v>
      </c>
      <c r="H289">
        <v>176</v>
      </c>
      <c r="I289" t="s">
        <v>109</v>
      </c>
      <c r="J289" t="s">
        <v>110</v>
      </c>
      <c r="K289" s="4">
        <v>42122.208333333328</v>
      </c>
      <c r="L289" s="4" t="s">
        <v>50</v>
      </c>
      <c r="M289" s="4" t="s">
        <v>105</v>
      </c>
      <c r="N289" s="4">
        <v>42122.208333333328</v>
      </c>
      <c r="O289" t="b">
        <v>0</v>
      </c>
      <c r="P289" t="b">
        <v>0</v>
      </c>
      <c r="Q289" t="s">
        <v>143</v>
      </c>
      <c r="R289" t="str" cm="1">
        <f t="array" ref="R289:S289">_xlfn.TEXTSPLIT(Q289, "/", , FALSE)</f>
        <v>music</v>
      </c>
      <c r="S289" t="str">
        <v>electric music</v>
      </c>
    </row>
    <row r="290" spans="1:19" ht="17" x14ac:dyDescent="0.2">
      <c r="A290">
        <v>288</v>
      </c>
      <c r="B290" t="s">
        <v>723</v>
      </c>
      <c r="C290" s="3" t="s">
        <v>724</v>
      </c>
      <c r="D290">
        <v>5600</v>
      </c>
      <c r="E290">
        <v>5476</v>
      </c>
      <c r="F290" s="5">
        <f t="shared" si="4"/>
        <v>0.97785714285714287</v>
      </c>
      <c r="G290" t="s">
        <v>6</v>
      </c>
      <c r="H290">
        <v>137</v>
      </c>
      <c r="I290" t="s">
        <v>127</v>
      </c>
      <c r="J290" t="s">
        <v>128</v>
      </c>
      <c r="K290" s="4">
        <v>40982.208333333336</v>
      </c>
      <c r="L290" s="4" t="s">
        <v>49</v>
      </c>
      <c r="M290" s="4" t="s">
        <v>129</v>
      </c>
      <c r="N290" s="4">
        <v>40983.208333333336</v>
      </c>
      <c r="O290" t="b">
        <v>0</v>
      </c>
      <c r="P290" t="b">
        <v>1</v>
      </c>
      <c r="Q290" t="s">
        <v>243</v>
      </c>
      <c r="R290" t="str" cm="1">
        <f t="array" ref="R290:S290">_xlfn.TEXTSPLIT(Q290, "/", , FALSE)</f>
        <v>music</v>
      </c>
      <c r="S290" t="str">
        <v>metal</v>
      </c>
    </row>
    <row r="291" spans="1:19" ht="17" x14ac:dyDescent="0.2">
      <c r="A291">
        <v>289</v>
      </c>
      <c r="B291" t="s">
        <v>725</v>
      </c>
      <c r="C291" s="3" t="s">
        <v>726</v>
      </c>
      <c r="D291">
        <v>800</v>
      </c>
      <c r="E291">
        <v>13474</v>
      </c>
      <c r="F291" s="5">
        <f t="shared" si="4"/>
        <v>16.842500000000001</v>
      </c>
      <c r="G291" t="s">
        <v>8</v>
      </c>
      <c r="H291">
        <v>337</v>
      </c>
      <c r="I291" t="s">
        <v>103</v>
      </c>
      <c r="J291" t="s">
        <v>104</v>
      </c>
      <c r="K291" s="4">
        <v>42219.208333333328</v>
      </c>
      <c r="L291" s="4" t="s">
        <v>54</v>
      </c>
      <c r="M291" s="4" t="s">
        <v>105</v>
      </c>
      <c r="N291" s="4">
        <v>42222.208333333328</v>
      </c>
      <c r="O291" t="b">
        <v>0</v>
      </c>
      <c r="P291" t="b">
        <v>0</v>
      </c>
      <c r="Q291" t="s">
        <v>124</v>
      </c>
      <c r="R291" t="str" cm="1">
        <f t="array" ref="R291:S291">_xlfn.TEXTSPLIT(Q291, "/", , FALSE)</f>
        <v>theater</v>
      </c>
      <c r="S291" t="str">
        <v>plays</v>
      </c>
    </row>
    <row r="292" spans="1:19" ht="17" x14ac:dyDescent="0.2">
      <c r="A292">
        <v>290</v>
      </c>
      <c r="B292" t="s">
        <v>727</v>
      </c>
      <c r="C292" s="3" t="s">
        <v>728</v>
      </c>
      <c r="D292">
        <v>168600</v>
      </c>
      <c r="E292">
        <v>91722</v>
      </c>
      <c r="F292" s="5">
        <f t="shared" si="4"/>
        <v>0.54402135231316728</v>
      </c>
      <c r="G292" t="s">
        <v>6</v>
      </c>
      <c r="H292">
        <v>908</v>
      </c>
      <c r="I292" t="s">
        <v>109</v>
      </c>
      <c r="J292" t="s">
        <v>110</v>
      </c>
      <c r="K292" s="4">
        <v>41404.208333333336</v>
      </c>
      <c r="L292" s="4" t="s">
        <v>51</v>
      </c>
      <c r="M292" s="4" t="s">
        <v>117</v>
      </c>
      <c r="N292" s="4">
        <v>41436.208333333336</v>
      </c>
      <c r="O292" t="b">
        <v>0</v>
      </c>
      <c r="P292" t="b">
        <v>1</v>
      </c>
      <c r="Q292" t="s">
        <v>135</v>
      </c>
      <c r="R292" t="str" cm="1">
        <f t="array" ref="R292:S292">_xlfn.TEXTSPLIT(Q292, "/", , FALSE)</f>
        <v>film &amp; video</v>
      </c>
      <c r="S292" t="str">
        <v>documentary</v>
      </c>
    </row>
    <row r="293" spans="1:19" ht="17" x14ac:dyDescent="0.2">
      <c r="A293">
        <v>291</v>
      </c>
      <c r="B293" t="s">
        <v>729</v>
      </c>
      <c r="C293" s="3" t="s">
        <v>730</v>
      </c>
      <c r="D293">
        <v>1800</v>
      </c>
      <c r="E293">
        <v>8219</v>
      </c>
      <c r="F293" s="5">
        <f t="shared" si="4"/>
        <v>4.5661111111111108</v>
      </c>
      <c r="G293" t="s">
        <v>8</v>
      </c>
      <c r="H293">
        <v>107</v>
      </c>
      <c r="I293" t="s">
        <v>109</v>
      </c>
      <c r="J293" t="s">
        <v>110</v>
      </c>
      <c r="K293" s="4">
        <v>40831.208333333336</v>
      </c>
      <c r="L293" s="4" t="s">
        <v>56</v>
      </c>
      <c r="M293" s="4" t="s">
        <v>165</v>
      </c>
      <c r="N293" s="4">
        <v>40835.208333333336</v>
      </c>
      <c r="O293" t="b">
        <v>1</v>
      </c>
      <c r="P293" t="b">
        <v>0</v>
      </c>
      <c r="Q293" t="s">
        <v>118</v>
      </c>
      <c r="R293" t="str" cm="1">
        <f t="array" ref="R293:S293">_xlfn.TEXTSPLIT(Q293, "/", , FALSE)</f>
        <v>technology</v>
      </c>
      <c r="S293" t="str">
        <v>web</v>
      </c>
    </row>
    <row r="294" spans="1:19" ht="17" x14ac:dyDescent="0.2">
      <c r="A294">
        <v>292</v>
      </c>
      <c r="B294" t="s">
        <v>731</v>
      </c>
      <c r="C294" s="3" t="s">
        <v>732</v>
      </c>
      <c r="D294">
        <v>7300</v>
      </c>
      <c r="E294">
        <v>717</v>
      </c>
      <c r="F294" s="5">
        <f t="shared" si="4"/>
        <v>9.8219178082191785E-2</v>
      </c>
      <c r="G294" t="s">
        <v>6</v>
      </c>
      <c r="H294">
        <v>10</v>
      </c>
      <c r="I294" t="s">
        <v>109</v>
      </c>
      <c r="J294" t="s">
        <v>110</v>
      </c>
      <c r="K294" s="4">
        <v>40984.208333333336</v>
      </c>
      <c r="L294" s="4" t="s">
        <v>49</v>
      </c>
      <c r="M294" s="4" t="s">
        <v>129</v>
      </c>
      <c r="N294" s="4">
        <v>41002.208333333336</v>
      </c>
      <c r="O294" t="b">
        <v>0</v>
      </c>
      <c r="P294" t="b">
        <v>0</v>
      </c>
      <c r="Q294" t="s">
        <v>106</v>
      </c>
      <c r="R294" t="str" cm="1">
        <f t="array" ref="R294:S294">_xlfn.TEXTSPLIT(Q294, "/", , FALSE)</f>
        <v>food</v>
      </c>
      <c r="S294" t="str">
        <v>food trucks</v>
      </c>
    </row>
    <row r="295" spans="1:19" ht="17" x14ac:dyDescent="0.2">
      <c r="A295">
        <v>293</v>
      </c>
      <c r="B295" t="s">
        <v>733</v>
      </c>
      <c r="C295" s="3" t="s">
        <v>734</v>
      </c>
      <c r="D295">
        <v>6500</v>
      </c>
      <c r="E295">
        <v>1065</v>
      </c>
      <c r="F295" s="5">
        <f t="shared" si="4"/>
        <v>0.16384615384615384</v>
      </c>
      <c r="G295" t="s">
        <v>5</v>
      </c>
      <c r="H295">
        <v>32</v>
      </c>
      <c r="I295" t="s">
        <v>202</v>
      </c>
      <c r="J295" t="s">
        <v>203</v>
      </c>
      <c r="K295" s="4">
        <v>40456.208333333336</v>
      </c>
      <c r="L295" s="4" t="s">
        <v>56</v>
      </c>
      <c r="M295" s="4" t="s">
        <v>140</v>
      </c>
      <c r="N295" s="4">
        <v>40465.208333333336</v>
      </c>
      <c r="O295" t="b">
        <v>0</v>
      </c>
      <c r="P295" t="b">
        <v>0</v>
      </c>
      <c r="Q295" t="s">
        <v>124</v>
      </c>
      <c r="R295" t="str" cm="1">
        <f t="array" ref="R295:S295">_xlfn.TEXTSPLIT(Q295, "/", , FALSE)</f>
        <v>theater</v>
      </c>
      <c r="S295" t="str">
        <v>plays</v>
      </c>
    </row>
    <row r="296" spans="1:19" ht="17" x14ac:dyDescent="0.2">
      <c r="A296">
        <v>294</v>
      </c>
      <c r="B296" t="s">
        <v>735</v>
      </c>
      <c r="C296" s="3" t="s">
        <v>736</v>
      </c>
      <c r="D296">
        <v>600</v>
      </c>
      <c r="E296">
        <v>8038</v>
      </c>
      <c r="F296" s="5">
        <f t="shared" si="4"/>
        <v>13.396666666666667</v>
      </c>
      <c r="G296" t="s">
        <v>8</v>
      </c>
      <c r="H296">
        <v>183</v>
      </c>
      <c r="I296" t="s">
        <v>109</v>
      </c>
      <c r="J296" t="s">
        <v>110</v>
      </c>
      <c r="K296" s="4">
        <v>43399.208333333328</v>
      </c>
      <c r="L296" s="4" t="s">
        <v>56</v>
      </c>
      <c r="M296" s="4" t="s">
        <v>169</v>
      </c>
      <c r="N296" s="4">
        <v>43411.25</v>
      </c>
      <c r="O296" t="b">
        <v>0</v>
      </c>
      <c r="P296" t="b">
        <v>0</v>
      </c>
      <c r="Q296" t="s">
        <v>124</v>
      </c>
      <c r="R296" t="str" cm="1">
        <f t="array" ref="R296:S296">_xlfn.TEXTSPLIT(Q296, "/", , FALSE)</f>
        <v>theater</v>
      </c>
      <c r="S296" t="str">
        <v>plays</v>
      </c>
    </row>
    <row r="297" spans="1:19" ht="34" x14ac:dyDescent="0.2">
      <c r="A297">
        <v>295</v>
      </c>
      <c r="B297" t="s">
        <v>737</v>
      </c>
      <c r="C297" s="3" t="s">
        <v>738</v>
      </c>
      <c r="D297">
        <v>192900</v>
      </c>
      <c r="E297">
        <v>68769</v>
      </c>
      <c r="F297" s="5">
        <f t="shared" si="4"/>
        <v>0.35650077760497667</v>
      </c>
      <c r="G297" t="s">
        <v>6</v>
      </c>
      <c r="H297">
        <v>1910</v>
      </c>
      <c r="I297" t="s">
        <v>193</v>
      </c>
      <c r="J297" t="s">
        <v>194</v>
      </c>
      <c r="K297" s="4">
        <v>41562.208333333336</v>
      </c>
      <c r="L297" s="4" t="s">
        <v>56</v>
      </c>
      <c r="M297" s="4" t="s">
        <v>117</v>
      </c>
      <c r="N297" s="4">
        <v>41587.25</v>
      </c>
      <c r="O297" t="b">
        <v>0</v>
      </c>
      <c r="P297" t="b">
        <v>0</v>
      </c>
      <c r="Q297" t="s">
        <v>124</v>
      </c>
      <c r="R297" t="str" cm="1">
        <f t="array" ref="R297:S297">_xlfn.TEXTSPLIT(Q297, "/", , FALSE)</f>
        <v>theater</v>
      </c>
      <c r="S297" t="str">
        <v>plays</v>
      </c>
    </row>
    <row r="298" spans="1:19" ht="34" x14ac:dyDescent="0.2">
      <c r="A298">
        <v>296</v>
      </c>
      <c r="B298" t="s">
        <v>739</v>
      </c>
      <c r="C298" s="3" t="s">
        <v>740</v>
      </c>
      <c r="D298">
        <v>6100</v>
      </c>
      <c r="E298">
        <v>3352</v>
      </c>
      <c r="F298" s="5">
        <f t="shared" si="4"/>
        <v>0.54950819672131146</v>
      </c>
      <c r="G298" t="s">
        <v>6</v>
      </c>
      <c r="H298">
        <v>38</v>
      </c>
      <c r="I298" t="s">
        <v>115</v>
      </c>
      <c r="J298" t="s">
        <v>116</v>
      </c>
      <c r="K298" s="4">
        <v>43493.25</v>
      </c>
      <c r="L298" s="4" t="s">
        <v>47</v>
      </c>
      <c r="M298" s="4" t="s">
        <v>121</v>
      </c>
      <c r="N298" s="4">
        <v>43515.25</v>
      </c>
      <c r="O298" t="b">
        <v>0</v>
      </c>
      <c r="P298" t="b">
        <v>0</v>
      </c>
      <c r="Q298" t="s">
        <v>124</v>
      </c>
      <c r="R298" t="str" cm="1">
        <f t="array" ref="R298:S298">_xlfn.TEXTSPLIT(Q298, "/", , FALSE)</f>
        <v>theater</v>
      </c>
      <c r="S298" t="str">
        <v>plays</v>
      </c>
    </row>
    <row r="299" spans="1:19" ht="17" x14ac:dyDescent="0.2">
      <c r="A299">
        <v>297</v>
      </c>
      <c r="B299" t="s">
        <v>741</v>
      </c>
      <c r="C299" s="3" t="s">
        <v>742</v>
      </c>
      <c r="D299">
        <v>7200</v>
      </c>
      <c r="E299">
        <v>6785</v>
      </c>
      <c r="F299" s="5">
        <f t="shared" si="4"/>
        <v>0.94236111111111109</v>
      </c>
      <c r="G299" t="s">
        <v>6</v>
      </c>
      <c r="H299">
        <v>104</v>
      </c>
      <c r="I299" t="s">
        <v>115</v>
      </c>
      <c r="J299" t="s">
        <v>116</v>
      </c>
      <c r="K299" s="4">
        <v>41653.25</v>
      </c>
      <c r="L299" s="4" t="s">
        <v>47</v>
      </c>
      <c r="M299" s="4" t="s">
        <v>111</v>
      </c>
      <c r="N299" s="4">
        <v>41662.25</v>
      </c>
      <c r="O299" t="b">
        <v>0</v>
      </c>
      <c r="P299" t="b">
        <v>1</v>
      </c>
      <c r="Q299" t="s">
        <v>124</v>
      </c>
      <c r="R299" t="str" cm="1">
        <f t="array" ref="R299:S299">_xlfn.TEXTSPLIT(Q299, "/", , FALSE)</f>
        <v>theater</v>
      </c>
      <c r="S299" t="str">
        <v>plays</v>
      </c>
    </row>
    <row r="300" spans="1:19" ht="17" x14ac:dyDescent="0.2">
      <c r="A300">
        <v>298</v>
      </c>
      <c r="B300" t="s">
        <v>743</v>
      </c>
      <c r="C300" s="3" t="s">
        <v>744</v>
      </c>
      <c r="D300">
        <v>3500</v>
      </c>
      <c r="E300">
        <v>5037</v>
      </c>
      <c r="F300" s="5">
        <f t="shared" si="4"/>
        <v>1.4391428571428571</v>
      </c>
      <c r="G300" t="s">
        <v>8</v>
      </c>
      <c r="H300">
        <v>72</v>
      </c>
      <c r="I300" t="s">
        <v>109</v>
      </c>
      <c r="J300" t="s">
        <v>110</v>
      </c>
      <c r="K300" s="4">
        <v>42426.25</v>
      </c>
      <c r="L300" s="4" t="s">
        <v>48</v>
      </c>
      <c r="M300" s="4" t="s">
        <v>153</v>
      </c>
      <c r="N300" s="4">
        <v>42444.208333333328</v>
      </c>
      <c r="O300" t="b">
        <v>0</v>
      </c>
      <c r="P300" t="b">
        <v>1</v>
      </c>
      <c r="Q300" t="s">
        <v>112</v>
      </c>
      <c r="R300" t="str" cm="1">
        <f t="array" ref="R300:S300">_xlfn.TEXTSPLIT(Q300, "/", , FALSE)</f>
        <v>music</v>
      </c>
      <c r="S300" t="str">
        <v>rock</v>
      </c>
    </row>
    <row r="301" spans="1:19" ht="34" x14ac:dyDescent="0.2">
      <c r="A301">
        <v>299</v>
      </c>
      <c r="B301" t="s">
        <v>745</v>
      </c>
      <c r="C301" s="3" t="s">
        <v>746</v>
      </c>
      <c r="D301">
        <v>3800</v>
      </c>
      <c r="E301">
        <v>1954</v>
      </c>
      <c r="F301" s="5">
        <f t="shared" si="4"/>
        <v>0.51421052631578945</v>
      </c>
      <c r="G301" t="s">
        <v>6</v>
      </c>
      <c r="H301">
        <v>49</v>
      </c>
      <c r="I301" t="s">
        <v>109</v>
      </c>
      <c r="J301" t="s">
        <v>110</v>
      </c>
      <c r="K301" s="4">
        <v>42432.25</v>
      </c>
      <c r="L301" s="4" t="s">
        <v>49</v>
      </c>
      <c r="M301" s="4" t="s">
        <v>153</v>
      </c>
      <c r="N301" s="4">
        <v>42488.208333333328</v>
      </c>
      <c r="O301" t="b">
        <v>0</v>
      </c>
      <c r="P301" t="b">
        <v>0</v>
      </c>
      <c r="Q301" t="s">
        <v>106</v>
      </c>
      <c r="R301" t="str" cm="1">
        <f t="array" ref="R301:S301">_xlfn.TEXTSPLIT(Q301, "/", , FALSE)</f>
        <v>food</v>
      </c>
      <c r="S301" t="str">
        <v>food trucks</v>
      </c>
    </row>
    <row r="302" spans="1:19" ht="17" x14ac:dyDescent="0.2">
      <c r="A302">
        <v>300</v>
      </c>
      <c r="B302" t="s">
        <v>747</v>
      </c>
      <c r="C302" s="3" t="s">
        <v>748</v>
      </c>
      <c r="D302">
        <v>100</v>
      </c>
      <c r="E302">
        <v>5</v>
      </c>
      <c r="F302" s="5">
        <f t="shared" si="4"/>
        <v>0.05</v>
      </c>
      <c r="G302" t="s">
        <v>6</v>
      </c>
      <c r="H302">
        <v>1</v>
      </c>
      <c r="I302" t="s">
        <v>127</v>
      </c>
      <c r="J302" t="s">
        <v>128</v>
      </c>
      <c r="K302" s="4">
        <v>42977.208333333328</v>
      </c>
      <c r="L302" s="4" t="s">
        <v>54</v>
      </c>
      <c r="M302" s="4" t="s">
        <v>134</v>
      </c>
      <c r="N302" s="4">
        <v>42978.208333333328</v>
      </c>
      <c r="O302" t="b">
        <v>0</v>
      </c>
      <c r="P302" t="b">
        <v>1</v>
      </c>
      <c r="Q302" t="s">
        <v>162</v>
      </c>
      <c r="R302" t="str" cm="1">
        <f t="array" ref="R302:S302">_xlfn.TEXTSPLIT(Q302, "/", , FALSE)</f>
        <v>publishing</v>
      </c>
      <c r="S302" t="str">
        <v>nonfiction</v>
      </c>
    </row>
    <row r="303" spans="1:19" ht="34" x14ac:dyDescent="0.2">
      <c r="A303">
        <v>301</v>
      </c>
      <c r="B303" t="s">
        <v>749</v>
      </c>
      <c r="C303" s="3" t="s">
        <v>750</v>
      </c>
      <c r="D303">
        <v>900</v>
      </c>
      <c r="E303">
        <v>12102</v>
      </c>
      <c r="F303" s="5">
        <f t="shared" si="4"/>
        <v>13.446666666666667</v>
      </c>
      <c r="G303" t="s">
        <v>8</v>
      </c>
      <c r="H303">
        <v>295</v>
      </c>
      <c r="I303" t="s">
        <v>109</v>
      </c>
      <c r="J303" t="s">
        <v>110</v>
      </c>
      <c r="K303" s="4">
        <v>42061.25</v>
      </c>
      <c r="L303" s="4" t="s">
        <v>48</v>
      </c>
      <c r="M303" s="4" t="s">
        <v>105</v>
      </c>
      <c r="N303" s="4">
        <v>42078.208333333328</v>
      </c>
      <c r="O303" t="b">
        <v>0</v>
      </c>
      <c r="P303" t="b">
        <v>0</v>
      </c>
      <c r="Q303" t="s">
        <v>135</v>
      </c>
      <c r="R303" t="str" cm="1">
        <f t="array" ref="R303:S303">_xlfn.TEXTSPLIT(Q303, "/", , FALSE)</f>
        <v>film &amp; video</v>
      </c>
      <c r="S303" t="str">
        <v>documentary</v>
      </c>
    </row>
    <row r="304" spans="1:19" ht="17" x14ac:dyDescent="0.2">
      <c r="A304">
        <v>302</v>
      </c>
      <c r="B304" t="s">
        <v>751</v>
      </c>
      <c r="C304" s="3" t="s">
        <v>752</v>
      </c>
      <c r="D304">
        <v>76100</v>
      </c>
      <c r="E304">
        <v>24234</v>
      </c>
      <c r="F304" s="5">
        <f t="shared" si="4"/>
        <v>0.31844940867279897</v>
      </c>
      <c r="G304" t="s">
        <v>6</v>
      </c>
      <c r="H304">
        <v>245</v>
      </c>
      <c r="I304" t="s">
        <v>109</v>
      </c>
      <c r="J304" t="s">
        <v>110</v>
      </c>
      <c r="K304" s="4">
        <v>43345.208333333328</v>
      </c>
      <c r="L304" s="4" t="s">
        <v>55</v>
      </c>
      <c r="M304" s="4" t="s">
        <v>169</v>
      </c>
      <c r="N304" s="4">
        <v>43359.208333333328</v>
      </c>
      <c r="O304" t="b">
        <v>0</v>
      </c>
      <c r="P304" t="b">
        <v>0</v>
      </c>
      <c r="Q304" t="s">
        <v>124</v>
      </c>
      <c r="R304" t="str" cm="1">
        <f t="array" ref="R304:S304">_xlfn.TEXTSPLIT(Q304, "/", , FALSE)</f>
        <v>theater</v>
      </c>
      <c r="S304" t="str">
        <v>plays</v>
      </c>
    </row>
    <row r="305" spans="1:19" ht="17" x14ac:dyDescent="0.2">
      <c r="A305">
        <v>303</v>
      </c>
      <c r="B305" t="s">
        <v>753</v>
      </c>
      <c r="C305" s="3" t="s">
        <v>754</v>
      </c>
      <c r="D305">
        <v>3400</v>
      </c>
      <c r="E305">
        <v>2809</v>
      </c>
      <c r="F305" s="5">
        <f t="shared" si="4"/>
        <v>0.82617647058823529</v>
      </c>
      <c r="G305" t="s">
        <v>6</v>
      </c>
      <c r="H305">
        <v>32</v>
      </c>
      <c r="I305" t="s">
        <v>109</v>
      </c>
      <c r="J305" t="s">
        <v>110</v>
      </c>
      <c r="K305" s="4">
        <v>42376.25</v>
      </c>
      <c r="L305" s="4" t="s">
        <v>47</v>
      </c>
      <c r="M305" s="4" t="s">
        <v>153</v>
      </c>
      <c r="N305" s="4">
        <v>42381.25</v>
      </c>
      <c r="O305" t="b">
        <v>0</v>
      </c>
      <c r="P305" t="b">
        <v>0</v>
      </c>
      <c r="Q305" t="s">
        <v>154</v>
      </c>
      <c r="R305" t="str" cm="1">
        <f t="array" ref="R305:S305">_xlfn.TEXTSPLIT(Q305, "/", , FALSE)</f>
        <v>music</v>
      </c>
      <c r="S305" t="str">
        <v>indie rock</v>
      </c>
    </row>
    <row r="306" spans="1:19" ht="17" x14ac:dyDescent="0.2">
      <c r="A306">
        <v>304</v>
      </c>
      <c r="B306" t="s">
        <v>755</v>
      </c>
      <c r="C306" s="3" t="s">
        <v>756</v>
      </c>
      <c r="D306">
        <v>2100</v>
      </c>
      <c r="E306">
        <v>11469</v>
      </c>
      <c r="F306" s="5">
        <f t="shared" si="4"/>
        <v>5.4614285714285717</v>
      </c>
      <c r="G306" t="s">
        <v>8</v>
      </c>
      <c r="H306">
        <v>142</v>
      </c>
      <c r="I306" t="s">
        <v>109</v>
      </c>
      <c r="J306" t="s">
        <v>110</v>
      </c>
      <c r="K306" s="4">
        <v>42589.208333333328</v>
      </c>
      <c r="L306" s="4" t="s">
        <v>54</v>
      </c>
      <c r="M306" s="4" t="s">
        <v>153</v>
      </c>
      <c r="N306" s="4">
        <v>42630.208333333328</v>
      </c>
      <c r="O306" t="b">
        <v>0</v>
      </c>
      <c r="P306" t="b">
        <v>0</v>
      </c>
      <c r="Q306" t="s">
        <v>135</v>
      </c>
      <c r="R306" t="str" cm="1">
        <f t="array" ref="R306:S306">_xlfn.TEXTSPLIT(Q306, "/", , FALSE)</f>
        <v>film &amp; video</v>
      </c>
      <c r="S306" t="str">
        <v>documentary</v>
      </c>
    </row>
    <row r="307" spans="1:19" ht="17" x14ac:dyDescent="0.2">
      <c r="A307">
        <v>305</v>
      </c>
      <c r="B307" t="s">
        <v>757</v>
      </c>
      <c r="C307" s="3" t="s">
        <v>758</v>
      </c>
      <c r="D307">
        <v>2800</v>
      </c>
      <c r="E307">
        <v>8014</v>
      </c>
      <c r="F307" s="5">
        <f t="shared" si="4"/>
        <v>2.8621428571428571</v>
      </c>
      <c r="G307" t="s">
        <v>8</v>
      </c>
      <c r="H307">
        <v>85</v>
      </c>
      <c r="I307" t="s">
        <v>109</v>
      </c>
      <c r="J307" t="s">
        <v>110</v>
      </c>
      <c r="K307" s="4">
        <v>42448.208333333328</v>
      </c>
      <c r="L307" s="4" t="s">
        <v>49</v>
      </c>
      <c r="M307" s="4" t="s">
        <v>153</v>
      </c>
      <c r="N307" s="4">
        <v>42489.208333333328</v>
      </c>
      <c r="O307" t="b">
        <v>0</v>
      </c>
      <c r="P307" t="b">
        <v>0</v>
      </c>
      <c r="Q307" t="s">
        <v>124</v>
      </c>
      <c r="R307" t="str" cm="1">
        <f t="array" ref="R307:S307">_xlfn.TEXTSPLIT(Q307, "/", , FALSE)</f>
        <v>theater</v>
      </c>
      <c r="S307" t="str">
        <v>plays</v>
      </c>
    </row>
    <row r="308" spans="1:19" ht="34" x14ac:dyDescent="0.2">
      <c r="A308">
        <v>306</v>
      </c>
      <c r="B308" t="s">
        <v>759</v>
      </c>
      <c r="C308" s="3" t="s">
        <v>760</v>
      </c>
      <c r="D308">
        <v>6500</v>
      </c>
      <c r="E308">
        <v>514</v>
      </c>
      <c r="F308" s="5">
        <f t="shared" si="4"/>
        <v>7.9076923076923072E-2</v>
      </c>
      <c r="G308" t="s">
        <v>6</v>
      </c>
      <c r="H308">
        <v>7</v>
      </c>
      <c r="I308" t="s">
        <v>109</v>
      </c>
      <c r="J308" t="s">
        <v>110</v>
      </c>
      <c r="K308" s="4">
        <v>42930.208333333328</v>
      </c>
      <c r="L308" s="4" t="s">
        <v>53</v>
      </c>
      <c r="M308" s="4" t="s">
        <v>134</v>
      </c>
      <c r="N308" s="4">
        <v>42933.208333333328</v>
      </c>
      <c r="O308" t="b">
        <v>0</v>
      </c>
      <c r="P308" t="b">
        <v>1</v>
      </c>
      <c r="Q308" t="s">
        <v>124</v>
      </c>
      <c r="R308" t="str" cm="1">
        <f t="array" ref="R308:S308">_xlfn.TEXTSPLIT(Q308, "/", , FALSE)</f>
        <v>theater</v>
      </c>
      <c r="S308" t="str">
        <v>plays</v>
      </c>
    </row>
    <row r="309" spans="1:19" ht="17" x14ac:dyDescent="0.2">
      <c r="A309">
        <v>307</v>
      </c>
      <c r="B309" t="s">
        <v>761</v>
      </c>
      <c r="C309" s="3" t="s">
        <v>762</v>
      </c>
      <c r="D309">
        <v>32900</v>
      </c>
      <c r="E309">
        <v>43473</v>
      </c>
      <c r="F309" s="5">
        <f t="shared" si="4"/>
        <v>1.3213677811550153</v>
      </c>
      <c r="G309" t="s">
        <v>8</v>
      </c>
      <c r="H309">
        <v>659</v>
      </c>
      <c r="I309" t="s">
        <v>127</v>
      </c>
      <c r="J309" t="s">
        <v>128</v>
      </c>
      <c r="K309" s="4">
        <v>41066.208333333336</v>
      </c>
      <c r="L309" s="4" t="s">
        <v>52</v>
      </c>
      <c r="M309" s="4" t="s">
        <v>129</v>
      </c>
      <c r="N309" s="4">
        <v>41086.208333333336</v>
      </c>
      <c r="O309" t="b">
        <v>0</v>
      </c>
      <c r="P309" t="b">
        <v>1</v>
      </c>
      <c r="Q309" t="s">
        <v>214</v>
      </c>
      <c r="R309" t="str" cm="1">
        <f t="array" ref="R309:S309">_xlfn.TEXTSPLIT(Q309, "/", , FALSE)</f>
        <v>publishing</v>
      </c>
      <c r="S309" t="str">
        <v>fiction</v>
      </c>
    </row>
    <row r="310" spans="1:19" ht="17" x14ac:dyDescent="0.2">
      <c r="A310">
        <v>308</v>
      </c>
      <c r="B310" t="s">
        <v>763</v>
      </c>
      <c r="C310" s="3" t="s">
        <v>764</v>
      </c>
      <c r="D310">
        <v>118200</v>
      </c>
      <c r="E310">
        <v>87560</v>
      </c>
      <c r="F310" s="5">
        <f t="shared" si="4"/>
        <v>0.74077834179357027</v>
      </c>
      <c r="G310" t="s">
        <v>6</v>
      </c>
      <c r="H310">
        <v>803</v>
      </c>
      <c r="I310" t="s">
        <v>109</v>
      </c>
      <c r="J310" t="s">
        <v>110</v>
      </c>
      <c r="K310" s="4">
        <v>40651.208333333336</v>
      </c>
      <c r="L310" s="4" t="s">
        <v>50</v>
      </c>
      <c r="M310" s="4" t="s">
        <v>165</v>
      </c>
      <c r="N310" s="4">
        <v>40652.208333333336</v>
      </c>
      <c r="O310" t="b">
        <v>0</v>
      </c>
      <c r="P310" t="b">
        <v>0</v>
      </c>
      <c r="Q310" t="s">
        <v>124</v>
      </c>
      <c r="R310" t="str" cm="1">
        <f t="array" ref="R310:S310">_xlfn.TEXTSPLIT(Q310, "/", , FALSE)</f>
        <v>theater</v>
      </c>
      <c r="S310" t="str">
        <v>plays</v>
      </c>
    </row>
    <row r="311" spans="1:19" ht="17" x14ac:dyDescent="0.2">
      <c r="A311">
        <v>309</v>
      </c>
      <c r="B311" t="s">
        <v>765</v>
      </c>
      <c r="C311" s="3" t="s">
        <v>766</v>
      </c>
      <c r="D311">
        <v>4100</v>
      </c>
      <c r="E311">
        <v>3087</v>
      </c>
      <c r="F311" s="5">
        <f t="shared" si="4"/>
        <v>0.75292682926829269</v>
      </c>
      <c r="G311" t="s">
        <v>5</v>
      </c>
      <c r="H311">
        <v>75</v>
      </c>
      <c r="I311" t="s">
        <v>109</v>
      </c>
      <c r="J311" t="s">
        <v>110</v>
      </c>
      <c r="K311" s="4">
        <v>40807.208333333336</v>
      </c>
      <c r="L311" s="4" t="s">
        <v>55</v>
      </c>
      <c r="M311" s="4" t="s">
        <v>165</v>
      </c>
      <c r="N311" s="4">
        <v>40827.208333333336</v>
      </c>
      <c r="O311" t="b">
        <v>0</v>
      </c>
      <c r="P311" t="b">
        <v>1</v>
      </c>
      <c r="Q311" t="s">
        <v>154</v>
      </c>
      <c r="R311" t="str" cm="1">
        <f t="array" ref="R311:S311">_xlfn.TEXTSPLIT(Q311, "/", , FALSE)</f>
        <v>music</v>
      </c>
      <c r="S311" t="str">
        <v>indie rock</v>
      </c>
    </row>
    <row r="312" spans="1:19" ht="17" x14ac:dyDescent="0.2">
      <c r="A312">
        <v>310</v>
      </c>
      <c r="B312" t="s">
        <v>767</v>
      </c>
      <c r="C312" s="3" t="s">
        <v>768</v>
      </c>
      <c r="D312">
        <v>7800</v>
      </c>
      <c r="E312">
        <v>1586</v>
      </c>
      <c r="F312" s="5">
        <f t="shared" si="4"/>
        <v>0.20333333333333334</v>
      </c>
      <c r="G312" t="s">
        <v>6</v>
      </c>
      <c r="H312">
        <v>16</v>
      </c>
      <c r="I312" t="s">
        <v>109</v>
      </c>
      <c r="J312" t="s">
        <v>110</v>
      </c>
      <c r="K312" s="4">
        <v>40277.208333333336</v>
      </c>
      <c r="L312" s="4" t="s">
        <v>50</v>
      </c>
      <c r="M312" s="4" t="s">
        <v>140</v>
      </c>
      <c r="N312" s="4">
        <v>40293.208333333336</v>
      </c>
      <c r="O312" t="b">
        <v>0</v>
      </c>
      <c r="P312" t="b">
        <v>0</v>
      </c>
      <c r="Q312" t="s">
        <v>184</v>
      </c>
      <c r="R312" t="str" cm="1">
        <f t="array" ref="R312:S312">_xlfn.TEXTSPLIT(Q312, "/", , FALSE)</f>
        <v>games</v>
      </c>
      <c r="S312" t="str">
        <v>video games</v>
      </c>
    </row>
    <row r="313" spans="1:19" ht="17" x14ac:dyDescent="0.2">
      <c r="A313">
        <v>311</v>
      </c>
      <c r="B313" t="s">
        <v>769</v>
      </c>
      <c r="C313" s="3" t="s">
        <v>770</v>
      </c>
      <c r="D313">
        <v>6300</v>
      </c>
      <c r="E313">
        <v>12812</v>
      </c>
      <c r="F313" s="5">
        <f t="shared" si="4"/>
        <v>2.0336507936507937</v>
      </c>
      <c r="G313" t="s">
        <v>8</v>
      </c>
      <c r="H313">
        <v>121</v>
      </c>
      <c r="I313" t="s">
        <v>109</v>
      </c>
      <c r="J313" t="s">
        <v>110</v>
      </c>
      <c r="K313" s="4">
        <v>40590.25</v>
      </c>
      <c r="L313" s="4" t="s">
        <v>48</v>
      </c>
      <c r="M313" s="4" t="s">
        <v>165</v>
      </c>
      <c r="N313" s="4">
        <v>40602.25</v>
      </c>
      <c r="O313" t="b">
        <v>0</v>
      </c>
      <c r="P313" t="b">
        <v>0</v>
      </c>
      <c r="Q313" t="s">
        <v>124</v>
      </c>
      <c r="R313" t="str" cm="1">
        <f t="array" ref="R313:S313">_xlfn.TEXTSPLIT(Q313, "/", , FALSE)</f>
        <v>theater</v>
      </c>
      <c r="S313" t="str">
        <v>plays</v>
      </c>
    </row>
    <row r="314" spans="1:19" ht="17" x14ac:dyDescent="0.2">
      <c r="A314">
        <v>312</v>
      </c>
      <c r="B314" t="s">
        <v>771</v>
      </c>
      <c r="C314" s="3" t="s">
        <v>772</v>
      </c>
      <c r="D314">
        <v>59100</v>
      </c>
      <c r="E314">
        <v>183345</v>
      </c>
      <c r="F314" s="5">
        <f t="shared" si="4"/>
        <v>3.1022842639593908</v>
      </c>
      <c r="G314" t="s">
        <v>8</v>
      </c>
      <c r="H314">
        <v>3742</v>
      </c>
      <c r="I314" t="s">
        <v>109</v>
      </c>
      <c r="J314" t="s">
        <v>110</v>
      </c>
      <c r="K314" s="4">
        <v>41572.208333333336</v>
      </c>
      <c r="L314" s="4" t="s">
        <v>56</v>
      </c>
      <c r="M314" s="4" t="s">
        <v>117</v>
      </c>
      <c r="N314" s="4">
        <v>41579.208333333336</v>
      </c>
      <c r="O314" t="b">
        <v>0</v>
      </c>
      <c r="P314" t="b">
        <v>0</v>
      </c>
      <c r="Q314" t="s">
        <v>124</v>
      </c>
      <c r="R314" t="str" cm="1">
        <f t="array" ref="R314:S314">_xlfn.TEXTSPLIT(Q314, "/", , FALSE)</f>
        <v>theater</v>
      </c>
      <c r="S314" t="str">
        <v>plays</v>
      </c>
    </row>
    <row r="315" spans="1:19" ht="17" x14ac:dyDescent="0.2">
      <c r="A315">
        <v>313</v>
      </c>
      <c r="B315" t="s">
        <v>773</v>
      </c>
      <c r="C315" s="3" t="s">
        <v>774</v>
      </c>
      <c r="D315">
        <v>2200</v>
      </c>
      <c r="E315">
        <v>8697</v>
      </c>
      <c r="F315" s="5">
        <f t="shared" si="4"/>
        <v>3.9531818181818181</v>
      </c>
      <c r="G315" t="s">
        <v>8</v>
      </c>
      <c r="H315">
        <v>223</v>
      </c>
      <c r="I315" t="s">
        <v>109</v>
      </c>
      <c r="J315" t="s">
        <v>110</v>
      </c>
      <c r="K315" s="4">
        <v>40966.25</v>
      </c>
      <c r="L315" s="4" t="s">
        <v>48</v>
      </c>
      <c r="M315" s="4" t="s">
        <v>129</v>
      </c>
      <c r="N315" s="4">
        <v>40968.25</v>
      </c>
      <c r="O315" t="b">
        <v>0</v>
      </c>
      <c r="P315" t="b">
        <v>0</v>
      </c>
      <c r="Q315" t="s">
        <v>112</v>
      </c>
      <c r="R315" t="str" cm="1">
        <f t="array" ref="R315:S315">_xlfn.TEXTSPLIT(Q315, "/", , FALSE)</f>
        <v>music</v>
      </c>
      <c r="S315" t="str">
        <v>rock</v>
      </c>
    </row>
    <row r="316" spans="1:19" ht="17" x14ac:dyDescent="0.2">
      <c r="A316">
        <v>314</v>
      </c>
      <c r="B316" t="s">
        <v>775</v>
      </c>
      <c r="C316" s="3" t="s">
        <v>776</v>
      </c>
      <c r="D316">
        <v>1400</v>
      </c>
      <c r="E316">
        <v>4126</v>
      </c>
      <c r="F316" s="5">
        <f t="shared" si="4"/>
        <v>2.9471428571428571</v>
      </c>
      <c r="G316" t="s">
        <v>8</v>
      </c>
      <c r="H316">
        <v>133</v>
      </c>
      <c r="I316" t="s">
        <v>109</v>
      </c>
      <c r="J316" t="s">
        <v>110</v>
      </c>
      <c r="K316" s="4">
        <v>43536.208333333328</v>
      </c>
      <c r="L316" s="4" t="s">
        <v>49</v>
      </c>
      <c r="M316" s="4" t="s">
        <v>121</v>
      </c>
      <c r="N316" s="4">
        <v>43541.208333333328</v>
      </c>
      <c r="O316" t="b">
        <v>0</v>
      </c>
      <c r="P316" t="b">
        <v>1</v>
      </c>
      <c r="Q316" t="s">
        <v>135</v>
      </c>
      <c r="R316" t="str" cm="1">
        <f t="array" ref="R316:S316">_xlfn.TEXTSPLIT(Q316, "/", , FALSE)</f>
        <v>film &amp; video</v>
      </c>
      <c r="S316" t="str">
        <v>documentary</v>
      </c>
    </row>
    <row r="317" spans="1:19" ht="34" x14ac:dyDescent="0.2">
      <c r="A317">
        <v>315</v>
      </c>
      <c r="B317" t="s">
        <v>777</v>
      </c>
      <c r="C317" s="3" t="s">
        <v>778</v>
      </c>
      <c r="D317">
        <v>9500</v>
      </c>
      <c r="E317">
        <v>3220</v>
      </c>
      <c r="F317" s="5">
        <f t="shared" si="4"/>
        <v>0.33894736842105261</v>
      </c>
      <c r="G317" t="s">
        <v>6</v>
      </c>
      <c r="H317">
        <v>31</v>
      </c>
      <c r="I317" t="s">
        <v>109</v>
      </c>
      <c r="J317" t="s">
        <v>110</v>
      </c>
      <c r="K317" s="4">
        <v>41783.208333333336</v>
      </c>
      <c r="L317" s="4" t="s">
        <v>51</v>
      </c>
      <c r="M317" s="4" t="s">
        <v>111</v>
      </c>
      <c r="N317" s="4">
        <v>41812.208333333336</v>
      </c>
      <c r="O317" t="b">
        <v>0</v>
      </c>
      <c r="P317" t="b">
        <v>0</v>
      </c>
      <c r="Q317" t="s">
        <v>124</v>
      </c>
      <c r="R317" t="str" cm="1">
        <f t="array" ref="R317:S317">_xlfn.TEXTSPLIT(Q317, "/", , FALSE)</f>
        <v>theater</v>
      </c>
      <c r="S317" t="str">
        <v>plays</v>
      </c>
    </row>
    <row r="318" spans="1:19" ht="17" x14ac:dyDescent="0.2">
      <c r="A318">
        <v>316</v>
      </c>
      <c r="B318" t="s">
        <v>779</v>
      </c>
      <c r="C318" s="3" t="s">
        <v>780</v>
      </c>
      <c r="D318">
        <v>9600</v>
      </c>
      <c r="E318">
        <v>6401</v>
      </c>
      <c r="F318" s="5">
        <f t="shared" si="4"/>
        <v>0.66677083333333331</v>
      </c>
      <c r="G318" t="s">
        <v>6</v>
      </c>
      <c r="H318">
        <v>108</v>
      </c>
      <c r="I318" t="s">
        <v>202</v>
      </c>
      <c r="J318" t="s">
        <v>203</v>
      </c>
      <c r="K318" s="4">
        <v>43788.25</v>
      </c>
      <c r="L318" s="4" t="s">
        <v>57</v>
      </c>
      <c r="M318" s="4" t="s">
        <v>121</v>
      </c>
      <c r="N318" s="4">
        <v>43789.25</v>
      </c>
      <c r="O318" t="b">
        <v>0</v>
      </c>
      <c r="P318" t="b">
        <v>1</v>
      </c>
      <c r="Q318" t="s">
        <v>106</v>
      </c>
      <c r="R318" t="str" cm="1">
        <f t="array" ref="R318:S318">_xlfn.TEXTSPLIT(Q318, "/", , FALSE)</f>
        <v>food</v>
      </c>
      <c r="S318" t="str">
        <v>food trucks</v>
      </c>
    </row>
    <row r="319" spans="1:19" ht="17" x14ac:dyDescent="0.2">
      <c r="A319">
        <v>317</v>
      </c>
      <c r="B319" t="s">
        <v>781</v>
      </c>
      <c r="C319" s="3" t="s">
        <v>782</v>
      </c>
      <c r="D319">
        <v>6600</v>
      </c>
      <c r="E319">
        <v>1269</v>
      </c>
      <c r="F319" s="5">
        <f t="shared" si="4"/>
        <v>0.19227272727272726</v>
      </c>
      <c r="G319" t="s">
        <v>6</v>
      </c>
      <c r="H319">
        <v>30</v>
      </c>
      <c r="I319" t="s">
        <v>109</v>
      </c>
      <c r="J319" t="s">
        <v>110</v>
      </c>
      <c r="K319" s="4">
        <v>42869.208333333328</v>
      </c>
      <c r="L319" s="4" t="s">
        <v>51</v>
      </c>
      <c r="M319" s="4" t="s">
        <v>134</v>
      </c>
      <c r="N319" s="4">
        <v>42882.208333333328</v>
      </c>
      <c r="O319" t="b">
        <v>0</v>
      </c>
      <c r="P319" t="b">
        <v>0</v>
      </c>
      <c r="Q319" t="s">
        <v>124</v>
      </c>
      <c r="R319" t="str" cm="1">
        <f t="array" ref="R319:S319">_xlfn.TEXTSPLIT(Q319, "/", , FALSE)</f>
        <v>theater</v>
      </c>
      <c r="S319" t="str">
        <v>plays</v>
      </c>
    </row>
    <row r="320" spans="1:19" ht="34" x14ac:dyDescent="0.2">
      <c r="A320">
        <v>318</v>
      </c>
      <c r="B320" t="s">
        <v>783</v>
      </c>
      <c r="C320" s="3" t="s">
        <v>784</v>
      </c>
      <c r="D320">
        <v>5700</v>
      </c>
      <c r="E320">
        <v>903</v>
      </c>
      <c r="F320" s="5">
        <f t="shared" si="4"/>
        <v>0.15842105263157893</v>
      </c>
      <c r="G320" t="s">
        <v>6</v>
      </c>
      <c r="H320">
        <v>17</v>
      </c>
      <c r="I320" t="s">
        <v>109</v>
      </c>
      <c r="J320" t="s">
        <v>110</v>
      </c>
      <c r="K320" s="4">
        <v>41684.25</v>
      </c>
      <c r="L320" s="4" t="s">
        <v>48</v>
      </c>
      <c r="M320" s="4" t="s">
        <v>111</v>
      </c>
      <c r="N320" s="4">
        <v>41686.25</v>
      </c>
      <c r="O320" t="b">
        <v>0</v>
      </c>
      <c r="P320" t="b">
        <v>0</v>
      </c>
      <c r="Q320" t="s">
        <v>112</v>
      </c>
      <c r="R320" t="str" cm="1">
        <f t="array" ref="R320:S320">_xlfn.TEXTSPLIT(Q320, "/", , FALSE)</f>
        <v>music</v>
      </c>
      <c r="S320" t="str">
        <v>rock</v>
      </c>
    </row>
    <row r="321" spans="1:19" ht="17" x14ac:dyDescent="0.2">
      <c r="A321">
        <v>319</v>
      </c>
      <c r="B321" t="s">
        <v>785</v>
      </c>
      <c r="C321" s="3" t="s">
        <v>786</v>
      </c>
      <c r="D321">
        <v>8400</v>
      </c>
      <c r="E321">
        <v>3251</v>
      </c>
      <c r="F321" s="5">
        <f t="shared" si="4"/>
        <v>0.38702380952380955</v>
      </c>
      <c r="G321" t="s">
        <v>5</v>
      </c>
      <c r="H321">
        <v>64</v>
      </c>
      <c r="I321" t="s">
        <v>109</v>
      </c>
      <c r="J321" t="s">
        <v>110</v>
      </c>
      <c r="K321" s="4">
        <v>40402.208333333336</v>
      </c>
      <c r="L321" s="4" t="s">
        <v>54</v>
      </c>
      <c r="M321" s="4" t="s">
        <v>140</v>
      </c>
      <c r="N321" s="4">
        <v>40426.208333333336</v>
      </c>
      <c r="O321" t="b">
        <v>0</v>
      </c>
      <c r="P321" t="b">
        <v>0</v>
      </c>
      <c r="Q321" t="s">
        <v>118</v>
      </c>
      <c r="R321" t="str" cm="1">
        <f t="array" ref="R321:S321">_xlfn.TEXTSPLIT(Q321, "/", , FALSE)</f>
        <v>technology</v>
      </c>
      <c r="S321" t="str">
        <v>web</v>
      </c>
    </row>
    <row r="322" spans="1:19" ht="17" x14ac:dyDescent="0.2">
      <c r="A322">
        <v>320</v>
      </c>
      <c r="B322" t="s">
        <v>787</v>
      </c>
      <c r="C322" s="3" t="s">
        <v>788</v>
      </c>
      <c r="D322">
        <v>84400</v>
      </c>
      <c r="E322">
        <v>8092</v>
      </c>
      <c r="F322" s="5">
        <f t="shared" si="4"/>
        <v>9.5876777251184833E-2</v>
      </c>
      <c r="G322" t="s">
        <v>6</v>
      </c>
      <c r="H322">
        <v>80</v>
      </c>
      <c r="I322" t="s">
        <v>109</v>
      </c>
      <c r="J322" t="s">
        <v>110</v>
      </c>
      <c r="K322" s="4">
        <v>40673.208333333336</v>
      </c>
      <c r="L322" s="4" t="s">
        <v>51</v>
      </c>
      <c r="M322" s="4" t="s">
        <v>165</v>
      </c>
      <c r="N322" s="4">
        <v>40682.208333333336</v>
      </c>
      <c r="O322" t="b">
        <v>0</v>
      </c>
      <c r="P322" t="b">
        <v>0</v>
      </c>
      <c r="Q322" t="s">
        <v>214</v>
      </c>
      <c r="R322" t="str" cm="1">
        <f t="array" ref="R322:S322">_xlfn.TEXTSPLIT(Q322, "/", , FALSE)</f>
        <v>publishing</v>
      </c>
      <c r="S322" t="str">
        <v>fiction</v>
      </c>
    </row>
    <row r="323" spans="1:19" ht="34" x14ac:dyDescent="0.2">
      <c r="A323">
        <v>321</v>
      </c>
      <c r="B323" t="s">
        <v>789</v>
      </c>
      <c r="C323" s="3" t="s">
        <v>790</v>
      </c>
      <c r="D323">
        <v>170400</v>
      </c>
      <c r="E323">
        <v>160422</v>
      </c>
      <c r="F323" s="5">
        <f t="shared" ref="F323:F386" si="5">E323/D323</f>
        <v>0.94144366197183094</v>
      </c>
      <c r="G323" t="s">
        <v>6</v>
      </c>
      <c r="H323">
        <v>2468</v>
      </c>
      <c r="I323" t="s">
        <v>109</v>
      </c>
      <c r="J323" t="s">
        <v>110</v>
      </c>
      <c r="K323" s="4">
        <v>40634.208333333336</v>
      </c>
      <c r="L323" s="4" t="s">
        <v>50</v>
      </c>
      <c r="M323" s="4" t="s">
        <v>165</v>
      </c>
      <c r="N323" s="4">
        <v>40642.208333333336</v>
      </c>
      <c r="O323" t="b">
        <v>0</v>
      </c>
      <c r="P323" t="b">
        <v>0</v>
      </c>
      <c r="Q323" t="s">
        <v>195</v>
      </c>
      <c r="R323" t="str" cm="1">
        <f t="array" ref="R323:S323">_xlfn.TEXTSPLIT(Q323, "/", , FALSE)</f>
        <v>film &amp; video</v>
      </c>
      <c r="S323" t="str">
        <v>shorts</v>
      </c>
    </row>
    <row r="324" spans="1:19" ht="34" x14ac:dyDescent="0.2">
      <c r="A324">
        <v>322</v>
      </c>
      <c r="B324" t="s">
        <v>791</v>
      </c>
      <c r="C324" s="3" t="s">
        <v>792</v>
      </c>
      <c r="D324">
        <v>117900</v>
      </c>
      <c r="E324">
        <v>196377</v>
      </c>
      <c r="F324" s="5">
        <f t="shared" si="5"/>
        <v>1.6656234096692113</v>
      </c>
      <c r="G324" t="s">
        <v>8</v>
      </c>
      <c r="H324">
        <v>5168</v>
      </c>
      <c r="I324" t="s">
        <v>109</v>
      </c>
      <c r="J324" t="s">
        <v>110</v>
      </c>
      <c r="K324" s="4">
        <v>40507.25</v>
      </c>
      <c r="L324" s="4" t="s">
        <v>57</v>
      </c>
      <c r="M324" s="4" t="s">
        <v>140</v>
      </c>
      <c r="N324" s="4">
        <v>40520.25</v>
      </c>
      <c r="O324" t="b">
        <v>0</v>
      </c>
      <c r="P324" t="b">
        <v>0</v>
      </c>
      <c r="Q324" t="s">
        <v>124</v>
      </c>
      <c r="R324" t="str" cm="1">
        <f t="array" ref="R324:S324">_xlfn.TEXTSPLIT(Q324, "/", , FALSE)</f>
        <v>theater</v>
      </c>
      <c r="S324" t="str">
        <v>plays</v>
      </c>
    </row>
    <row r="325" spans="1:19" ht="17" x14ac:dyDescent="0.2">
      <c r="A325">
        <v>323</v>
      </c>
      <c r="B325" t="s">
        <v>793</v>
      </c>
      <c r="C325" s="3" t="s">
        <v>794</v>
      </c>
      <c r="D325">
        <v>8900</v>
      </c>
      <c r="E325">
        <v>2148</v>
      </c>
      <c r="F325" s="5">
        <f t="shared" si="5"/>
        <v>0.24134831460674158</v>
      </c>
      <c r="G325" t="s">
        <v>6</v>
      </c>
      <c r="H325">
        <v>26</v>
      </c>
      <c r="I325" t="s">
        <v>132</v>
      </c>
      <c r="J325" t="s">
        <v>133</v>
      </c>
      <c r="K325" s="4">
        <v>41725.208333333336</v>
      </c>
      <c r="L325" s="4" t="s">
        <v>49</v>
      </c>
      <c r="M325" s="4" t="s">
        <v>111</v>
      </c>
      <c r="N325" s="4">
        <v>41727.208333333336</v>
      </c>
      <c r="O325" t="b">
        <v>0</v>
      </c>
      <c r="P325" t="b">
        <v>0</v>
      </c>
      <c r="Q325" t="s">
        <v>135</v>
      </c>
      <c r="R325" t="str" cm="1">
        <f t="array" ref="R325:S325">_xlfn.TEXTSPLIT(Q325, "/", , FALSE)</f>
        <v>film &amp; video</v>
      </c>
      <c r="S325" t="str">
        <v>documentary</v>
      </c>
    </row>
    <row r="326" spans="1:19" ht="17" x14ac:dyDescent="0.2">
      <c r="A326">
        <v>324</v>
      </c>
      <c r="B326" t="s">
        <v>795</v>
      </c>
      <c r="C326" s="3" t="s">
        <v>796</v>
      </c>
      <c r="D326">
        <v>7100</v>
      </c>
      <c r="E326">
        <v>11648</v>
      </c>
      <c r="F326" s="5">
        <f t="shared" si="5"/>
        <v>1.6405633802816901</v>
      </c>
      <c r="G326" t="s">
        <v>8</v>
      </c>
      <c r="H326">
        <v>307</v>
      </c>
      <c r="I326" t="s">
        <v>109</v>
      </c>
      <c r="J326" t="s">
        <v>110</v>
      </c>
      <c r="K326" s="4">
        <v>42176.208333333328</v>
      </c>
      <c r="L326" s="4" t="s">
        <v>52</v>
      </c>
      <c r="M326" s="4" t="s">
        <v>105</v>
      </c>
      <c r="N326" s="4">
        <v>42188.208333333328</v>
      </c>
      <c r="O326" t="b">
        <v>0</v>
      </c>
      <c r="P326" t="b">
        <v>1</v>
      </c>
      <c r="Q326" t="s">
        <v>124</v>
      </c>
      <c r="R326" t="str" cm="1">
        <f t="array" ref="R326:S326">_xlfn.TEXTSPLIT(Q326, "/", , FALSE)</f>
        <v>theater</v>
      </c>
      <c r="S326" t="str">
        <v>plays</v>
      </c>
    </row>
    <row r="327" spans="1:19" ht="34" x14ac:dyDescent="0.2">
      <c r="A327">
        <v>325</v>
      </c>
      <c r="B327" t="s">
        <v>797</v>
      </c>
      <c r="C327" s="3" t="s">
        <v>798</v>
      </c>
      <c r="D327">
        <v>6500</v>
      </c>
      <c r="E327">
        <v>5897</v>
      </c>
      <c r="F327" s="5">
        <f t="shared" si="5"/>
        <v>0.90723076923076929</v>
      </c>
      <c r="G327" t="s">
        <v>6</v>
      </c>
      <c r="H327">
        <v>73</v>
      </c>
      <c r="I327" t="s">
        <v>109</v>
      </c>
      <c r="J327" t="s">
        <v>110</v>
      </c>
      <c r="K327" s="4">
        <v>43267.208333333328</v>
      </c>
      <c r="L327" s="4" t="s">
        <v>52</v>
      </c>
      <c r="M327" s="4" t="s">
        <v>169</v>
      </c>
      <c r="N327" s="4">
        <v>43290.208333333328</v>
      </c>
      <c r="O327" t="b">
        <v>0</v>
      </c>
      <c r="P327" t="b">
        <v>1</v>
      </c>
      <c r="Q327" t="s">
        <v>124</v>
      </c>
      <c r="R327" t="str" cm="1">
        <f t="array" ref="R327:S327">_xlfn.TEXTSPLIT(Q327, "/", , FALSE)</f>
        <v>theater</v>
      </c>
      <c r="S327" t="str">
        <v>plays</v>
      </c>
    </row>
    <row r="328" spans="1:19" ht="34" x14ac:dyDescent="0.2">
      <c r="A328">
        <v>326</v>
      </c>
      <c r="B328" t="s">
        <v>799</v>
      </c>
      <c r="C328" s="3" t="s">
        <v>800</v>
      </c>
      <c r="D328">
        <v>7200</v>
      </c>
      <c r="E328">
        <v>3326</v>
      </c>
      <c r="F328" s="5">
        <f t="shared" si="5"/>
        <v>0.46194444444444444</v>
      </c>
      <c r="G328" t="s">
        <v>6</v>
      </c>
      <c r="H328">
        <v>128</v>
      </c>
      <c r="I328" t="s">
        <v>109</v>
      </c>
      <c r="J328" t="s">
        <v>110</v>
      </c>
      <c r="K328" s="4">
        <v>42364.25</v>
      </c>
      <c r="L328" s="4" t="s">
        <v>58</v>
      </c>
      <c r="M328" s="4" t="s">
        <v>105</v>
      </c>
      <c r="N328" s="4">
        <v>42370.25</v>
      </c>
      <c r="O328" t="b">
        <v>0</v>
      </c>
      <c r="P328" t="b">
        <v>0</v>
      </c>
      <c r="Q328" t="s">
        <v>166</v>
      </c>
      <c r="R328" t="str" cm="1">
        <f t="array" ref="R328:S328">_xlfn.TEXTSPLIT(Q328, "/", , FALSE)</f>
        <v>film &amp; video</v>
      </c>
      <c r="S328" t="str">
        <v>animation</v>
      </c>
    </row>
    <row r="329" spans="1:19" ht="17" x14ac:dyDescent="0.2">
      <c r="A329">
        <v>327</v>
      </c>
      <c r="B329" t="s">
        <v>801</v>
      </c>
      <c r="C329" s="3" t="s">
        <v>802</v>
      </c>
      <c r="D329">
        <v>2600</v>
      </c>
      <c r="E329">
        <v>1002</v>
      </c>
      <c r="F329" s="5">
        <f t="shared" si="5"/>
        <v>0.38538461538461538</v>
      </c>
      <c r="G329" t="s">
        <v>6</v>
      </c>
      <c r="H329">
        <v>33</v>
      </c>
      <c r="I329" t="s">
        <v>109</v>
      </c>
      <c r="J329" t="s">
        <v>110</v>
      </c>
      <c r="K329" s="4">
        <v>43705.208333333328</v>
      </c>
      <c r="L329" s="4" t="s">
        <v>54</v>
      </c>
      <c r="M329" s="4" t="s">
        <v>121</v>
      </c>
      <c r="N329" s="4">
        <v>43709.208333333328</v>
      </c>
      <c r="O329" t="b">
        <v>0</v>
      </c>
      <c r="P329" t="b">
        <v>1</v>
      </c>
      <c r="Q329" t="s">
        <v>124</v>
      </c>
      <c r="R329" t="str" cm="1">
        <f t="array" ref="R329:S329">_xlfn.TEXTSPLIT(Q329, "/", , FALSE)</f>
        <v>theater</v>
      </c>
      <c r="S329" t="str">
        <v>plays</v>
      </c>
    </row>
    <row r="330" spans="1:19" ht="34" x14ac:dyDescent="0.2">
      <c r="A330">
        <v>328</v>
      </c>
      <c r="B330" t="s">
        <v>803</v>
      </c>
      <c r="C330" s="3" t="s">
        <v>804</v>
      </c>
      <c r="D330">
        <v>98700</v>
      </c>
      <c r="E330">
        <v>131826</v>
      </c>
      <c r="F330" s="5">
        <f t="shared" si="5"/>
        <v>1.3356231003039514</v>
      </c>
      <c r="G330" t="s">
        <v>8</v>
      </c>
      <c r="H330">
        <v>2441</v>
      </c>
      <c r="I330" t="s">
        <v>109</v>
      </c>
      <c r="J330" t="s">
        <v>110</v>
      </c>
      <c r="K330" s="4">
        <v>43434.25</v>
      </c>
      <c r="L330" s="4" t="s">
        <v>57</v>
      </c>
      <c r="M330" s="4" t="s">
        <v>169</v>
      </c>
      <c r="N330" s="4">
        <v>43445.25</v>
      </c>
      <c r="O330" t="b">
        <v>0</v>
      </c>
      <c r="P330" t="b">
        <v>0</v>
      </c>
      <c r="Q330" t="s">
        <v>112</v>
      </c>
      <c r="R330" t="str" cm="1">
        <f t="array" ref="R330:S330">_xlfn.TEXTSPLIT(Q330, "/", , FALSE)</f>
        <v>music</v>
      </c>
      <c r="S330" t="str">
        <v>rock</v>
      </c>
    </row>
    <row r="331" spans="1:19" ht="17" x14ac:dyDescent="0.2">
      <c r="A331">
        <v>329</v>
      </c>
      <c r="B331" t="s">
        <v>805</v>
      </c>
      <c r="C331" s="3" t="s">
        <v>806</v>
      </c>
      <c r="D331">
        <v>93800</v>
      </c>
      <c r="E331">
        <v>21477</v>
      </c>
      <c r="F331" s="5">
        <f t="shared" si="5"/>
        <v>0.22896588486140726</v>
      </c>
      <c r="G331" t="s">
        <v>7</v>
      </c>
      <c r="H331">
        <v>211</v>
      </c>
      <c r="I331" t="s">
        <v>109</v>
      </c>
      <c r="J331" t="s">
        <v>110</v>
      </c>
      <c r="K331" s="4">
        <v>42716.25</v>
      </c>
      <c r="L331" s="4" t="s">
        <v>58</v>
      </c>
      <c r="M331" s="4" t="s">
        <v>153</v>
      </c>
      <c r="N331" s="4">
        <v>42727.25</v>
      </c>
      <c r="O331" t="b">
        <v>0</v>
      </c>
      <c r="P331" t="b">
        <v>0</v>
      </c>
      <c r="Q331" t="s">
        <v>184</v>
      </c>
      <c r="R331" t="str" cm="1">
        <f t="array" ref="R331:S331">_xlfn.TEXTSPLIT(Q331, "/", , FALSE)</f>
        <v>games</v>
      </c>
      <c r="S331" t="str">
        <v>video games</v>
      </c>
    </row>
    <row r="332" spans="1:19" ht="34" x14ac:dyDescent="0.2">
      <c r="A332">
        <v>330</v>
      </c>
      <c r="B332" t="s">
        <v>807</v>
      </c>
      <c r="C332" s="3" t="s">
        <v>808</v>
      </c>
      <c r="D332">
        <v>33700</v>
      </c>
      <c r="E332">
        <v>62330</v>
      </c>
      <c r="F332" s="5">
        <f t="shared" si="5"/>
        <v>1.8495548961424333</v>
      </c>
      <c r="G332" t="s">
        <v>8</v>
      </c>
      <c r="H332">
        <v>1385</v>
      </c>
      <c r="I332" t="s">
        <v>132</v>
      </c>
      <c r="J332" t="s">
        <v>133</v>
      </c>
      <c r="K332" s="4">
        <v>43077.25</v>
      </c>
      <c r="L332" s="4" t="s">
        <v>58</v>
      </c>
      <c r="M332" s="4" t="s">
        <v>134</v>
      </c>
      <c r="N332" s="4">
        <v>43078.25</v>
      </c>
      <c r="O332" t="b">
        <v>0</v>
      </c>
      <c r="P332" t="b">
        <v>0</v>
      </c>
      <c r="Q332" t="s">
        <v>135</v>
      </c>
      <c r="R332" t="str" cm="1">
        <f t="array" ref="R332:S332">_xlfn.TEXTSPLIT(Q332, "/", , FALSE)</f>
        <v>film &amp; video</v>
      </c>
      <c r="S332" t="str">
        <v>documentary</v>
      </c>
    </row>
    <row r="333" spans="1:19" ht="17" x14ac:dyDescent="0.2">
      <c r="A333">
        <v>331</v>
      </c>
      <c r="B333" t="s">
        <v>809</v>
      </c>
      <c r="C333" s="3" t="s">
        <v>810</v>
      </c>
      <c r="D333">
        <v>3300</v>
      </c>
      <c r="E333">
        <v>14643</v>
      </c>
      <c r="F333" s="5">
        <f t="shared" si="5"/>
        <v>4.4372727272727275</v>
      </c>
      <c r="G333" t="s">
        <v>8</v>
      </c>
      <c r="H333">
        <v>190</v>
      </c>
      <c r="I333" t="s">
        <v>109</v>
      </c>
      <c r="J333" t="s">
        <v>110</v>
      </c>
      <c r="K333" s="4">
        <v>40896.25</v>
      </c>
      <c r="L333" s="4" t="s">
        <v>58</v>
      </c>
      <c r="M333" s="4" t="s">
        <v>165</v>
      </c>
      <c r="N333" s="4">
        <v>40897.25</v>
      </c>
      <c r="O333" t="b">
        <v>0</v>
      </c>
      <c r="P333" t="b">
        <v>0</v>
      </c>
      <c r="Q333" t="s">
        <v>106</v>
      </c>
      <c r="R333" t="str" cm="1">
        <f t="array" ref="R333:S333">_xlfn.TEXTSPLIT(Q333, "/", , FALSE)</f>
        <v>food</v>
      </c>
      <c r="S333" t="str">
        <v>food trucks</v>
      </c>
    </row>
    <row r="334" spans="1:19" ht="34" x14ac:dyDescent="0.2">
      <c r="A334">
        <v>332</v>
      </c>
      <c r="B334" t="s">
        <v>811</v>
      </c>
      <c r="C334" s="3" t="s">
        <v>812</v>
      </c>
      <c r="D334">
        <v>20700</v>
      </c>
      <c r="E334">
        <v>41396</v>
      </c>
      <c r="F334" s="5">
        <f t="shared" si="5"/>
        <v>1.999806763285024</v>
      </c>
      <c r="G334" t="s">
        <v>8</v>
      </c>
      <c r="H334">
        <v>470</v>
      </c>
      <c r="I334" t="s">
        <v>109</v>
      </c>
      <c r="J334" t="s">
        <v>110</v>
      </c>
      <c r="K334" s="4">
        <v>41361.208333333336</v>
      </c>
      <c r="L334" s="4" t="s">
        <v>49</v>
      </c>
      <c r="M334" s="4" t="s">
        <v>117</v>
      </c>
      <c r="N334" s="4">
        <v>41362.208333333336</v>
      </c>
      <c r="O334" t="b">
        <v>0</v>
      </c>
      <c r="P334" t="b">
        <v>0</v>
      </c>
      <c r="Q334" t="s">
        <v>159</v>
      </c>
      <c r="R334" t="str" cm="1">
        <f t="array" ref="R334:S334">_xlfn.TEXTSPLIT(Q334, "/", , FALSE)</f>
        <v>technology</v>
      </c>
      <c r="S334" t="str">
        <v>wearables</v>
      </c>
    </row>
    <row r="335" spans="1:19" ht="17" x14ac:dyDescent="0.2">
      <c r="A335">
        <v>333</v>
      </c>
      <c r="B335" t="s">
        <v>813</v>
      </c>
      <c r="C335" s="3" t="s">
        <v>814</v>
      </c>
      <c r="D335">
        <v>9600</v>
      </c>
      <c r="E335">
        <v>11900</v>
      </c>
      <c r="F335" s="5">
        <f t="shared" si="5"/>
        <v>1.2395833333333333</v>
      </c>
      <c r="G335" t="s">
        <v>8</v>
      </c>
      <c r="H335">
        <v>253</v>
      </c>
      <c r="I335" t="s">
        <v>109</v>
      </c>
      <c r="J335" t="s">
        <v>110</v>
      </c>
      <c r="K335" s="4">
        <v>43424.25</v>
      </c>
      <c r="L335" s="4" t="s">
        <v>57</v>
      </c>
      <c r="M335" s="4" t="s">
        <v>169</v>
      </c>
      <c r="N335" s="4">
        <v>43452.25</v>
      </c>
      <c r="O335" t="b">
        <v>0</v>
      </c>
      <c r="P335" t="b">
        <v>0</v>
      </c>
      <c r="Q335" t="s">
        <v>124</v>
      </c>
      <c r="R335" t="str" cm="1">
        <f t="array" ref="R335:S335">_xlfn.TEXTSPLIT(Q335, "/", , FALSE)</f>
        <v>theater</v>
      </c>
      <c r="S335" t="str">
        <v>plays</v>
      </c>
    </row>
    <row r="336" spans="1:19" ht="17" x14ac:dyDescent="0.2">
      <c r="A336">
        <v>334</v>
      </c>
      <c r="B336" t="s">
        <v>815</v>
      </c>
      <c r="C336" s="3" t="s">
        <v>816</v>
      </c>
      <c r="D336">
        <v>66200</v>
      </c>
      <c r="E336">
        <v>123538</v>
      </c>
      <c r="F336" s="5">
        <f t="shared" si="5"/>
        <v>1.8661329305135952</v>
      </c>
      <c r="G336" t="s">
        <v>8</v>
      </c>
      <c r="H336">
        <v>1113</v>
      </c>
      <c r="I336" t="s">
        <v>109</v>
      </c>
      <c r="J336" t="s">
        <v>110</v>
      </c>
      <c r="K336" s="4">
        <v>43110.25</v>
      </c>
      <c r="L336" s="4" t="s">
        <v>47</v>
      </c>
      <c r="M336" s="4" t="s">
        <v>169</v>
      </c>
      <c r="N336" s="4">
        <v>43117.25</v>
      </c>
      <c r="O336" t="b">
        <v>0</v>
      </c>
      <c r="P336" t="b">
        <v>0</v>
      </c>
      <c r="Q336" t="s">
        <v>112</v>
      </c>
      <c r="R336" t="str" cm="1">
        <f t="array" ref="R336:S336">_xlfn.TEXTSPLIT(Q336, "/", , FALSE)</f>
        <v>music</v>
      </c>
      <c r="S336" t="str">
        <v>rock</v>
      </c>
    </row>
    <row r="337" spans="1:19" ht="17" x14ac:dyDescent="0.2">
      <c r="A337">
        <v>335</v>
      </c>
      <c r="B337" t="s">
        <v>817</v>
      </c>
      <c r="C337" s="3" t="s">
        <v>818</v>
      </c>
      <c r="D337">
        <v>173800</v>
      </c>
      <c r="E337">
        <v>198628</v>
      </c>
      <c r="F337" s="5">
        <f t="shared" si="5"/>
        <v>1.1428538550057536</v>
      </c>
      <c r="G337" t="s">
        <v>8</v>
      </c>
      <c r="H337">
        <v>2283</v>
      </c>
      <c r="I337" t="s">
        <v>109</v>
      </c>
      <c r="J337" t="s">
        <v>110</v>
      </c>
      <c r="K337" s="4">
        <v>43784.25</v>
      </c>
      <c r="L337" s="4" t="s">
        <v>57</v>
      </c>
      <c r="M337" s="4" t="s">
        <v>121</v>
      </c>
      <c r="N337" s="4">
        <v>43797.25</v>
      </c>
      <c r="O337" t="b">
        <v>0</v>
      </c>
      <c r="P337" t="b">
        <v>0</v>
      </c>
      <c r="Q337" t="s">
        <v>112</v>
      </c>
      <c r="R337" t="str" cm="1">
        <f t="array" ref="R337:S337">_xlfn.TEXTSPLIT(Q337, "/", , FALSE)</f>
        <v>music</v>
      </c>
      <c r="S337" t="str">
        <v>rock</v>
      </c>
    </row>
    <row r="338" spans="1:19" ht="17" x14ac:dyDescent="0.2">
      <c r="A338">
        <v>336</v>
      </c>
      <c r="B338" t="s">
        <v>819</v>
      </c>
      <c r="C338" s="3" t="s">
        <v>820</v>
      </c>
      <c r="D338">
        <v>70700</v>
      </c>
      <c r="E338">
        <v>68602</v>
      </c>
      <c r="F338" s="5">
        <f t="shared" si="5"/>
        <v>0.97032531824611035</v>
      </c>
      <c r="G338" t="s">
        <v>6</v>
      </c>
      <c r="H338">
        <v>1072</v>
      </c>
      <c r="I338" t="s">
        <v>109</v>
      </c>
      <c r="J338" t="s">
        <v>110</v>
      </c>
      <c r="K338" s="4">
        <v>40527.25</v>
      </c>
      <c r="L338" s="4" t="s">
        <v>58</v>
      </c>
      <c r="M338" s="4" t="s">
        <v>140</v>
      </c>
      <c r="N338" s="4">
        <v>40528.25</v>
      </c>
      <c r="O338" t="b">
        <v>0</v>
      </c>
      <c r="P338" t="b">
        <v>1</v>
      </c>
      <c r="Q338" t="s">
        <v>112</v>
      </c>
      <c r="R338" t="str" cm="1">
        <f t="array" ref="R338:S338">_xlfn.TEXTSPLIT(Q338, "/", , FALSE)</f>
        <v>music</v>
      </c>
      <c r="S338" t="str">
        <v>rock</v>
      </c>
    </row>
    <row r="339" spans="1:19" ht="17" x14ac:dyDescent="0.2">
      <c r="A339">
        <v>337</v>
      </c>
      <c r="B339" t="s">
        <v>821</v>
      </c>
      <c r="C339" s="3" t="s">
        <v>822</v>
      </c>
      <c r="D339">
        <v>94500</v>
      </c>
      <c r="E339">
        <v>116064</v>
      </c>
      <c r="F339" s="5">
        <f t="shared" si="5"/>
        <v>1.2281904761904763</v>
      </c>
      <c r="G339" t="s">
        <v>8</v>
      </c>
      <c r="H339">
        <v>1095</v>
      </c>
      <c r="I339" t="s">
        <v>109</v>
      </c>
      <c r="J339" t="s">
        <v>110</v>
      </c>
      <c r="K339" s="4">
        <v>43780.25</v>
      </c>
      <c r="L339" s="4" t="s">
        <v>57</v>
      </c>
      <c r="M339" s="4" t="s">
        <v>121</v>
      </c>
      <c r="N339" s="4">
        <v>43781.25</v>
      </c>
      <c r="O339" t="b">
        <v>0</v>
      </c>
      <c r="P339" t="b">
        <v>0</v>
      </c>
      <c r="Q339" t="s">
        <v>124</v>
      </c>
      <c r="R339" t="str" cm="1">
        <f t="array" ref="R339:S339">_xlfn.TEXTSPLIT(Q339, "/", , FALSE)</f>
        <v>theater</v>
      </c>
      <c r="S339" t="str">
        <v>plays</v>
      </c>
    </row>
    <row r="340" spans="1:19" ht="17" x14ac:dyDescent="0.2">
      <c r="A340">
        <v>338</v>
      </c>
      <c r="B340" t="s">
        <v>823</v>
      </c>
      <c r="C340" s="3" t="s">
        <v>824</v>
      </c>
      <c r="D340">
        <v>69800</v>
      </c>
      <c r="E340">
        <v>125042</v>
      </c>
      <c r="F340" s="5">
        <f t="shared" si="5"/>
        <v>1.7914326647564469</v>
      </c>
      <c r="G340" t="s">
        <v>8</v>
      </c>
      <c r="H340">
        <v>1690</v>
      </c>
      <c r="I340" t="s">
        <v>109</v>
      </c>
      <c r="J340" t="s">
        <v>110</v>
      </c>
      <c r="K340" s="4">
        <v>40821.208333333336</v>
      </c>
      <c r="L340" s="4" t="s">
        <v>56</v>
      </c>
      <c r="M340" s="4" t="s">
        <v>165</v>
      </c>
      <c r="N340" s="4">
        <v>40851.208333333336</v>
      </c>
      <c r="O340" t="b">
        <v>0</v>
      </c>
      <c r="P340" t="b">
        <v>0</v>
      </c>
      <c r="Q340" t="s">
        <v>124</v>
      </c>
      <c r="R340" t="str" cm="1">
        <f t="array" ref="R340:S340">_xlfn.TEXTSPLIT(Q340, "/", , FALSE)</f>
        <v>theater</v>
      </c>
      <c r="S340" t="str">
        <v>plays</v>
      </c>
    </row>
    <row r="341" spans="1:19" ht="17" x14ac:dyDescent="0.2">
      <c r="A341">
        <v>339</v>
      </c>
      <c r="B341" t="s">
        <v>825</v>
      </c>
      <c r="C341" s="3" t="s">
        <v>826</v>
      </c>
      <c r="D341">
        <v>136300</v>
      </c>
      <c r="E341">
        <v>108974</v>
      </c>
      <c r="F341" s="5">
        <f t="shared" si="5"/>
        <v>0.79951577402787966</v>
      </c>
      <c r="G341" t="s">
        <v>5</v>
      </c>
      <c r="H341">
        <v>1297</v>
      </c>
      <c r="I341" t="s">
        <v>103</v>
      </c>
      <c r="J341" t="s">
        <v>104</v>
      </c>
      <c r="K341" s="4">
        <v>42949.208333333328</v>
      </c>
      <c r="L341" s="4" t="s">
        <v>54</v>
      </c>
      <c r="M341" s="4" t="s">
        <v>134</v>
      </c>
      <c r="N341" s="4">
        <v>42963.208333333328</v>
      </c>
      <c r="O341" t="b">
        <v>0</v>
      </c>
      <c r="P341" t="b">
        <v>0</v>
      </c>
      <c r="Q341" t="s">
        <v>124</v>
      </c>
      <c r="R341" t="str" cm="1">
        <f t="array" ref="R341:S341">_xlfn.TEXTSPLIT(Q341, "/", , FALSE)</f>
        <v>theater</v>
      </c>
      <c r="S341" t="str">
        <v>plays</v>
      </c>
    </row>
    <row r="342" spans="1:19" ht="17" x14ac:dyDescent="0.2">
      <c r="A342">
        <v>340</v>
      </c>
      <c r="B342" t="s">
        <v>827</v>
      </c>
      <c r="C342" s="3" t="s">
        <v>828</v>
      </c>
      <c r="D342">
        <v>37100</v>
      </c>
      <c r="E342">
        <v>34964</v>
      </c>
      <c r="F342" s="5">
        <f t="shared" si="5"/>
        <v>0.94242587601078165</v>
      </c>
      <c r="G342" t="s">
        <v>6</v>
      </c>
      <c r="H342">
        <v>393</v>
      </c>
      <c r="I342" t="s">
        <v>109</v>
      </c>
      <c r="J342" t="s">
        <v>110</v>
      </c>
      <c r="K342" s="4">
        <v>40889.25</v>
      </c>
      <c r="L342" s="4" t="s">
        <v>58</v>
      </c>
      <c r="M342" s="4" t="s">
        <v>165</v>
      </c>
      <c r="N342" s="4">
        <v>40890.25</v>
      </c>
      <c r="O342" t="b">
        <v>0</v>
      </c>
      <c r="P342" t="b">
        <v>0</v>
      </c>
      <c r="Q342" t="s">
        <v>217</v>
      </c>
      <c r="R342" t="str" cm="1">
        <f t="array" ref="R342:S342">_xlfn.TEXTSPLIT(Q342, "/", , FALSE)</f>
        <v>photography</v>
      </c>
      <c r="S342" t="str">
        <v>photography books</v>
      </c>
    </row>
    <row r="343" spans="1:19" ht="34" x14ac:dyDescent="0.2">
      <c r="A343">
        <v>341</v>
      </c>
      <c r="B343" t="s">
        <v>829</v>
      </c>
      <c r="C343" s="3" t="s">
        <v>830</v>
      </c>
      <c r="D343">
        <v>114300</v>
      </c>
      <c r="E343">
        <v>96777</v>
      </c>
      <c r="F343" s="5">
        <f t="shared" si="5"/>
        <v>0.84669291338582675</v>
      </c>
      <c r="G343" t="s">
        <v>6</v>
      </c>
      <c r="H343">
        <v>1257</v>
      </c>
      <c r="I343" t="s">
        <v>109</v>
      </c>
      <c r="J343" t="s">
        <v>110</v>
      </c>
      <c r="K343" s="4">
        <v>42244.208333333328</v>
      </c>
      <c r="L343" s="4" t="s">
        <v>54</v>
      </c>
      <c r="M343" s="4" t="s">
        <v>105</v>
      </c>
      <c r="N343" s="4">
        <v>42251.208333333328</v>
      </c>
      <c r="O343" t="b">
        <v>0</v>
      </c>
      <c r="P343" t="b">
        <v>0</v>
      </c>
      <c r="Q343" t="s">
        <v>154</v>
      </c>
      <c r="R343" t="str" cm="1">
        <f t="array" ref="R343:S343">_xlfn.TEXTSPLIT(Q343, "/", , FALSE)</f>
        <v>music</v>
      </c>
      <c r="S343" t="str">
        <v>indie rock</v>
      </c>
    </row>
    <row r="344" spans="1:19" ht="17" x14ac:dyDescent="0.2">
      <c r="A344">
        <v>342</v>
      </c>
      <c r="B344" t="s">
        <v>831</v>
      </c>
      <c r="C344" s="3" t="s">
        <v>832</v>
      </c>
      <c r="D344">
        <v>47900</v>
      </c>
      <c r="E344">
        <v>31864</v>
      </c>
      <c r="F344" s="5">
        <f t="shared" si="5"/>
        <v>0.66521920668058454</v>
      </c>
      <c r="G344" t="s">
        <v>6</v>
      </c>
      <c r="H344">
        <v>328</v>
      </c>
      <c r="I344" t="s">
        <v>109</v>
      </c>
      <c r="J344" t="s">
        <v>110</v>
      </c>
      <c r="K344" s="4">
        <v>41475.208333333336</v>
      </c>
      <c r="L344" s="4" t="s">
        <v>53</v>
      </c>
      <c r="M344" s="4" t="s">
        <v>117</v>
      </c>
      <c r="N344" s="4">
        <v>41487.208333333336</v>
      </c>
      <c r="O344" t="b">
        <v>0</v>
      </c>
      <c r="P344" t="b">
        <v>0</v>
      </c>
      <c r="Q344" t="s">
        <v>124</v>
      </c>
      <c r="R344" t="str" cm="1">
        <f t="array" ref="R344:S344">_xlfn.TEXTSPLIT(Q344, "/", , FALSE)</f>
        <v>theater</v>
      </c>
      <c r="S344" t="str">
        <v>plays</v>
      </c>
    </row>
    <row r="345" spans="1:19" ht="17" x14ac:dyDescent="0.2">
      <c r="A345">
        <v>343</v>
      </c>
      <c r="B345" t="s">
        <v>833</v>
      </c>
      <c r="C345" s="3" t="s">
        <v>834</v>
      </c>
      <c r="D345">
        <v>9000</v>
      </c>
      <c r="E345">
        <v>4853</v>
      </c>
      <c r="F345" s="5">
        <f t="shared" si="5"/>
        <v>0.53922222222222227</v>
      </c>
      <c r="G345" t="s">
        <v>6</v>
      </c>
      <c r="H345">
        <v>147</v>
      </c>
      <c r="I345" t="s">
        <v>109</v>
      </c>
      <c r="J345" t="s">
        <v>110</v>
      </c>
      <c r="K345" s="4">
        <v>41597.25</v>
      </c>
      <c r="L345" s="4" t="s">
        <v>57</v>
      </c>
      <c r="M345" s="4" t="s">
        <v>117</v>
      </c>
      <c r="N345" s="4">
        <v>41650.25</v>
      </c>
      <c r="O345" t="b">
        <v>0</v>
      </c>
      <c r="P345" t="b">
        <v>0</v>
      </c>
      <c r="Q345" t="s">
        <v>124</v>
      </c>
      <c r="R345" t="str" cm="1">
        <f t="array" ref="R345:S345">_xlfn.TEXTSPLIT(Q345, "/", , FALSE)</f>
        <v>theater</v>
      </c>
      <c r="S345" t="str">
        <v>plays</v>
      </c>
    </row>
    <row r="346" spans="1:19" ht="17" x14ac:dyDescent="0.2">
      <c r="A346">
        <v>344</v>
      </c>
      <c r="B346" t="s">
        <v>835</v>
      </c>
      <c r="C346" s="3" t="s">
        <v>836</v>
      </c>
      <c r="D346">
        <v>197600</v>
      </c>
      <c r="E346">
        <v>82959</v>
      </c>
      <c r="F346" s="5">
        <f t="shared" si="5"/>
        <v>0.41983299595141699</v>
      </c>
      <c r="G346" t="s">
        <v>6</v>
      </c>
      <c r="H346">
        <v>830</v>
      </c>
      <c r="I346" t="s">
        <v>109</v>
      </c>
      <c r="J346" t="s">
        <v>110</v>
      </c>
      <c r="K346" s="4">
        <v>43122.25</v>
      </c>
      <c r="L346" s="4" t="s">
        <v>47</v>
      </c>
      <c r="M346" s="4" t="s">
        <v>169</v>
      </c>
      <c r="N346" s="4">
        <v>43162.25</v>
      </c>
      <c r="O346" t="b">
        <v>0</v>
      </c>
      <c r="P346" t="b">
        <v>0</v>
      </c>
      <c r="Q346" t="s">
        <v>184</v>
      </c>
      <c r="R346" t="str" cm="1">
        <f t="array" ref="R346:S346">_xlfn.TEXTSPLIT(Q346, "/", , FALSE)</f>
        <v>games</v>
      </c>
      <c r="S346" t="str">
        <v>video games</v>
      </c>
    </row>
    <row r="347" spans="1:19" ht="17" x14ac:dyDescent="0.2">
      <c r="A347">
        <v>345</v>
      </c>
      <c r="B347" t="s">
        <v>837</v>
      </c>
      <c r="C347" s="3" t="s">
        <v>838</v>
      </c>
      <c r="D347">
        <v>157600</v>
      </c>
      <c r="E347">
        <v>23159</v>
      </c>
      <c r="F347" s="5">
        <f t="shared" si="5"/>
        <v>0.14694796954314721</v>
      </c>
      <c r="G347" t="s">
        <v>6</v>
      </c>
      <c r="H347">
        <v>331</v>
      </c>
      <c r="I347" t="s">
        <v>132</v>
      </c>
      <c r="J347" t="s">
        <v>133</v>
      </c>
      <c r="K347" s="4">
        <v>42194.208333333328</v>
      </c>
      <c r="L347" s="4" t="s">
        <v>53</v>
      </c>
      <c r="M347" s="4" t="s">
        <v>105</v>
      </c>
      <c r="N347" s="4">
        <v>42195.208333333328</v>
      </c>
      <c r="O347" t="b">
        <v>0</v>
      </c>
      <c r="P347" t="b">
        <v>0</v>
      </c>
      <c r="Q347" t="s">
        <v>146</v>
      </c>
      <c r="R347" t="str" cm="1">
        <f t="array" ref="R347:S347">_xlfn.TEXTSPLIT(Q347, "/", , FALSE)</f>
        <v>film &amp; video</v>
      </c>
      <c r="S347" t="str">
        <v>drama</v>
      </c>
    </row>
    <row r="348" spans="1:19" ht="17" x14ac:dyDescent="0.2">
      <c r="A348">
        <v>346</v>
      </c>
      <c r="B348" t="s">
        <v>839</v>
      </c>
      <c r="C348" s="3" t="s">
        <v>840</v>
      </c>
      <c r="D348">
        <v>8000</v>
      </c>
      <c r="E348">
        <v>2758</v>
      </c>
      <c r="F348" s="5">
        <f t="shared" si="5"/>
        <v>0.34475</v>
      </c>
      <c r="G348" t="s">
        <v>6</v>
      </c>
      <c r="H348">
        <v>25</v>
      </c>
      <c r="I348" t="s">
        <v>109</v>
      </c>
      <c r="J348" t="s">
        <v>110</v>
      </c>
      <c r="K348" s="4">
        <v>42971.208333333328</v>
      </c>
      <c r="L348" s="4" t="s">
        <v>54</v>
      </c>
      <c r="M348" s="4" t="s">
        <v>134</v>
      </c>
      <c r="N348" s="4">
        <v>43026.208333333328</v>
      </c>
      <c r="O348" t="b">
        <v>0</v>
      </c>
      <c r="P348" t="b">
        <v>1</v>
      </c>
      <c r="Q348" t="s">
        <v>154</v>
      </c>
      <c r="R348" t="str" cm="1">
        <f t="array" ref="R348:S348">_xlfn.TEXTSPLIT(Q348, "/", , FALSE)</f>
        <v>music</v>
      </c>
      <c r="S348" t="str">
        <v>indie rock</v>
      </c>
    </row>
    <row r="349" spans="1:19" ht="17" x14ac:dyDescent="0.2">
      <c r="A349">
        <v>347</v>
      </c>
      <c r="B349" t="s">
        <v>841</v>
      </c>
      <c r="C349" s="3" t="s">
        <v>842</v>
      </c>
      <c r="D349">
        <v>900</v>
      </c>
      <c r="E349">
        <v>12607</v>
      </c>
      <c r="F349" s="5">
        <f t="shared" si="5"/>
        <v>14.007777777777777</v>
      </c>
      <c r="G349" t="s">
        <v>8</v>
      </c>
      <c r="H349">
        <v>191</v>
      </c>
      <c r="I349" t="s">
        <v>109</v>
      </c>
      <c r="J349" t="s">
        <v>110</v>
      </c>
      <c r="K349" s="4">
        <v>42046.25</v>
      </c>
      <c r="L349" s="4" t="s">
        <v>48</v>
      </c>
      <c r="M349" s="4" t="s">
        <v>105</v>
      </c>
      <c r="N349" s="4">
        <v>42070.25</v>
      </c>
      <c r="O349" t="b">
        <v>0</v>
      </c>
      <c r="P349" t="b">
        <v>0</v>
      </c>
      <c r="Q349" t="s">
        <v>118</v>
      </c>
      <c r="R349" t="str" cm="1">
        <f t="array" ref="R349:S349">_xlfn.TEXTSPLIT(Q349, "/", , FALSE)</f>
        <v>technology</v>
      </c>
      <c r="S349" t="str">
        <v>web</v>
      </c>
    </row>
    <row r="350" spans="1:19" ht="17" x14ac:dyDescent="0.2">
      <c r="A350">
        <v>348</v>
      </c>
      <c r="B350" t="s">
        <v>843</v>
      </c>
      <c r="C350" s="3" t="s">
        <v>844</v>
      </c>
      <c r="D350">
        <v>199000</v>
      </c>
      <c r="E350">
        <v>142823</v>
      </c>
      <c r="F350" s="5">
        <f t="shared" si="5"/>
        <v>0.71770351758793971</v>
      </c>
      <c r="G350" t="s">
        <v>6</v>
      </c>
      <c r="H350">
        <v>3483</v>
      </c>
      <c r="I350" t="s">
        <v>109</v>
      </c>
      <c r="J350" t="s">
        <v>110</v>
      </c>
      <c r="K350" s="4">
        <v>42782.25</v>
      </c>
      <c r="L350" s="4" t="s">
        <v>48</v>
      </c>
      <c r="M350" s="4" t="s">
        <v>134</v>
      </c>
      <c r="N350" s="4">
        <v>42795.25</v>
      </c>
      <c r="O350" t="b">
        <v>0</v>
      </c>
      <c r="P350" t="b">
        <v>0</v>
      </c>
      <c r="Q350" t="s">
        <v>106</v>
      </c>
      <c r="R350" t="str" cm="1">
        <f t="array" ref="R350:S350">_xlfn.TEXTSPLIT(Q350, "/", , FALSE)</f>
        <v>food</v>
      </c>
      <c r="S350" t="str">
        <v>food trucks</v>
      </c>
    </row>
    <row r="351" spans="1:19" ht="17" x14ac:dyDescent="0.2">
      <c r="A351">
        <v>349</v>
      </c>
      <c r="B351" t="s">
        <v>845</v>
      </c>
      <c r="C351" s="3" t="s">
        <v>846</v>
      </c>
      <c r="D351">
        <v>180800</v>
      </c>
      <c r="E351">
        <v>95958</v>
      </c>
      <c r="F351" s="5">
        <f t="shared" si="5"/>
        <v>0.53074115044247783</v>
      </c>
      <c r="G351" t="s">
        <v>6</v>
      </c>
      <c r="H351">
        <v>923</v>
      </c>
      <c r="I351" t="s">
        <v>109</v>
      </c>
      <c r="J351" t="s">
        <v>110</v>
      </c>
      <c r="K351" s="4">
        <v>42930.208333333328</v>
      </c>
      <c r="L351" s="4" t="s">
        <v>53</v>
      </c>
      <c r="M351" s="4" t="s">
        <v>134</v>
      </c>
      <c r="N351" s="4">
        <v>42960.208333333328</v>
      </c>
      <c r="O351" t="b">
        <v>0</v>
      </c>
      <c r="P351" t="b">
        <v>0</v>
      </c>
      <c r="Q351" t="s">
        <v>124</v>
      </c>
      <c r="R351" t="str" cm="1">
        <f t="array" ref="R351:S351">_xlfn.TEXTSPLIT(Q351, "/", , FALSE)</f>
        <v>theater</v>
      </c>
      <c r="S351" t="str">
        <v>plays</v>
      </c>
    </row>
    <row r="352" spans="1:19" ht="17" x14ac:dyDescent="0.2">
      <c r="A352">
        <v>350</v>
      </c>
      <c r="B352" t="s">
        <v>847</v>
      </c>
      <c r="C352" s="3" t="s">
        <v>848</v>
      </c>
      <c r="D352">
        <v>100</v>
      </c>
      <c r="E352">
        <v>5</v>
      </c>
      <c r="F352" s="5">
        <f t="shared" si="5"/>
        <v>0.05</v>
      </c>
      <c r="G352" t="s">
        <v>6</v>
      </c>
      <c r="H352">
        <v>1</v>
      </c>
      <c r="I352" t="s">
        <v>109</v>
      </c>
      <c r="J352" t="s">
        <v>110</v>
      </c>
      <c r="K352" s="4">
        <v>42144.208333333328</v>
      </c>
      <c r="L352" s="4" t="s">
        <v>51</v>
      </c>
      <c r="M352" s="4" t="s">
        <v>105</v>
      </c>
      <c r="N352" s="4">
        <v>42162.208333333328</v>
      </c>
      <c r="O352" t="b">
        <v>0</v>
      </c>
      <c r="P352" t="b">
        <v>1</v>
      </c>
      <c r="Q352" t="s">
        <v>254</v>
      </c>
      <c r="R352" t="str" cm="1">
        <f t="array" ref="R352:S352">_xlfn.TEXTSPLIT(Q352, "/", , FALSE)</f>
        <v>music</v>
      </c>
      <c r="S352" t="str">
        <v>jazz</v>
      </c>
    </row>
    <row r="353" spans="1:19" ht="17" x14ac:dyDescent="0.2">
      <c r="A353">
        <v>351</v>
      </c>
      <c r="B353" t="s">
        <v>849</v>
      </c>
      <c r="C353" s="3" t="s">
        <v>850</v>
      </c>
      <c r="D353">
        <v>74100</v>
      </c>
      <c r="E353">
        <v>94631</v>
      </c>
      <c r="F353" s="5">
        <f t="shared" si="5"/>
        <v>1.2770715249662619</v>
      </c>
      <c r="G353" t="s">
        <v>8</v>
      </c>
      <c r="H353">
        <v>2013</v>
      </c>
      <c r="I353" t="s">
        <v>109</v>
      </c>
      <c r="J353" t="s">
        <v>110</v>
      </c>
      <c r="K353" s="4">
        <v>42240.208333333328</v>
      </c>
      <c r="L353" s="4" t="s">
        <v>54</v>
      </c>
      <c r="M353" s="4" t="s">
        <v>105</v>
      </c>
      <c r="N353" s="4">
        <v>42254.208333333328</v>
      </c>
      <c r="O353" t="b">
        <v>0</v>
      </c>
      <c r="P353" t="b">
        <v>0</v>
      </c>
      <c r="Q353" t="s">
        <v>112</v>
      </c>
      <c r="R353" t="str" cm="1">
        <f t="array" ref="R353:S353">_xlfn.TEXTSPLIT(Q353, "/", , FALSE)</f>
        <v>music</v>
      </c>
      <c r="S353" t="str">
        <v>rock</v>
      </c>
    </row>
    <row r="354" spans="1:19" ht="17" x14ac:dyDescent="0.2">
      <c r="A354">
        <v>352</v>
      </c>
      <c r="B354" t="s">
        <v>851</v>
      </c>
      <c r="C354" s="3" t="s">
        <v>852</v>
      </c>
      <c r="D354">
        <v>2800</v>
      </c>
      <c r="E354">
        <v>977</v>
      </c>
      <c r="F354" s="5">
        <f t="shared" si="5"/>
        <v>0.34892857142857142</v>
      </c>
      <c r="G354" t="s">
        <v>6</v>
      </c>
      <c r="H354">
        <v>33</v>
      </c>
      <c r="I354" t="s">
        <v>103</v>
      </c>
      <c r="J354" t="s">
        <v>104</v>
      </c>
      <c r="K354" s="4">
        <v>42315.25</v>
      </c>
      <c r="L354" s="4" t="s">
        <v>57</v>
      </c>
      <c r="M354" s="4" t="s">
        <v>105</v>
      </c>
      <c r="N354" s="4">
        <v>42323.25</v>
      </c>
      <c r="O354" t="b">
        <v>0</v>
      </c>
      <c r="P354" t="b">
        <v>0</v>
      </c>
      <c r="Q354" t="s">
        <v>124</v>
      </c>
      <c r="R354" t="str" cm="1">
        <f t="array" ref="R354:S354">_xlfn.TEXTSPLIT(Q354, "/", , FALSE)</f>
        <v>theater</v>
      </c>
      <c r="S354" t="str">
        <v>plays</v>
      </c>
    </row>
    <row r="355" spans="1:19" ht="17" x14ac:dyDescent="0.2">
      <c r="A355">
        <v>353</v>
      </c>
      <c r="B355" t="s">
        <v>853</v>
      </c>
      <c r="C355" s="3" t="s">
        <v>854</v>
      </c>
      <c r="D355">
        <v>33600</v>
      </c>
      <c r="E355">
        <v>137961</v>
      </c>
      <c r="F355" s="5">
        <f t="shared" si="5"/>
        <v>4.105982142857143</v>
      </c>
      <c r="G355" t="s">
        <v>8</v>
      </c>
      <c r="H355">
        <v>1703</v>
      </c>
      <c r="I355" t="s">
        <v>109</v>
      </c>
      <c r="J355" t="s">
        <v>110</v>
      </c>
      <c r="K355" s="4">
        <v>43651.208333333328</v>
      </c>
      <c r="L355" s="4" t="s">
        <v>53</v>
      </c>
      <c r="M355" s="4" t="s">
        <v>121</v>
      </c>
      <c r="N355" s="4">
        <v>43652.208333333328</v>
      </c>
      <c r="O355" t="b">
        <v>0</v>
      </c>
      <c r="P355" t="b">
        <v>0</v>
      </c>
      <c r="Q355" t="s">
        <v>124</v>
      </c>
      <c r="R355" t="str" cm="1">
        <f t="array" ref="R355:S355">_xlfn.TEXTSPLIT(Q355, "/", , FALSE)</f>
        <v>theater</v>
      </c>
      <c r="S355" t="str">
        <v>plays</v>
      </c>
    </row>
    <row r="356" spans="1:19" ht="17" x14ac:dyDescent="0.2">
      <c r="A356">
        <v>354</v>
      </c>
      <c r="B356" t="s">
        <v>855</v>
      </c>
      <c r="C356" s="3" t="s">
        <v>856</v>
      </c>
      <c r="D356">
        <v>6100</v>
      </c>
      <c r="E356">
        <v>7548</v>
      </c>
      <c r="F356" s="5">
        <f t="shared" si="5"/>
        <v>1.2373770491803278</v>
      </c>
      <c r="G356" t="s">
        <v>8</v>
      </c>
      <c r="H356">
        <v>80</v>
      </c>
      <c r="I356" t="s">
        <v>127</v>
      </c>
      <c r="J356" t="s">
        <v>128</v>
      </c>
      <c r="K356" s="4">
        <v>41520.208333333336</v>
      </c>
      <c r="L356" s="4" t="s">
        <v>55</v>
      </c>
      <c r="M356" s="4" t="s">
        <v>117</v>
      </c>
      <c r="N356" s="4">
        <v>41527.208333333336</v>
      </c>
      <c r="O356" t="b">
        <v>0</v>
      </c>
      <c r="P356" t="b">
        <v>0</v>
      </c>
      <c r="Q356" t="s">
        <v>135</v>
      </c>
      <c r="R356" t="str" cm="1">
        <f t="array" ref="R356:S356">_xlfn.TEXTSPLIT(Q356, "/", , FALSE)</f>
        <v>film &amp; video</v>
      </c>
      <c r="S356" t="str">
        <v>documentary</v>
      </c>
    </row>
    <row r="357" spans="1:19" ht="17" x14ac:dyDescent="0.2">
      <c r="A357">
        <v>355</v>
      </c>
      <c r="B357" t="s">
        <v>857</v>
      </c>
      <c r="C357" s="3" t="s">
        <v>858</v>
      </c>
      <c r="D357">
        <v>3800</v>
      </c>
      <c r="E357">
        <v>2241</v>
      </c>
      <c r="F357" s="5">
        <f t="shared" si="5"/>
        <v>0.58973684210526311</v>
      </c>
      <c r="G357" t="s">
        <v>7</v>
      </c>
      <c r="H357">
        <v>86</v>
      </c>
      <c r="I357" t="s">
        <v>109</v>
      </c>
      <c r="J357" t="s">
        <v>110</v>
      </c>
      <c r="K357" s="4">
        <v>42757.25</v>
      </c>
      <c r="L357" s="4" t="s">
        <v>47</v>
      </c>
      <c r="M357" s="4" t="s">
        <v>134</v>
      </c>
      <c r="N357" s="4">
        <v>42797.25</v>
      </c>
      <c r="O357" t="b">
        <v>0</v>
      </c>
      <c r="P357" t="b">
        <v>0</v>
      </c>
      <c r="Q357" t="s">
        <v>159</v>
      </c>
      <c r="R357" t="str" cm="1">
        <f t="array" ref="R357:S357">_xlfn.TEXTSPLIT(Q357, "/", , FALSE)</f>
        <v>technology</v>
      </c>
      <c r="S357" t="str">
        <v>wearables</v>
      </c>
    </row>
    <row r="358" spans="1:19" ht="17" x14ac:dyDescent="0.2">
      <c r="A358">
        <v>356</v>
      </c>
      <c r="B358" t="s">
        <v>859</v>
      </c>
      <c r="C358" s="3" t="s">
        <v>860</v>
      </c>
      <c r="D358">
        <v>9300</v>
      </c>
      <c r="E358">
        <v>3431</v>
      </c>
      <c r="F358" s="5">
        <f t="shared" si="5"/>
        <v>0.36892473118279567</v>
      </c>
      <c r="G358" t="s">
        <v>6</v>
      </c>
      <c r="H358">
        <v>40</v>
      </c>
      <c r="I358" t="s">
        <v>202</v>
      </c>
      <c r="J358" t="s">
        <v>203</v>
      </c>
      <c r="K358" s="4">
        <v>40922.25</v>
      </c>
      <c r="L358" s="4" t="s">
        <v>47</v>
      </c>
      <c r="M358" s="4" t="s">
        <v>129</v>
      </c>
      <c r="N358" s="4">
        <v>40931.25</v>
      </c>
      <c r="O358" t="b">
        <v>0</v>
      </c>
      <c r="P358" t="b">
        <v>0</v>
      </c>
      <c r="Q358" t="s">
        <v>124</v>
      </c>
      <c r="R358" t="str" cm="1">
        <f t="array" ref="R358:S358">_xlfn.TEXTSPLIT(Q358, "/", , FALSE)</f>
        <v>theater</v>
      </c>
      <c r="S358" t="str">
        <v>plays</v>
      </c>
    </row>
    <row r="359" spans="1:19" ht="17" x14ac:dyDescent="0.2">
      <c r="A359">
        <v>357</v>
      </c>
      <c r="B359" t="s">
        <v>861</v>
      </c>
      <c r="C359" s="3" t="s">
        <v>862</v>
      </c>
      <c r="D359">
        <v>2300</v>
      </c>
      <c r="E359">
        <v>4253</v>
      </c>
      <c r="F359" s="5">
        <f t="shared" si="5"/>
        <v>1.8491304347826087</v>
      </c>
      <c r="G359" t="s">
        <v>8</v>
      </c>
      <c r="H359">
        <v>41</v>
      </c>
      <c r="I359" t="s">
        <v>109</v>
      </c>
      <c r="J359" t="s">
        <v>110</v>
      </c>
      <c r="K359" s="4">
        <v>42250.208333333328</v>
      </c>
      <c r="L359" s="4" t="s">
        <v>55</v>
      </c>
      <c r="M359" s="4" t="s">
        <v>105</v>
      </c>
      <c r="N359" s="4">
        <v>42275.208333333328</v>
      </c>
      <c r="O359" t="b">
        <v>0</v>
      </c>
      <c r="P359" t="b">
        <v>0</v>
      </c>
      <c r="Q359" t="s">
        <v>184</v>
      </c>
      <c r="R359" t="str" cm="1">
        <f t="array" ref="R359:S359">_xlfn.TEXTSPLIT(Q359, "/", , FALSE)</f>
        <v>games</v>
      </c>
      <c r="S359" t="str">
        <v>video games</v>
      </c>
    </row>
    <row r="360" spans="1:19" ht="17" x14ac:dyDescent="0.2">
      <c r="A360">
        <v>358</v>
      </c>
      <c r="B360" t="s">
        <v>863</v>
      </c>
      <c r="C360" s="3" t="s">
        <v>864</v>
      </c>
      <c r="D360">
        <v>9700</v>
      </c>
      <c r="E360">
        <v>1146</v>
      </c>
      <c r="F360" s="5">
        <f t="shared" si="5"/>
        <v>0.11814432989690722</v>
      </c>
      <c r="G360" t="s">
        <v>6</v>
      </c>
      <c r="H360">
        <v>23</v>
      </c>
      <c r="I360" t="s">
        <v>103</v>
      </c>
      <c r="J360" t="s">
        <v>104</v>
      </c>
      <c r="K360" s="4">
        <v>43322.208333333328</v>
      </c>
      <c r="L360" s="4" t="s">
        <v>54</v>
      </c>
      <c r="M360" s="4" t="s">
        <v>169</v>
      </c>
      <c r="N360" s="4">
        <v>43325.208333333328</v>
      </c>
      <c r="O360" t="b">
        <v>1</v>
      </c>
      <c r="P360" t="b">
        <v>0</v>
      </c>
      <c r="Q360" t="s">
        <v>217</v>
      </c>
      <c r="R360" t="str" cm="1">
        <f t="array" ref="R360:S360">_xlfn.TEXTSPLIT(Q360, "/", , FALSE)</f>
        <v>photography</v>
      </c>
      <c r="S360" t="str">
        <v>photography books</v>
      </c>
    </row>
    <row r="361" spans="1:19" ht="17" x14ac:dyDescent="0.2">
      <c r="A361">
        <v>359</v>
      </c>
      <c r="B361" t="s">
        <v>865</v>
      </c>
      <c r="C361" s="3" t="s">
        <v>866</v>
      </c>
      <c r="D361">
        <v>4000</v>
      </c>
      <c r="E361">
        <v>11948</v>
      </c>
      <c r="F361" s="5">
        <f t="shared" si="5"/>
        <v>2.9870000000000001</v>
      </c>
      <c r="G361" t="s">
        <v>8</v>
      </c>
      <c r="H361">
        <v>187</v>
      </c>
      <c r="I361" t="s">
        <v>109</v>
      </c>
      <c r="J361" t="s">
        <v>110</v>
      </c>
      <c r="K361" s="4">
        <v>40782.208333333336</v>
      </c>
      <c r="L361" s="4" t="s">
        <v>54</v>
      </c>
      <c r="M361" s="4" t="s">
        <v>165</v>
      </c>
      <c r="N361" s="4">
        <v>40789.208333333336</v>
      </c>
      <c r="O361" t="b">
        <v>0</v>
      </c>
      <c r="P361" t="b">
        <v>0</v>
      </c>
      <c r="Q361" t="s">
        <v>166</v>
      </c>
      <c r="R361" t="str" cm="1">
        <f t="array" ref="R361:S361">_xlfn.TEXTSPLIT(Q361, "/", , FALSE)</f>
        <v>film &amp; video</v>
      </c>
      <c r="S361" t="str">
        <v>animation</v>
      </c>
    </row>
    <row r="362" spans="1:19" ht="17" x14ac:dyDescent="0.2">
      <c r="A362">
        <v>360</v>
      </c>
      <c r="B362" t="s">
        <v>867</v>
      </c>
      <c r="C362" s="3" t="s">
        <v>868</v>
      </c>
      <c r="D362">
        <v>59700</v>
      </c>
      <c r="E362">
        <v>135132</v>
      </c>
      <c r="F362" s="5">
        <f t="shared" si="5"/>
        <v>2.2635175879396985</v>
      </c>
      <c r="G362" t="s">
        <v>8</v>
      </c>
      <c r="H362">
        <v>2875</v>
      </c>
      <c r="I362" t="s">
        <v>132</v>
      </c>
      <c r="J362" t="s">
        <v>133</v>
      </c>
      <c r="K362" s="4">
        <v>40544.25</v>
      </c>
      <c r="L362" s="4" t="s">
        <v>47</v>
      </c>
      <c r="M362" s="4" t="s">
        <v>165</v>
      </c>
      <c r="N362" s="4">
        <v>40558.25</v>
      </c>
      <c r="O362" t="b">
        <v>0</v>
      </c>
      <c r="P362" t="b">
        <v>1</v>
      </c>
      <c r="Q362" t="s">
        <v>124</v>
      </c>
      <c r="R362" t="str" cm="1">
        <f t="array" ref="R362:S362">_xlfn.TEXTSPLIT(Q362, "/", , FALSE)</f>
        <v>theater</v>
      </c>
      <c r="S362" t="str">
        <v>plays</v>
      </c>
    </row>
    <row r="363" spans="1:19" ht="17" x14ac:dyDescent="0.2">
      <c r="A363">
        <v>361</v>
      </c>
      <c r="B363" t="s">
        <v>869</v>
      </c>
      <c r="C363" s="3" t="s">
        <v>870</v>
      </c>
      <c r="D363">
        <v>5500</v>
      </c>
      <c r="E363">
        <v>9546</v>
      </c>
      <c r="F363" s="5">
        <f t="shared" si="5"/>
        <v>1.7356363636363636</v>
      </c>
      <c r="G363" t="s">
        <v>8</v>
      </c>
      <c r="H363">
        <v>88</v>
      </c>
      <c r="I363" t="s">
        <v>109</v>
      </c>
      <c r="J363" t="s">
        <v>110</v>
      </c>
      <c r="K363" s="4">
        <v>43015.208333333328</v>
      </c>
      <c r="L363" s="4" t="s">
        <v>56</v>
      </c>
      <c r="M363" s="4" t="s">
        <v>134</v>
      </c>
      <c r="N363" s="4">
        <v>43039.208333333328</v>
      </c>
      <c r="O363" t="b">
        <v>0</v>
      </c>
      <c r="P363" t="b">
        <v>0</v>
      </c>
      <c r="Q363" t="s">
        <v>124</v>
      </c>
      <c r="R363" t="str" cm="1">
        <f t="array" ref="R363:S363">_xlfn.TEXTSPLIT(Q363, "/", , FALSE)</f>
        <v>theater</v>
      </c>
      <c r="S363" t="str">
        <v>plays</v>
      </c>
    </row>
    <row r="364" spans="1:19" ht="17" x14ac:dyDescent="0.2">
      <c r="A364">
        <v>362</v>
      </c>
      <c r="B364" t="s">
        <v>871</v>
      </c>
      <c r="C364" s="3" t="s">
        <v>872</v>
      </c>
      <c r="D364">
        <v>3700</v>
      </c>
      <c r="E364">
        <v>13755</v>
      </c>
      <c r="F364" s="5">
        <f t="shared" si="5"/>
        <v>3.7175675675675675</v>
      </c>
      <c r="G364" t="s">
        <v>8</v>
      </c>
      <c r="H364">
        <v>191</v>
      </c>
      <c r="I364" t="s">
        <v>109</v>
      </c>
      <c r="J364" t="s">
        <v>110</v>
      </c>
      <c r="K364" s="4">
        <v>40570.25</v>
      </c>
      <c r="L364" s="4" t="s">
        <v>47</v>
      </c>
      <c r="M364" s="4" t="s">
        <v>165</v>
      </c>
      <c r="N364" s="4">
        <v>40608.25</v>
      </c>
      <c r="O364" t="b">
        <v>0</v>
      </c>
      <c r="P364" t="b">
        <v>0</v>
      </c>
      <c r="Q364" t="s">
        <v>112</v>
      </c>
      <c r="R364" t="str" cm="1">
        <f t="array" ref="R364:S364">_xlfn.TEXTSPLIT(Q364, "/", , FALSE)</f>
        <v>music</v>
      </c>
      <c r="S364" t="str">
        <v>rock</v>
      </c>
    </row>
    <row r="365" spans="1:19" ht="17" x14ac:dyDescent="0.2">
      <c r="A365">
        <v>363</v>
      </c>
      <c r="B365" t="s">
        <v>873</v>
      </c>
      <c r="C365" s="3" t="s">
        <v>874</v>
      </c>
      <c r="D365">
        <v>5200</v>
      </c>
      <c r="E365">
        <v>8330</v>
      </c>
      <c r="F365" s="5">
        <f t="shared" si="5"/>
        <v>1.601923076923077</v>
      </c>
      <c r="G365" t="s">
        <v>8</v>
      </c>
      <c r="H365">
        <v>139</v>
      </c>
      <c r="I365" t="s">
        <v>109</v>
      </c>
      <c r="J365" t="s">
        <v>110</v>
      </c>
      <c r="K365" s="4">
        <v>40904.25</v>
      </c>
      <c r="L365" s="4" t="s">
        <v>58</v>
      </c>
      <c r="M365" s="4" t="s">
        <v>165</v>
      </c>
      <c r="N365" s="4">
        <v>40905.25</v>
      </c>
      <c r="O365" t="b">
        <v>0</v>
      </c>
      <c r="P365" t="b">
        <v>0</v>
      </c>
      <c r="Q365" t="s">
        <v>112</v>
      </c>
      <c r="R365" t="str" cm="1">
        <f t="array" ref="R365:S365">_xlfn.TEXTSPLIT(Q365, "/", , FALSE)</f>
        <v>music</v>
      </c>
      <c r="S365" t="str">
        <v>rock</v>
      </c>
    </row>
    <row r="366" spans="1:19" ht="17" x14ac:dyDescent="0.2">
      <c r="A366">
        <v>364</v>
      </c>
      <c r="B366" t="s">
        <v>875</v>
      </c>
      <c r="C366" s="3" t="s">
        <v>876</v>
      </c>
      <c r="D366">
        <v>900</v>
      </c>
      <c r="E366">
        <v>14547</v>
      </c>
      <c r="F366" s="5">
        <f t="shared" si="5"/>
        <v>16.163333333333334</v>
      </c>
      <c r="G366" t="s">
        <v>8</v>
      </c>
      <c r="H366">
        <v>186</v>
      </c>
      <c r="I366" t="s">
        <v>109</v>
      </c>
      <c r="J366" t="s">
        <v>110</v>
      </c>
      <c r="K366" s="4">
        <v>43164.25</v>
      </c>
      <c r="L366" s="4" t="s">
        <v>49</v>
      </c>
      <c r="M366" s="4" t="s">
        <v>169</v>
      </c>
      <c r="N366" s="4">
        <v>43194.208333333328</v>
      </c>
      <c r="O366" t="b">
        <v>0</v>
      </c>
      <c r="P366" t="b">
        <v>0</v>
      </c>
      <c r="Q366" t="s">
        <v>154</v>
      </c>
      <c r="R366" t="str" cm="1">
        <f t="array" ref="R366:S366">_xlfn.TEXTSPLIT(Q366, "/", , FALSE)</f>
        <v>music</v>
      </c>
      <c r="S366" t="str">
        <v>indie rock</v>
      </c>
    </row>
    <row r="367" spans="1:19" ht="17" x14ac:dyDescent="0.2">
      <c r="A367">
        <v>365</v>
      </c>
      <c r="B367" t="s">
        <v>877</v>
      </c>
      <c r="C367" s="3" t="s">
        <v>878</v>
      </c>
      <c r="D367">
        <v>1600</v>
      </c>
      <c r="E367">
        <v>11735</v>
      </c>
      <c r="F367" s="5">
        <f t="shared" si="5"/>
        <v>7.3343749999999996</v>
      </c>
      <c r="G367" t="s">
        <v>8</v>
      </c>
      <c r="H367">
        <v>112</v>
      </c>
      <c r="I367" t="s">
        <v>115</v>
      </c>
      <c r="J367" t="s">
        <v>116</v>
      </c>
      <c r="K367" s="4">
        <v>42733.25</v>
      </c>
      <c r="L367" s="4" t="s">
        <v>58</v>
      </c>
      <c r="M367" s="4" t="s">
        <v>153</v>
      </c>
      <c r="N367" s="4">
        <v>42760.25</v>
      </c>
      <c r="O367" t="b">
        <v>0</v>
      </c>
      <c r="P367" t="b">
        <v>0</v>
      </c>
      <c r="Q367" t="s">
        <v>124</v>
      </c>
      <c r="R367" t="str" cm="1">
        <f t="array" ref="R367:S367">_xlfn.TEXTSPLIT(Q367, "/", , FALSE)</f>
        <v>theater</v>
      </c>
      <c r="S367" t="str">
        <v>plays</v>
      </c>
    </row>
    <row r="368" spans="1:19" ht="17" x14ac:dyDescent="0.2">
      <c r="A368">
        <v>366</v>
      </c>
      <c r="B368" t="s">
        <v>879</v>
      </c>
      <c r="C368" s="3" t="s">
        <v>880</v>
      </c>
      <c r="D368">
        <v>1800</v>
      </c>
      <c r="E368">
        <v>10658</v>
      </c>
      <c r="F368" s="5">
        <f t="shared" si="5"/>
        <v>5.9211111111111112</v>
      </c>
      <c r="G368" t="s">
        <v>8</v>
      </c>
      <c r="H368">
        <v>101</v>
      </c>
      <c r="I368" t="s">
        <v>109</v>
      </c>
      <c r="J368" t="s">
        <v>110</v>
      </c>
      <c r="K368" s="4">
        <v>40546.25</v>
      </c>
      <c r="L368" s="4" t="s">
        <v>47</v>
      </c>
      <c r="M368" s="4" t="s">
        <v>165</v>
      </c>
      <c r="N368" s="4">
        <v>40547.25</v>
      </c>
      <c r="O368" t="b">
        <v>0</v>
      </c>
      <c r="P368" t="b">
        <v>1</v>
      </c>
      <c r="Q368" t="s">
        <v>124</v>
      </c>
      <c r="R368" t="str" cm="1">
        <f t="array" ref="R368:S368">_xlfn.TEXTSPLIT(Q368, "/", , FALSE)</f>
        <v>theater</v>
      </c>
      <c r="S368" t="str">
        <v>plays</v>
      </c>
    </row>
    <row r="369" spans="1:19" ht="17" x14ac:dyDescent="0.2">
      <c r="A369">
        <v>367</v>
      </c>
      <c r="B369" t="s">
        <v>881</v>
      </c>
      <c r="C369" s="3" t="s">
        <v>882</v>
      </c>
      <c r="D369">
        <v>9900</v>
      </c>
      <c r="E369">
        <v>1870</v>
      </c>
      <c r="F369" s="5">
        <f t="shared" si="5"/>
        <v>0.18888888888888888</v>
      </c>
      <c r="G369" t="s">
        <v>6</v>
      </c>
      <c r="H369">
        <v>75</v>
      </c>
      <c r="I369" t="s">
        <v>109</v>
      </c>
      <c r="J369" t="s">
        <v>110</v>
      </c>
      <c r="K369" s="4">
        <v>41930.208333333336</v>
      </c>
      <c r="L369" s="4" t="s">
        <v>56</v>
      </c>
      <c r="M369" s="4" t="s">
        <v>111</v>
      </c>
      <c r="N369" s="4">
        <v>41954.25</v>
      </c>
      <c r="O369" t="b">
        <v>0</v>
      </c>
      <c r="P369" t="b">
        <v>1</v>
      </c>
      <c r="Q369" t="s">
        <v>124</v>
      </c>
      <c r="R369" t="str" cm="1">
        <f t="array" ref="R369:S369">_xlfn.TEXTSPLIT(Q369, "/", , FALSE)</f>
        <v>theater</v>
      </c>
      <c r="S369" t="str">
        <v>plays</v>
      </c>
    </row>
    <row r="370" spans="1:19" ht="17" x14ac:dyDescent="0.2">
      <c r="A370">
        <v>368</v>
      </c>
      <c r="B370" t="s">
        <v>883</v>
      </c>
      <c r="C370" s="3" t="s">
        <v>884</v>
      </c>
      <c r="D370">
        <v>5200</v>
      </c>
      <c r="E370">
        <v>14394</v>
      </c>
      <c r="F370" s="5">
        <f t="shared" si="5"/>
        <v>2.7680769230769231</v>
      </c>
      <c r="G370" t="s">
        <v>8</v>
      </c>
      <c r="H370">
        <v>206</v>
      </c>
      <c r="I370" t="s">
        <v>132</v>
      </c>
      <c r="J370" t="s">
        <v>133</v>
      </c>
      <c r="K370" s="4">
        <v>40464.208333333336</v>
      </c>
      <c r="L370" s="4" t="s">
        <v>56</v>
      </c>
      <c r="M370" s="4" t="s">
        <v>140</v>
      </c>
      <c r="N370" s="4">
        <v>40487.208333333336</v>
      </c>
      <c r="O370" t="b">
        <v>0</v>
      </c>
      <c r="P370" t="b">
        <v>1</v>
      </c>
      <c r="Q370" t="s">
        <v>135</v>
      </c>
      <c r="R370" t="str" cm="1">
        <f t="array" ref="R370:S370">_xlfn.TEXTSPLIT(Q370, "/", , FALSE)</f>
        <v>film &amp; video</v>
      </c>
      <c r="S370" t="str">
        <v>documentary</v>
      </c>
    </row>
    <row r="371" spans="1:19" ht="17" x14ac:dyDescent="0.2">
      <c r="A371">
        <v>369</v>
      </c>
      <c r="B371" t="s">
        <v>885</v>
      </c>
      <c r="C371" s="3" t="s">
        <v>886</v>
      </c>
      <c r="D371">
        <v>5400</v>
      </c>
      <c r="E371">
        <v>14743</v>
      </c>
      <c r="F371" s="5">
        <f t="shared" si="5"/>
        <v>2.730185185185185</v>
      </c>
      <c r="G371" t="s">
        <v>8</v>
      </c>
      <c r="H371">
        <v>154</v>
      </c>
      <c r="I371" t="s">
        <v>109</v>
      </c>
      <c r="J371" t="s">
        <v>110</v>
      </c>
      <c r="K371" s="4">
        <v>41308.25</v>
      </c>
      <c r="L371" s="4" t="s">
        <v>48</v>
      </c>
      <c r="M371" s="4" t="s">
        <v>117</v>
      </c>
      <c r="N371" s="4">
        <v>41347.208333333336</v>
      </c>
      <c r="O371" t="b">
        <v>0</v>
      </c>
      <c r="P371" t="b">
        <v>1</v>
      </c>
      <c r="Q371" t="s">
        <v>364</v>
      </c>
      <c r="R371" t="str" cm="1">
        <f t="array" ref="R371:S371">_xlfn.TEXTSPLIT(Q371, "/", , FALSE)</f>
        <v>film &amp; video</v>
      </c>
      <c r="S371" t="str">
        <v>television</v>
      </c>
    </row>
    <row r="372" spans="1:19" ht="17" x14ac:dyDescent="0.2">
      <c r="A372">
        <v>370</v>
      </c>
      <c r="B372" t="s">
        <v>887</v>
      </c>
      <c r="C372" s="3" t="s">
        <v>888</v>
      </c>
      <c r="D372">
        <v>112300</v>
      </c>
      <c r="E372">
        <v>178965</v>
      </c>
      <c r="F372" s="5">
        <f t="shared" si="5"/>
        <v>1.593633125556545</v>
      </c>
      <c r="G372" t="s">
        <v>8</v>
      </c>
      <c r="H372">
        <v>5966</v>
      </c>
      <c r="I372" t="s">
        <v>109</v>
      </c>
      <c r="J372" t="s">
        <v>110</v>
      </c>
      <c r="K372" s="4">
        <v>43570.208333333328</v>
      </c>
      <c r="L372" s="4" t="s">
        <v>50</v>
      </c>
      <c r="M372" s="4" t="s">
        <v>121</v>
      </c>
      <c r="N372" s="4">
        <v>43576.208333333328</v>
      </c>
      <c r="O372" t="b">
        <v>0</v>
      </c>
      <c r="P372" t="b">
        <v>0</v>
      </c>
      <c r="Q372" t="s">
        <v>124</v>
      </c>
      <c r="R372" t="str" cm="1">
        <f t="array" ref="R372:S372">_xlfn.TEXTSPLIT(Q372, "/", , FALSE)</f>
        <v>theater</v>
      </c>
      <c r="S372" t="str">
        <v>plays</v>
      </c>
    </row>
    <row r="373" spans="1:19" ht="17" x14ac:dyDescent="0.2">
      <c r="A373">
        <v>371</v>
      </c>
      <c r="B373" t="s">
        <v>889</v>
      </c>
      <c r="C373" s="3" t="s">
        <v>890</v>
      </c>
      <c r="D373">
        <v>189200</v>
      </c>
      <c r="E373">
        <v>128410</v>
      </c>
      <c r="F373" s="5">
        <f t="shared" si="5"/>
        <v>0.67869978858350954</v>
      </c>
      <c r="G373" t="s">
        <v>6</v>
      </c>
      <c r="H373">
        <v>2176</v>
      </c>
      <c r="I373" t="s">
        <v>109</v>
      </c>
      <c r="J373" t="s">
        <v>110</v>
      </c>
      <c r="K373" s="4">
        <v>42043.25</v>
      </c>
      <c r="L373" s="4" t="s">
        <v>48</v>
      </c>
      <c r="M373" s="4" t="s">
        <v>105</v>
      </c>
      <c r="N373" s="4">
        <v>42094.208333333328</v>
      </c>
      <c r="O373" t="b">
        <v>0</v>
      </c>
      <c r="P373" t="b">
        <v>0</v>
      </c>
      <c r="Q373" t="s">
        <v>124</v>
      </c>
      <c r="R373" t="str" cm="1">
        <f t="array" ref="R373:S373">_xlfn.TEXTSPLIT(Q373, "/", , FALSE)</f>
        <v>theater</v>
      </c>
      <c r="S373" t="str">
        <v>plays</v>
      </c>
    </row>
    <row r="374" spans="1:19" ht="34" x14ac:dyDescent="0.2">
      <c r="A374">
        <v>372</v>
      </c>
      <c r="B374" t="s">
        <v>891</v>
      </c>
      <c r="C374" s="3" t="s">
        <v>892</v>
      </c>
      <c r="D374">
        <v>900</v>
      </c>
      <c r="E374">
        <v>14324</v>
      </c>
      <c r="F374" s="5">
        <f t="shared" si="5"/>
        <v>15.915555555555555</v>
      </c>
      <c r="G374" t="s">
        <v>8</v>
      </c>
      <c r="H374">
        <v>169</v>
      </c>
      <c r="I374" t="s">
        <v>109</v>
      </c>
      <c r="J374" t="s">
        <v>110</v>
      </c>
      <c r="K374" s="4">
        <v>42012.25</v>
      </c>
      <c r="L374" s="4" t="s">
        <v>47</v>
      </c>
      <c r="M374" s="4" t="s">
        <v>105</v>
      </c>
      <c r="N374" s="4">
        <v>42032.25</v>
      </c>
      <c r="O374" t="b">
        <v>0</v>
      </c>
      <c r="P374" t="b">
        <v>1</v>
      </c>
      <c r="Q374" t="s">
        <v>135</v>
      </c>
      <c r="R374" t="str" cm="1">
        <f t="array" ref="R374:S374">_xlfn.TEXTSPLIT(Q374, "/", , FALSE)</f>
        <v>film &amp; video</v>
      </c>
      <c r="S374" t="str">
        <v>documentary</v>
      </c>
    </row>
    <row r="375" spans="1:19" ht="17" x14ac:dyDescent="0.2">
      <c r="A375">
        <v>373</v>
      </c>
      <c r="B375" t="s">
        <v>893</v>
      </c>
      <c r="C375" s="3" t="s">
        <v>894</v>
      </c>
      <c r="D375">
        <v>22500</v>
      </c>
      <c r="E375">
        <v>164291</v>
      </c>
      <c r="F375" s="5">
        <f t="shared" si="5"/>
        <v>7.3018222222222224</v>
      </c>
      <c r="G375" t="s">
        <v>8</v>
      </c>
      <c r="H375">
        <v>2106</v>
      </c>
      <c r="I375" t="s">
        <v>109</v>
      </c>
      <c r="J375" t="s">
        <v>110</v>
      </c>
      <c r="K375" s="4">
        <v>42964.208333333328</v>
      </c>
      <c r="L375" s="4" t="s">
        <v>54</v>
      </c>
      <c r="M375" s="4" t="s">
        <v>134</v>
      </c>
      <c r="N375" s="4">
        <v>42972.208333333328</v>
      </c>
      <c r="O375" t="b">
        <v>0</v>
      </c>
      <c r="P375" t="b">
        <v>0</v>
      </c>
      <c r="Q375" t="s">
        <v>124</v>
      </c>
      <c r="R375" t="str" cm="1">
        <f t="array" ref="R375:S375">_xlfn.TEXTSPLIT(Q375, "/", , FALSE)</f>
        <v>theater</v>
      </c>
      <c r="S375" t="str">
        <v>plays</v>
      </c>
    </row>
    <row r="376" spans="1:19" ht="34" x14ac:dyDescent="0.2">
      <c r="A376">
        <v>374</v>
      </c>
      <c r="B376" t="s">
        <v>895</v>
      </c>
      <c r="C376" s="3" t="s">
        <v>896</v>
      </c>
      <c r="D376">
        <v>167400</v>
      </c>
      <c r="E376">
        <v>22073</v>
      </c>
      <c r="F376" s="5">
        <f t="shared" si="5"/>
        <v>0.13185782556750297</v>
      </c>
      <c r="G376" t="s">
        <v>6</v>
      </c>
      <c r="H376">
        <v>441</v>
      </c>
      <c r="I376" t="s">
        <v>109</v>
      </c>
      <c r="J376" t="s">
        <v>110</v>
      </c>
      <c r="K376" s="4">
        <v>43476.25</v>
      </c>
      <c r="L376" s="4" t="s">
        <v>47</v>
      </c>
      <c r="M376" s="4" t="s">
        <v>121</v>
      </c>
      <c r="N376" s="4">
        <v>43481.25</v>
      </c>
      <c r="O376" t="b">
        <v>0</v>
      </c>
      <c r="P376" t="b">
        <v>1</v>
      </c>
      <c r="Q376" t="s">
        <v>135</v>
      </c>
      <c r="R376" t="str" cm="1">
        <f t="array" ref="R376:S376">_xlfn.TEXTSPLIT(Q376, "/", , FALSE)</f>
        <v>film &amp; video</v>
      </c>
      <c r="S376" t="str">
        <v>documentary</v>
      </c>
    </row>
    <row r="377" spans="1:19" ht="34" x14ac:dyDescent="0.2">
      <c r="A377">
        <v>375</v>
      </c>
      <c r="B377" t="s">
        <v>897</v>
      </c>
      <c r="C377" s="3" t="s">
        <v>898</v>
      </c>
      <c r="D377">
        <v>2700</v>
      </c>
      <c r="E377">
        <v>1479</v>
      </c>
      <c r="F377" s="5">
        <f t="shared" si="5"/>
        <v>0.54777777777777781</v>
      </c>
      <c r="G377" t="s">
        <v>6</v>
      </c>
      <c r="H377">
        <v>25</v>
      </c>
      <c r="I377" t="s">
        <v>109</v>
      </c>
      <c r="J377" t="s">
        <v>110</v>
      </c>
      <c r="K377" s="4">
        <v>42293.208333333328</v>
      </c>
      <c r="L377" s="4" t="s">
        <v>56</v>
      </c>
      <c r="M377" s="4" t="s">
        <v>105</v>
      </c>
      <c r="N377" s="4">
        <v>42350.25</v>
      </c>
      <c r="O377" t="b">
        <v>0</v>
      </c>
      <c r="P377" t="b">
        <v>0</v>
      </c>
      <c r="Q377" t="s">
        <v>154</v>
      </c>
      <c r="R377" t="str" cm="1">
        <f t="array" ref="R377:S377">_xlfn.TEXTSPLIT(Q377, "/", , FALSE)</f>
        <v>music</v>
      </c>
      <c r="S377" t="str">
        <v>indie rock</v>
      </c>
    </row>
    <row r="378" spans="1:19" ht="17" x14ac:dyDescent="0.2">
      <c r="A378">
        <v>376</v>
      </c>
      <c r="B378" t="s">
        <v>899</v>
      </c>
      <c r="C378" s="3" t="s">
        <v>900</v>
      </c>
      <c r="D378">
        <v>3400</v>
      </c>
      <c r="E378">
        <v>12275</v>
      </c>
      <c r="F378" s="5">
        <f t="shared" si="5"/>
        <v>3.6102941176470589</v>
      </c>
      <c r="G378" t="s">
        <v>8</v>
      </c>
      <c r="H378">
        <v>131</v>
      </c>
      <c r="I378" t="s">
        <v>109</v>
      </c>
      <c r="J378" t="s">
        <v>110</v>
      </c>
      <c r="K378" s="4">
        <v>41826.208333333336</v>
      </c>
      <c r="L378" s="4" t="s">
        <v>53</v>
      </c>
      <c r="M378" s="4" t="s">
        <v>111</v>
      </c>
      <c r="N378" s="4">
        <v>41832.208333333336</v>
      </c>
      <c r="O378" t="b">
        <v>0</v>
      </c>
      <c r="P378" t="b">
        <v>0</v>
      </c>
      <c r="Q378" t="s">
        <v>112</v>
      </c>
      <c r="R378" t="str" cm="1">
        <f t="array" ref="R378:S378">_xlfn.TEXTSPLIT(Q378, "/", , FALSE)</f>
        <v>music</v>
      </c>
      <c r="S378" t="str">
        <v>rock</v>
      </c>
    </row>
    <row r="379" spans="1:19" ht="17" x14ac:dyDescent="0.2">
      <c r="A379">
        <v>377</v>
      </c>
      <c r="B379" t="s">
        <v>901</v>
      </c>
      <c r="C379" s="3" t="s">
        <v>902</v>
      </c>
      <c r="D379">
        <v>49700</v>
      </c>
      <c r="E379">
        <v>5098</v>
      </c>
      <c r="F379" s="5">
        <f t="shared" si="5"/>
        <v>0.10257545271629778</v>
      </c>
      <c r="G379" t="s">
        <v>6</v>
      </c>
      <c r="H379">
        <v>127</v>
      </c>
      <c r="I379" t="s">
        <v>109</v>
      </c>
      <c r="J379" t="s">
        <v>110</v>
      </c>
      <c r="K379" s="4">
        <v>43760.208333333328</v>
      </c>
      <c r="L379" s="4" t="s">
        <v>56</v>
      </c>
      <c r="M379" s="4" t="s">
        <v>121</v>
      </c>
      <c r="N379" s="4">
        <v>43774.25</v>
      </c>
      <c r="O379" t="b">
        <v>0</v>
      </c>
      <c r="P379" t="b">
        <v>0</v>
      </c>
      <c r="Q379" t="s">
        <v>124</v>
      </c>
      <c r="R379" t="str" cm="1">
        <f t="array" ref="R379:S379">_xlfn.TEXTSPLIT(Q379, "/", , FALSE)</f>
        <v>theater</v>
      </c>
      <c r="S379" t="str">
        <v>plays</v>
      </c>
    </row>
    <row r="380" spans="1:19" ht="17" x14ac:dyDescent="0.2">
      <c r="A380">
        <v>378</v>
      </c>
      <c r="B380" t="s">
        <v>903</v>
      </c>
      <c r="C380" s="3" t="s">
        <v>904</v>
      </c>
      <c r="D380">
        <v>178200</v>
      </c>
      <c r="E380">
        <v>24882</v>
      </c>
      <c r="F380" s="5">
        <f t="shared" si="5"/>
        <v>0.13962962962962963</v>
      </c>
      <c r="G380" t="s">
        <v>6</v>
      </c>
      <c r="H380">
        <v>355</v>
      </c>
      <c r="I380" t="s">
        <v>109</v>
      </c>
      <c r="J380" t="s">
        <v>110</v>
      </c>
      <c r="K380" s="4">
        <v>43241.208333333328</v>
      </c>
      <c r="L380" s="4" t="s">
        <v>51</v>
      </c>
      <c r="M380" s="4" t="s">
        <v>169</v>
      </c>
      <c r="N380" s="4">
        <v>43279.208333333328</v>
      </c>
      <c r="O380" t="b">
        <v>0</v>
      </c>
      <c r="P380" t="b">
        <v>0</v>
      </c>
      <c r="Q380" t="s">
        <v>135</v>
      </c>
      <c r="R380" t="str" cm="1">
        <f t="array" ref="R380:S380">_xlfn.TEXTSPLIT(Q380, "/", , FALSE)</f>
        <v>film &amp; video</v>
      </c>
      <c r="S380" t="str">
        <v>documentary</v>
      </c>
    </row>
    <row r="381" spans="1:19" ht="17" x14ac:dyDescent="0.2">
      <c r="A381">
        <v>379</v>
      </c>
      <c r="B381" t="s">
        <v>905</v>
      </c>
      <c r="C381" s="3" t="s">
        <v>906</v>
      </c>
      <c r="D381">
        <v>7200</v>
      </c>
      <c r="E381">
        <v>2912</v>
      </c>
      <c r="F381" s="5">
        <f t="shared" si="5"/>
        <v>0.40444444444444444</v>
      </c>
      <c r="G381" t="s">
        <v>6</v>
      </c>
      <c r="H381">
        <v>44</v>
      </c>
      <c r="I381" t="s">
        <v>132</v>
      </c>
      <c r="J381" t="s">
        <v>133</v>
      </c>
      <c r="K381" s="4">
        <v>40843.208333333336</v>
      </c>
      <c r="L381" s="4" t="s">
        <v>56</v>
      </c>
      <c r="M381" s="4" t="s">
        <v>165</v>
      </c>
      <c r="N381" s="4">
        <v>40857.25</v>
      </c>
      <c r="O381" t="b">
        <v>0</v>
      </c>
      <c r="P381" t="b">
        <v>0</v>
      </c>
      <c r="Q381" t="s">
        <v>124</v>
      </c>
      <c r="R381" t="str" cm="1">
        <f t="array" ref="R381:S381">_xlfn.TEXTSPLIT(Q381, "/", , FALSE)</f>
        <v>theater</v>
      </c>
      <c r="S381" t="str">
        <v>plays</v>
      </c>
    </row>
    <row r="382" spans="1:19" ht="34" x14ac:dyDescent="0.2">
      <c r="A382">
        <v>380</v>
      </c>
      <c r="B382" t="s">
        <v>907</v>
      </c>
      <c r="C382" s="3" t="s">
        <v>908</v>
      </c>
      <c r="D382">
        <v>2500</v>
      </c>
      <c r="E382">
        <v>4008</v>
      </c>
      <c r="F382" s="5">
        <f t="shared" si="5"/>
        <v>1.6032</v>
      </c>
      <c r="G382" t="s">
        <v>8</v>
      </c>
      <c r="H382">
        <v>84</v>
      </c>
      <c r="I382" t="s">
        <v>109</v>
      </c>
      <c r="J382" t="s">
        <v>110</v>
      </c>
      <c r="K382" s="4">
        <v>41448.208333333336</v>
      </c>
      <c r="L382" s="4" t="s">
        <v>52</v>
      </c>
      <c r="M382" s="4" t="s">
        <v>117</v>
      </c>
      <c r="N382" s="4">
        <v>41453.208333333336</v>
      </c>
      <c r="O382" t="b">
        <v>0</v>
      </c>
      <c r="P382" t="b">
        <v>0</v>
      </c>
      <c r="Q382" t="s">
        <v>124</v>
      </c>
      <c r="R382" t="str" cm="1">
        <f t="array" ref="R382:S382">_xlfn.TEXTSPLIT(Q382, "/", , FALSE)</f>
        <v>theater</v>
      </c>
      <c r="S382" t="str">
        <v>plays</v>
      </c>
    </row>
    <row r="383" spans="1:19" ht="17" x14ac:dyDescent="0.2">
      <c r="A383">
        <v>381</v>
      </c>
      <c r="B383" t="s">
        <v>909</v>
      </c>
      <c r="C383" s="3" t="s">
        <v>910</v>
      </c>
      <c r="D383">
        <v>5300</v>
      </c>
      <c r="E383">
        <v>9749</v>
      </c>
      <c r="F383" s="5">
        <f t="shared" si="5"/>
        <v>1.8394339622641509</v>
      </c>
      <c r="G383" t="s">
        <v>8</v>
      </c>
      <c r="H383">
        <v>155</v>
      </c>
      <c r="I383" t="s">
        <v>109</v>
      </c>
      <c r="J383" t="s">
        <v>110</v>
      </c>
      <c r="K383" s="4">
        <v>42163.208333333328</v>
      </c>
      <c r="L383" s="4" t="s">
        <v>52</v>
      </c>
      <c r="M383" s="4" t="s">
        <v>105</v>
      </c>
      <c r="N383" s="4">
        <v>42209.208333333328</v>
      </c>
      <c r="O383" t="b">
        <v>0</v>
      </c>
      <c r="P383" t="b">
        <v>0</v>
      </c>
      <c r="Q383" t="s">
        <v>124</v>
      </c>
      <c r="R383" t="str" cm="1">
        <f t="array" ref="R383:S383">_xlfn.TEXTSPLIT(Q383, "/", , FALSE)</f>
        <v>theater</v>
      </c>
      <c r="S383" t="str">
        <v>plays</v>
      </c>
    </row>
    <row r="384" spans="1:19" ht="34" x14ac:dyDescent="0.2">
      <c r="A384">
        <v>382</v>
      </c>
      <c r="B384" t="s">
        <v>911</v>
      </c>
      <c r="C384" s="3" t="s">
        <v>912</v>
      </c>
      <c r="D384">
        <v>9100</v>
      </c>
      <c r="E384">
        <v>5803</v>
      </c>
      <c r="F384" s="5">
        <f t="shared" si="5"/>
        <v>0.63769230769230767</v>
      </c>
      <c r="G384" t="s">
        <v>6</v>
      </c>
      <c r="H384">
        <v>67</v>
      </c>
      <c r="I384" t="s">
        <v>109</v>
      </c>
      <c r="J384" t="s">
        <v>110</v>
      </c>
      <c r="K384" s="4">
        <v>43024.208333333328</v>
      </c>
      <c r="L384" s="4" t="s">
        <v>56</v>
      </c>
      <c r="M384" s="4" t="s">
        <v>134</v>
      </c>
      <c r="N384" s="4">
        <v>43043.208333333328</v>
      </c>
      <c r="O384" t="b">
        <v>0</v>
      </c>
      <c r="P384" t="b">
        <v>0</v>
      </c>
      <c r="Q384" t="s">
        <v>217</v>
      </c>
      <c r="R384" t="str" cm="1">
        <f t="array" ref="R384:S384">_xlfn.TEXTSPLIT(Q384, "/", , FALSE)</f>
        <v>photography</v>
      </c>
      <c r="S384" t="str">
        <v>photography books</v>
      </c>
    </row>
    <row r="385" spans="1:19" ht="17" x14ac:dyDescent="0.2">
      <c r="A385">
        <v>383</v>
      </c>
      <c r="B385" t="s">
        <v>913</v>
      </c>
      <c r="C385" s="3" t="s">
        <v>914</v>
      </c>
      <c r="D385">
        <v>6300</v>
      </c>
      <c r="E385">
        <v>14199</v>
      </c>
      <c r="F385" s="5">
        <f t="shared" si="5"/>
        <v>2.2538095238095237</v>
      </c>
      <c r="G385" t="s">
        <v>8</v>
      </c>
      <c r="H385">
        <v>189</v>
      </c>
      <c r="I385" t="s">
        <v>109</v>
      </c>
      <c r="J385" t="s">
        <v>110</v>
      </c>
      <c r="K385" s="4">
        <v>43509.25</v>
      </c>
      <c r="L385" s="4" t="s">
        <v>48</v>
      </c>
      <c r="M385" s="4" t="s">
        <v>121</v>
      </c>
      <c r="N385" s="4">
        <v>43515.25</v>
      </c>
      <c r="O385" t="b">
        <v>0</v>
      </c>
      <c r="P385" t="b">
        <v>1</v>
      </c>
      <c r="Q385" t="s">
        <v>106</v>
      </c>
      <c r="R385" t="str" cm="1">
        <f t="array" ref="R385:S385">_xlfn.TEXTSPLIT(Q385, "/", , FALSE)</f>
        <v>food</v>
      </c>
      <c r="S385" t="str">
        <v>food trucks</v>
      </c>
    </row>
    <row r="386" spans="1:19" ht="17" x14ac:dyDescent="0.2">
      <c r="A386">
        <v>384</v>
      </c>
      <c r="B386" t="s">
        <v>915</v>
      </c>
      <c r="C386" s="3" t="s">
        <v>916</v>
      </c>
      <c r="D386">
        <v>114400</v>
      </c>
      <c r="E386">
        <v>196779</v>
      </c>
      <c r="F386" s="5">
        <f t="shared" si="5"/>
        <v>1.7200961538461539</v>
      </c>
      <c r="G386" t="s">
        <v>8</v>
      </c>
      <c r="H386">
        <v>4799</v>
      </c>
      <c r="I386" t="s">
        <v>109</v>
      </c>
      <c r="J386" t="s">
        <v>110</v>
      </c>
      <c r="K386" s="4">
        <v>42776.25</v>
      </c>
      <c r="L386" s="4" t="s">
        <v>48</v>
      </c>
      <c r="M386" s="4" t="s">
        <v>134</v>
      </c>
      <c r="N386" s="4">
        <v>42803.25</v>
      </c>
      <c r="O386" t="b">
        <v>1</v>
      </c>
      <c r="P386" t="b">
        <v>1</v>
      </c>
      <c r="Q386" t="s">
        <v>135</v>
      </c>
      <c r="R386" t="str" cm="1">
        <f t="array" ref="R386:S386">_xlfn.TEXTSPLIT(Q386, "/", , FALSE)</f>
        <v>film &amp; video</v>
      </c>
      <c r="S386" t="str">
        <v>documentary</v>
      </c>
    </row>
    <row r="387" spans="1:19" ht="34" x14ac:dyDescent="0.2">
      <c r="A387">
        <v>385</v>
      </c>
      <c r="B387" t="s">
        <v>917</v>
      </c>
      <c r="C387" s="3" t="s">
        <v>918</v>
      </c>
      <c r="D387">
        <v>38900</v>
      </c>
      <c r="E387">
        <v>56859</v>
      </c>
      <c r="F387" s="5">
        <f t="shared" ref="F387:F450" si="6">E387/D387</f>
        <v>1.4616709511568124</v>
      </c>
      <c r="G387" t="s">
        <v>8</v>
      </c>
      <c r="H387">
        <v>1137</v>
      </c>
      <c r="I387" t="s">
        <v>109</v>
      </c>
      <c r="J387" t="s">
        <v>110</v>
      </c>
      <c r="K387" s="4">
        <v>43553.208333333328</v>
      </c>
      <c r="L387" s="4" t="s">
        <v>49</v>
      </c>
      <c r="M387" s="4" t="s">
        <v>121</v>
      </c>
      <c r="N387" s="4">
        <v>43585.208333333328</v>
      </c>
      <c r="O387" t="b">
        <v>0</v>
      </c>
      <c r="P387" t="b">
        <v>0</v>
      </c>
      <c r="Q387" t="s">
        <v>162</v>
      </c>
      <c r="R387" t="str" cm="1">
        <f t="array" ref="R387:S387">_xlfn.TEXTSPLIT(Q387, "/", , FALSE)</f>
        <v>publishing</v>
      </c>
      <c r="S387" t="str">
        <v>nonfiction</v>
      </c>
    </row>
    <row r="388" spans="1:19" ht="34" x14ac:dyDescent="0.2">
      <c r="A388">
        <v>386</v>
      </c>
      <c r="B388" t="s">
        <v>919</v>
      </c>
      <c r="C388" s="3" t="s">
        <v>920</v>
      </c>
      <c r="D388">
        <v>135500</v>
      </c>
      <c r="E388">
        <v>103554</v>
      </c>
      <c r="F388" s="5">
        <f t="shared" si="6"/>
        <v>0.76423616236162362</v>
      </c>
      <c r="G388" t="s">
        <v>6</v>
      </c>
      <c r="H388">
        <v>1068</v>
      </c>
      <c r="I388" t="s">
        <v>109</v>
      </c>
      <c r="J388" t="s">
        <v>110</v>
      </c>
      <c r="K388" s="4">
        <v>40355.208333333336</v>
      </c>
      <c r="L388" s="4" t="s">
        <v>52</v>
      </c>
      <c r="M388" s="4" t="s">
        <v>140</v>
      </c>
      <c r="N388" s="4">
        <v>40367.208333333336</v>
      </c>
      <c r="O388" t="b">
        <v>0</v>
      </c>
      <c r="P388" t="b">
        <v>0</v>
      </c>
      <c r="Q388" t="s">
        <v>124</v>
      </c>
      <c r="R388" t="str" cm="1">
        <f t="array" ref="R388:S388">_xlfn.TEXTSPLIT(Q388, "/", , FALSE)</f>
        <v>theater</v>
      </c>
      <c r="S388" t="str">
        <v>plays</v>
      </c>
    </row>
    <row r="389" spans="1:19" ht="17" x14ac:dyDescent="0.2">
      <c r="A389">
        <v>387</v>
      </c>
      <c r="B389" t="s">
        <v>921</v>
      </c>
      <c r="C389" s="3" t="s">
        <v>922</v>
      </c>
      <c r="D389">
        <v>109000</v>
      </c>
      <c r="E389">
        <v>42795</v>
      </c>
      <c r="F389" s="5">
        <f t="shared" si="6"/>
        <v>0.39261467889908258</v>
      </c>
      <c r="G389" t="s">
        <v>6</v>
      </c>
      <c r="H389">
        <v>424</v>
      </c>
      <c r="I389" t="s">
        <v>109</v>
      </c>
      <c r="J389" t="s">
        <v>110</v>
      </c>
      <c r="K389" s="4">
        <v>41072.208333333336</v>
      </c>
      <c r="L389" s="4" t="s">
        <v>52</v>
      </c>
      <c r="M389" s="4" t="s">
        <v>129</v>
      </c>
      <c r="N389" s="4">
        <v>41077.208333333336</v>
      </c>
      <c r="O389" t="b">
        <v>0</v>
      </c>
      <c r="P389" t="b">
        <v>0</v>
      </c>
      <c r="Q389" t="s">
        <v>159</v>
      </c>
      <c r="R389" t="str" cm="1">
        <f t="array" ref="R389:S389">_xlfn.TEXTSPLIT(Q389, "/", , FALSE)</f>
        <v>technology</v>
      </c>
      <c r="S389" t="str">
        <v>wearables</v>
      </c>
    </row>
    <row r="390" spans="1:19" ht="17" x14ac:dyDescent="0.2">
      <c r="A390">
        <v>388</v>
      </c>
      <c r="B390" t="s">
        <v>923</v>
      </c>
      <c r="C390" s="3" t="s">
        <v>924</v>
      </c>
      <c r="D390">
        <v>114800</v>
      </c>
      <c r="E390">
        <v>12938</v>
      </c>
      <c r="F390" s="5">
        <f t="shared" si="6"/>
        <v>0.11270034843205574</v>
      </c>
      <c r="G390" t="s">
        <v>5</v>
      </c>
      <c r="H390">
        <v>145</v>
      </c>
      <c r="I390" t="s">
        <v>193</v>
      </c>
      <c r="J390" t="s">
        <v>194</v>
      </c>
      <c r="K390" s="4">
        <v>40912.25</v>
      </c>
      <c r="L390" s="4" t="s">
        <v>47</v>
      </c>
      <c r="M390" s="4" t="s">
        <v>129</v>
      </c>
      <c r="N390" s="4">
        <v>40914.25</v>
      </c>
      <c r="O390" t="b">
        <v>0</v>
      </c>
      <c r="P390" t="b">
        <v>0</v>
      </c>
      <c r="Q390" t="s">
        <v>154</v>
      </c>
      <c r="R390" t="str" cm="1">
        <f t="array" ref="R390:S390">_xlfn.TEXTSPLIT(Q390, "/", , FALSE)</f>
        <v>music</v>
      </c>
      <c r="S390" t="str">
        <v>indie rock</v>
      </c>
    </row>
    <row r="391" spans="1:19" ht="17" x14ac:dyDescent="0.2">
      <c r="A391">
        <v>389</v>
      </c>
      <c r="B391" t="s">
        <v>925</v>
      </c>
      <c r="C391" s="3" t="s">
        <v>926</v>
      </c>
      <c r="D391">
        <v>83000</v>
      </c>
      <c r="E391">
        <v>101352</v>
      </c>
      <c r="F391" s="5">
        <f t="shared" si="6"/>
        <v>1.2211084337349398</v>
      </c>
      <c r="G391" t="s">
        <v>8</v>
      </c>
      <c r="H391">
        <v>1152</v>
      </c>
      <c r="I391" t="s">
        <v>109</v>
      </c>
      <c r="J391" t="s">
        <v>110</v>
      </c>
      <c r="K391" s="4">
        <v>40479.208333333336</v>
      </c>
      <c r="L391" s="4" t="s">
        <v>56</v>
      </c>
      <c r="M391" s="4" t="s">
        <v>140</v>
      </c>
      <c r="N391" s="4">
        <v>40506.25</v>
      </c>
      <c r="O391" t="b">
        <v>0</v>
      </c>
      <c r="P391" t="b">
        <v>0</v>
      </c>
      <c r="Q391" t="s">
        <v>124</v>
      </c>
      <c r="R391" t="str" cm="1">
        <f t="array" ref="R391:S391">_xlfn.TEXTSPLIT(Q391, "/", , FALSE)</f>
        <v>theater</v>
      </c>
      <c r="S391" t="str">
        <v>plays</v>
      </c>
    </row>
    <row r="392" spans="1:19" ht="17" x14ac:dyDescent="0.2">
      <c r="A392">
        <v>390</v>
      </c>
      <c r="B392" t="s">
        <v>927</v>
      </c>
      <c r="C392" s="3" t="s">
        <v>928</v>
      </c>
      <c r="D392">
        <v>2400</v>
      </c>
      <c r="E392">
        <v>4477</v>
      </c>
      <c r="F392" s="5">
        <f t="shared" si="6"/>
        <v>1.8654166666666667</v>
      </c>
      <c r="G392" t="s">
        <v>8</v>
      </c>
      <c r="H392">
        <v>50</v>
      </c>
      <c r="I392" t="s">
        <v>109</v>
      </c>
      <c r="J392" t="s">
        <v>110</v>
      </c>
      <c r="K392" s="4">
        <v>41530.208333333336</v>
      </c>
      <c r="L392" s="4" t="s">
        <v>55</v>
      </c>
      <c r="M392" s="4" t="s">
        <v>117</v>
      </c>
      <c r="N392" s="4">
        <v>41545.208333333336</v>
      </c>
      <c r="O392" t="b">
        <v>0</v>
      </c>
      <c r="P392" t="b">
        <v>0</v>
      </c>
      <c r="Q392" t="s">
        <v>217</v>
      </c>
      <c r="R392" t="str" cm="1">
        <f t="array" ref="R392:S392">_xlfn.TEXTSPLIT(Q392, "/", , FALSE)</f>
        <v>photography</v>
      </c>
      <c r="S392" t="str">
        <v>photography books</v>
      </c>
    </row>
    <row r="393" spans="1:19" ht="17" x14ac:dyDescent="0.2">
      <c r="A393">
        <v>391</v>
      </c>
      <c r="B393" t="s">
        <v>929</v>
      </c>
      <c r="C393" s="3" t="s">
        <v>930</v>
      </c>
      <c r="D393">
        <v>60400</v>
      </c>
      <c r="E393">
        <v>4393</v>
      </c>
      <c r="F393" s="5">
        <f t="shared" si="6"/>
        <v>7.27317880794702E-2</v>
      </c>
      <c r="G393" t="s">
        <v>6</v>
      </c>
      <c r="H393">
        <v>151</v>
      </c>
      <c r="I393" t="s">
        <v>109</v>
      </c>
      <c r="J393" t="s">
        <v>110</v>
      </c>
      <c r="K393" s="4">
        <v>41653.25</v>
      </c>
      <c r="L393" s="4" t="s">
        <v>47</v>
      </c>
      <c r="M393" s="4" t="s">
        <v>111</v>
      </c>
      <c r="N393" s="4">
        <v>41655.25</v>
      </c>
      <c r="O393" t="b">
        <v>0</v>
      </c>
      <c r="P393" t="b">
        <v>0</v>
      </c>
      <c r="Q393" t="s">
        <v>162</v>
      </c>
      <c r="R393" t="str" cm="1">
        <f t="array" ref="R393:S393">_xlfn.TEXTSPLIT(Q393, "/", , FALSE)</f>
        <v>publishing</v>
      </c>
      <c r="S393" t="str">
        <v>nonfiction</v>
      </c>
    </row>
    <row r="394" spans="1:19" ht="34" x14ac:dyDescent="0.2">
      <c r="A394">
        <v>392</v>
      </c>
      <c r="B394" t="s">
        <v>931</v>
      </c>
      <c r="C394" s="3" t="s">
        <v>932</v>
      </c>
      <c r="D394">
        <v>102900</v>
      </c>
      <c r="E394">
        <v>67546</v>
      </c>
      <c r="F394" s="5">
        <f t="shared" si="6"/>
        <v>0.65642371234207963</v>
      </c>
      <c r="G394" t="s">
        <v>6</v>
      </c>
      <c r="H394">
        <v>1608</v>
      </c>
      <c r="I394" t="s">
        <v>109</v>
      </c>
      <c r="J394" t="s">
        <v>110</v>
      </c>
      <c r="K394" s="4">
        <v>40549.25</v>
      </c>
      <c r="L394" s="4" t="s">
        <v>47</v>
      </c>
      <c r="M394" s="4" t="s">
        <v>165</v>
      </c>
      <c r="N394" s="4">
        <v>40551.25</v>
      </c>
      <c r="O394" t="b">
        <v>0</v>
      </c>
      <c r="P394" t="b">
        <v>0</v>
      </c>
      <c r="Q394" t="s">
        <v>159</v>
      </c>
      <c r="R394" t="str" cm="1">
        <f t="array" ref="R394:S394">_xlfn.TEXTSPLIT(Q394, "/", , FALSE)</f>
        <v>technology</v>
      </c>
      <c r="S394" t="str">
        <v>wearables</v>
      </c>
    </row>
    <row r="395" spans="1:19" ht="17" x14ac:dyDescent="0.2">
      <c r="A395">
        <v>393</v>
      </c>
      <c r="B395" t="s">
        <v>933</v>
      </c>
      <c r="C395" s="3" t="s">
        <v>934</v>
      </c>
      <c r="D395">
        <v>62800</v>
      </c>
      <c r="E395">
        <v>143788</v>
      </c>
      <c r="F395" s="5">
        <f t="shared" si="6"/>
        <v>2.2896178343949045</v>
      </c>
      <c r="G395" t="s">
        <v>8</v>
      </c>
      <c r="H395">
        <v>3059</v>
      </c>
      <c r="I395" t="s">
        <v>103</v>
      </c>
      <c r="J395" t="s">
        <v>104</v>
      </c>
      <c r="K395" s="4">
        <v>42933.208333333328</v>
      </c>
      <c r="L395" s="4" t="s">
        <v>53</v>
      </c>
      <c r="M395" s="4" t="s">
        <v>134</v>
      </c>
      <c r="N395" s="4">
        <v>42934.208333333328</v>
      </c>
      <c r="O395" t="b">
        <v>0</v>
      </c>
      <c r="P395" t="b">
        <v>0</v>
      </c>
      <c r="Q395" t="s">
        <v>254</v>
      </c>
      <c r="R395" t="str" cm="1">
        <f t="array" ref="R395:S395">_xlfn.TEXTSPLIT(Q395, "/", , FALSE)</f>
        <v>music</v>
      </c>
      <c r="S395" t="str">
        <v>jazz</v>
      </c>
    </row>
    <row r="396" spans="1:19" ht="17" x14ac:dyDescent="0.2">
      <c r="A396">
        <v>394</v>
      </c>
      <c r="B396" t="s">
        <v>935</v>
      </c>
      <c r="C396" s="3" t="s">
        <v>936</v>
      </c>
      <c r="D396">
        <v>800</v>
      </c>
      <c r="E396">
        <v>3755</v>
      </c>
      <c r="F396" s="5">
        <f t="shared" si="6"/>
        <v>4.6937499999999996</v>
      </c>
      <c r="G396" t="s">
        <v>8</v>
      </c>
      <c r="H396">
        <v>34</v>
      </c>
      <c r="I396" t="s">
        <v>109</v>
      </c>
      <c r="J396" t="s">
        <v>110</v>
      </c>
      <c r="K396" s="4">
        <v>41484.208333333336</v>
      </c>
      <c r="L396" s="4" t="s">
        <v>53</v>
      </c>
      <c r="M396" s="4" t="s">
        <v>117</v>
      </c>
      <c r="N396" s="4">
        <v>41494.208333333336</v>
      </c>
      <c r="O396" t="b">
        <v>0</v>
      </c>
      <c r="P396" t="b">
        <v>1</v>
      </c>
      <c r="Q396" t="s">
        <v>135</v>
      </c>
      <c r="R396" t="str" cm="1">
        <f t="array" ref="R396:S396">_xlfn.TEXTSPLIT(Q396, "/", , FALSE)</f>
        <v>film &amp; video</v>
      </c>
      <c r="S396" t="str">
        <v>documentary</v>
      </c>
    </row>
    <row r="397" spans="1:19" ht="34" x14ac:dyDescent="0.2">
      <c r="A397">
        <v>395</v>
      </c>
      <c r="B397" t="s">
        <v>390</v>
      </c>
      <c r="C397" s="3" t="s">
        <v>937</v>
      </c>
      <c r="D397">
        <v>7100</v>
      </c>
      <c r="E397">
        <v>9238</v>
      </c>
      <c r="F397" s="5">
        <f t="shared" si="6"/>
        <v>1.3011267605633803</v>
      </c>
      <c r="G397" t="s">
        <v>8</v>
      </c>
      <c r="H397">
        <v>220</v>
      </c>
      <c r="I397" t="s">
        <v>109</v>
      </c>
      <c r="J397" t="s">
        <v>110</v>
      </c>
      <c r="K397" s="4">
        <v>40885.25</v>
      </c>
      <c r="L397" s="4" t="s">
        <v>58</v>
      </c>
      <c r="M397" s="4" t="s">
        <v>165</v>
      </c>
      <c r="N397" s="4">
        <v>40886.25</v>
      </c>
      <c r="O397" t="b">
        <v>1</v>
      </c>
      <c r="P397" t="b">
        <v>0</v>
      </c>
      <c r="Q397" t="s">
        <v>124</v>
      </c>
      <c r="R397" t="str" cm="1">
        <f t="array" ref="R397:S397">_xlfn.TEXTSPLIT(Q397, "/", , FALSE)</f>
        <v>theater</v>
      </c>
      <c r="S397" t="str">
        <v>plays</v>
      </c>
    </row>
    <row r="398" spans="1:19" ht="17" x14ac:dyDescent="0.2">
      <c r="A398">
        <v>396</v>
      </c>
      <c r="B398" t="s">
        <v>938</v>
      </c>
      <c r="C398" s="3" t="s">
        <v>939</v>
      </c>
      <c r="D398">
        <v>46100</v>
      </c>
      <c r="E398">
        <v>77012</v>
      </c>
      <c r="F398" s="5">
        <f t="shared" si="6"/>
        <v>1.6705422993492407</v>
      </c>
      <c r="G398" t="s">
        <v>8</v>
      </c>
      <c r="H398">
        <v>1604</v>
      </c>
      <c r="I398" t="s">
        <v>115</v>
      </c>
      <c r="J398" t="s">
        <v>116</v>
      </c>
      <c r="K398" s="4">
        <v>43378.208333333328</v>
      </c>
      <c r="L398" s="4" t="s">
        <v>56</v>
      </c>
      <c r="M398" s="4" t="s">
        <v>169</v>
      </c>
      <c r="N398" s="4">
        <v>43386.208333333328</v>
      </c>
      <c r="O398" t="b">
        <v>0</v>
      </c>
      <c r="P398" t="b">
        <v>0</v>
      </c>
      <c r="Q398" t="s">
        <v>146</v>
      </c>
      <c r="R398" t="str" cm="1">
        <f t="array" ref="R398:S398">_xlfn.TEXTSPLIT(Q398, "/", , FALSE)</f>
        <v>film &amp; video</v>
      </c>
      <c r="S398" t="str">
        <v>drama</v>
      </c>
    </row>
    <row r="399" spans="1:19" ht="17" x14ac:dyDescent="0.2">
      <c r="A399">
        <v>397</v>
      </c>
      <c r="B399" t="s">
        <v>940</v>
      </c>
      <c r="C399" s="3" t="s">
        <v>941</v>
      </c>
      <c r="D399">
        <v>8100</v>
      </c>
      <c r="E399">
        <v>14083</v>
      </c>
      <c r="F399" s="5">
        <f t="shared" si="6"/>
        <v>1.738641975308642</v>
      </c>
      <c r="G399" t="s">
        <v>8</v>
      </c>
      <c r="H399">
        <v>454</v>
      </c>
      <c r="I399" t="s">
        <v>109</v>
      </c>
      <c r="J399" t="s">
        <v>110</v>
      </c>
      <c r="K399" s="4">
        <v>41417.208333333336</v>
      </c>
      <c r="L399" s="4" t="s">
        <v>51</v>
      </c>
      <c r="M399" s="4" t="s">
        <v>117</v>
      </c>
      <c r="N399" s="4">
        <v>41423.208333333336</v>
      </c>
      <c r="O399" t="b">
        <v>0</v>
      </c>
      <c r="P399" t="b">
        <v>0</v>
      </c>
      <c r="Q399" t="s">
        <v>112</v>
      </c>
      <c r="R399" t="str" cm="1">
        <f t="array" ref="R399:S399">_xlfn.TEXTSPLIT(Q399, "/", , FALSE)</f>
        <v>music</v>
      </c>
      <c r="S399" t="str">
        <v>rock</v>
      </c>
    </row>
    <row r="400" spans="1:19" ht="34" x14ac:dyDescent="0.2">
      <c r="A400">
        <v>398</v>
      </c>
      <c r="B400" t="s">
        <v>942</v>
      </c>
      <c r="C400" s="3" t="s">
        <v>943</v>
      </c>
      <c r="D400">
        <v>1700</v>
      </c>
      <c r="E400">
        <v>12202</v>
      </c>
      <c r="F400" s="5">
        <f t="shared" si="6"/>
        <v>7.1776470588235295</v>
      </c>
      <c r="G400" t="s">
        <v>8</v>
      </c>
      <c r="H400">
        <v>123</v>
      </c>
      <c r="I400" t="s">
        <v>202</v>
      </c>
      <c r="J400" t="s">
        <v>203</v>
      </c>
      <c r="K400" s="4">
        <v>43228.208333333328</v>
      </c>
      <c r="L400" s="4" t="s">
        <v>51</v>
      </c>
      <c r="M400" s="4" t="s">
        <v>169</v>
      </c>
      <c r="N400" s="4">
        <v>43230.208333333328</v>
      </c>
      <c r="O400" t="b">
        <v>0</v>
      </c>
      <c r="P400" t="b">
        <v>1</v>
      </c>
      <c r="Q400" t="s">
        <v>166</v>
      </c>
      <c r="R400" t="str" cm="1">
        <f t="array" ref="R400:S400">_xlfn.TEXTSPLIT(Q400, "/", , FALSE)</f>
        <v>film &amp; video</v>
      </c>
      <c r="S400" t="str">
        <v>animation</v>
      </c>
    </row>
    <row r="401" spans="1:19" ht="17" x14ac:dyDescent="0.2">
      <c r="A401">
        <v>399</v>
      </c>
      <c r="B401" t="s">
        <v>944</v>
      </c>
      <c r="C401" s="3" t="s">
        <v>945</v>
      </c>
      <c r="D401">
        <v>97300</v>
      </c>
      <c r="E401">
        <v>62127</v>
      </c>
      <c r="F401" s="5">
        <f t="shared" si="6"/>
        <v>0.63850976361767731</v>
      </c>
      <c r="G401" t="s">
        <v>6</v>
      </c>
      <c r="H401">
        <v>941</v>
      </c>
      <c r="I401" t="s">
        <v>109</v>
      </c>
      <c r="J401" t="s">
        <v>110</v>
      </c>
      <c r="K401" s="4">
        <v>40576.25</v>
      </c>
      <c r="L401" s="4" t="s">
        <v>48</v>
      </c>
      <c r="M401" s="4" t="s">
        <v>165</v>
      </c>
      <c r="N401" s="4">
        <v>40583.25</v>
      </c>
      <c r="O401" t="b">
        <v>0</v>
      </c>
      <c r="P401" t="b">
        <v>0</v>
      </c>
      <c r="Q401" t="s">
        <v>154</v>
      </c>
      <c r="R401" t="str" cm="1">
        <f t="array" ref="R401:S401">_xlfn.TEXTSPLIT(Q401, "/", , FALSE)</f>
        <v>music</v>
      </c>
      <c r="S401" t="str">
        <v>indie rock</v>
      </c>
    </row>
    <row r="402" spans="1:19" ht="34" x14ac:dyDescent="0.2">
      <c r="A402">
        <v>400</v>
      </c>
      <c r="B402" t="s">
        <v>946</v>
      </c>
      <c r="C402" s="3" t="s">
        <v>947</v>
      </c>
      <c r="D402">
        <v>100</v>
      </c>
      <c r="E402">
        <v>2</v>
      </c>
      <c r="F402" s="5">
        <f t="shared" si="6"/>
        <v>0.02</v>
      </c>
      <c r="G402" t="s">
        <v>6</v>
      </c>
      <c r="H402">
        <v>1</v>
      </c>
      <c r="I402" t="s">
        <v>109</v>
      </c>
      <c r="J402" t="s">
        <v>110</v>
      </c>
      <c r="K402" s="4">
        <v>41502.208333333336</v>
      </c>
      <c r="L402" s="4" t="s">
        <v>54</v>
      </c>
      <c r="M402" s="4" t="s">
        <v>117</v>
      </c>
      <c r="N402" s="4">
        <v>41524.208333333336</v>
      </c>
      <c r="O402" t="b">
        <v>0</v>
      </c>
      <c r="P402" t="b">
        <v>1</v>
      </c>
      <c r="Q402" t="s">
        <v>217</v>
      </c>
      <c r="R402" t="str" cm="1">
        <f t="array" ref="R402:S402">_xlfn.TEXTSPLIT(Q402, "/", , FALSE)</f>
        <v>photography</v>
      </c>
      <c r="S402" t="str">
        <v>photography books</v>
      </c>
    </row>
    <row r="403" spans="1:19" ht="17" x14ac:dyDescent="0.2">
      <c r="A403">
        <v>401</v>
      </c>
      <c r="B403" t="s">
        <v>948</v>
      </c>
      <c r="C403" s="3" t="s">
        <v>949</v>
      </c>
      <c r="D403">
        <v>900</v>
      </c>
      <c r="E403">
        <v>13772</v>
      </c>
      <c r="F403" s="5">
        <f t="shared" si="6"/>
        <v>15.302222222222222</v>
      </c>
      <c r="G403" t="s">
        <v>8</v>
      </c>
      <c r="H403">
        <v>299</v>
      </c>
      <c r="I403" t="s">
        <v>109</v>
      </c>
      <c r="J403" t="s">
        <v>110</v>
      </c>
      <c r="K403" s="4">
        <v>43765.208333333328</v>
      </c>
      <c r="L403" s="4" t="s">
        <v>56</v>
      </c>
      <c r="M403" s="4" t="s">
        <v>121</v>
      </c>
      <c r="N403" s="4">
        <v>43765.208333333328</v>
      </c>
      <c r="O403" t="b">
        <v>0</v>
      </c>
      <c r="P403" t="b">
        <v>0</v>
      </c>
      <c r="Q403" t="s">
        <v>124</v>
      </c>
      <c r="R403" t="str" cm="1">
        <f t="array" ref="R403:S403">_xlfn.TEXTSPLIT(Q403, "/", , FALSE)</f>
        <v>theater</v>
      </c>
      <c r="S403" t="str">
        <v>plays</v>
      </c>
    </row>
    <row r="404" spans="1:19" ht="17" x14ac:dyDescent="0.2">
      <c r="A404">
        <v>402</v>
      </c>
      <c r="B404" t="s">
        <v>950</v>
      </c>
      <c r="C404" s="3" t="s">
        <v>951</v>
      </c>
      <c r="D404">
        <v>7300</v>
      </c>
      <c r="E404">
        <v>2946</v>
      </c>
      <c r="F404" s="5">
        <f t="shared" si="6"/>
        <v>0.40356164383561643</v>
      </c>
      <c r="G404" t="s">
        <v>6</v>
      </c>
      <c r="H404">
        <v>40</v>
      </c>
      <c r="I404" t="s">
        <v>109</v>
      </c>
      <c r="J404" t="s">
        <v>110</v>
      </c>
      <c r="K404" s="4">
        <v>40914.25</v>
      </c>
      <c r="L404" s="4" t="s">
        <v>47</v>
      </c>
      <c r="M404" s="4" t="s">
        <v>129</v>
      </c>
      <c r="N404" s="4">
        <v>40961.25</v>
      </c>
      <c r="O404" t="b">
        <v>0</v>
      </c>
      <c r="P404" t="b">
        <v>1</v>
      </c>
      <c r="Q404" t="s">
        <v>195</v>
      </c>
      <c r="R404" t="str" cm="1">
        <f t="array" ref="R404:S404">_xlfn.TEXTSPLIT(Q404, "/", , FALSE)</f>
        <v>film &amp; video</v>
      </c>
      <c r="S404" t="str">
        <v>shorts</v>
      </c>
    </row>
    <row r="405" spans="1:19" ht="17" x14ac:dyDescent="0.2">
      <c r="A405">
        <v>403</v>
      </c>
      <c r="B405" t="s">
        <v>952</v>
      </c>
      <c r="C405" s="3" t="s">
        <v>953</v>
      </c>
      <c r="D405">
        <v>195800</v>
      </c>
      <c r="E405">
        <v>168820</v>
      </c>
      <c r="F405" s="5">
        <f t="shared" si="6"/>
        <v>0.86220633299284988</v>
      </c>
      <c r="G405" t="s">
        <v>6</v>
      </c>
      <c r="H405">
        <v>3015</v>
      </c>
      <c r="I405" t="s">
        <v>103</v>
      </c>
      <c r="J405" t="s">
        <v>104</v>
      </c>
      <c r="K405" s="4">
        <v>40310.208333333336</v>
      </c>
      <c r="L405" s="4" t="s">
        <v>51</v>
      </c>
      <c r="M405" s="4" t="s">
        <v>140</v>
      </c>
      <c r="N405" s="4">
        <v>40346.208333333336</v>
      </c>
      <c r="O405" t="b">
        <v>0</v>
      </c>
      <c r="P405" t="b">
        <v>1</v>
      </c>
      <c r="Q405" t="s">
        <v>124</v>
      </c>
      <c r="R405" t="str" cm="1">
        <f t="array" ref="R405:S405">_xlfn.TEXTSPLIT(Q405, "/", , FALSE)</f>
        <v>theater</v>
      </c>
      <c r="S405" t="str">
        <v>plays</v>
      </c>
    </row>
    <row r="406" spans="1:19" ht="17" x14ac:dyDescent="0.2">
      <c r="A406">
        <v>404</v>
      </c>
      <c r="B406" t="s">
        <v>954</v>
      </c>
      <c r="C406" s="3" t="s">
        <v>955</v>
      </c>
      <c r="D406">
        <v>48900</v>
      </c>
      <c r="E406">
        <v>154321</v>
      </c>
      <c r="F406" s="5">
        <f t="shared" si="6"/>
        <v>3.1558486707566464</v>
      </c>
      <c r="G406" t="s">
        <v>8</v>
      </c>
      <c r="H406">
        <v>2237</v>
      </c>
      <c r="I406" t="s">
        <v>109</v>
      </c>
      <c r="J406" t="s">
        <v>110</v>
      </c>
      <c r="K406" s="4">
        <v>43053.25</v>
      </c>
      <c r="L406" s="4" t="s">
        <v>57</v>
      </c>
      <c r="M406" s="4" t="s">
        <v>134</v>
      </c>
      <c r="N406" s="4">
        <v>43056.25</v>
      </c>
      <c r="O406" t="b">
        <v>0</v>
      </c>
      <c r="P406" t="b">
        <v>0</v>
      </c>
      <c r="Q406" t="s">
        <v>124</v>
      </c>
      <c r="R406" t="str" cm="1">
        <f t="array" ref="R406:S406">_xlfn.TEXTSPLIT(Q406, "/", , FALSE)</f>
        <v>theater</v>
      </c>
      <c r="S406" t="str">
        <v>plays</v>
      </c>
    </row>
    <row r="407" spans="1:19" ht="17" x14ac:dyDescent="0.2">
      <c r="A407">
        <v>405</v>
      </c>
      <c r="B407" t="s">
        <v>956</v>
      </c>
      <c r="C407" s="3" t="s">
        <v>957</v>
      </c>
      <c r="D407">
        <v>29600</v>
      </c>
      <c r="E407">
        <v>26527</v>
      </c>
      <c r="F407" s="5">
        <f t="shared" si="6"/>
        <v>0.89618243243243245</v>
      </c>
      <c r="G407" t="s">
        <v>6</v>
      </c>
      <c r="H407">
        <v>435</v>
      </c>
      <c r="I407" t="s">
        <v>109</v>
      </c>
      <c r="J407" t="s">
        <v>110</v>
      </c>
      <c r="K407" s="4">
        <v>43255.208333333328</v>
      </c>
      <c r="L407" s="4" t="s">
        <v>52</v>
      </c>
      <c r="M407" s="4" t="s">
        <v>169</v>
      </c>
      <c r="N407" s="4">
        <v>43305.208333333328</v>
      </c>
      <c r="O407" t="b">
        <v>0</v>
      </c>
      <c r="P407" t="b">
        <v>0</v>
      </c>
      <c r="Q407" t="s">
        <v>124</v>
      </c>
      <c r="R407" t="str" cm="1">
        <f t="array" ref="R407:S407">_xlfn.TEXTSPLIT(Q407, "/", , FALSE)</f>
        <v>theater</v>
      </c>
      <c r="S407" t="str">
        <v>plays</v>
      </c>
    </row>
    <row r="408" spans="1:19" ht="17" x14ac:dyDescent="0.2">
      <c r="A408">
        <v>406</v>
      </c>
      <c r="B408" t="s">
        <v>958</v>
      </c>
      <c r="C408" s="3" t="s">
        <v>959</v>
      </c>
      <c r="D408">
        <v>39300</v>
      </c>
      <c r="E408">
        <v>71583</v>
      </c>
      <c r="F408" s="5">
        <f t="shared" si="6"/>
        <v>1.8214503816793892</v>
      </c>
      <c r="G408" t="s">
        <v>8</v>
      </c>
      <c r="H408">
        <v>645</v>
      </c>
      <c r="I408" t="s">
        <v>109</v>
      </c>
      <c r="J408" t="s">
        <v>110</v>
      </c>
      <c r="K408" s="4">
        <v>41304.25</v>
      </c>
      <c r="L408" s="4" t="s">
        <v>47</v>
      </c>
      <c r="M408" s="4" t="s">
        <v>117</v>
      </c>
      <c r="N408" s="4">
        <v>41316.25</v>
      </c>
      <c r="O408" t="b">
        <v>1</v>
      </c>
      <c r="P408" t="b">
        <v>0</v>
      </c>
      <c r="Q408" t="s">
        <v>135</v>
      </c>
      <c r="R408" t="str" cm="1">
        <f t="array" ref="R408:S408">_xlfn.TEXTSPLIT(Q408, "/", , FALSE)</f>
        <v>film &amp; video</v>
      </c>
      <c r="S408" t="str">
        <v>documentary</v>
      </c>
    </row>
    <row r="409" spans="1:19" ht="17" x14ac:dyDescent="0.2">
      <c r="A409">
        <v>407</v>
      </c>
      <c r="B409" t="s">
        <v>960</v>
      </c>
      <c r="C409" s="3" t="s">
        <v>961</v>
      </c>
      <c r="D409">
        <v>3400</v>
      </c>
      <c r="E409">
        <v>12100</v>
      </c>
      <c r="F409" s="5">
        <f t="shared" si="6"/>
        <v>3.5588235294117645</v>
      </c>
      <c r="G409" t="s">
        <v>8</v>
      </c>
      <c r="H409">
        <v>484</v>
      </c>
      <c r="I409" t="s">
        <v>127</v>
      </c>
      <c r="J409" t="s">
        <v>128</v>
      </c>
      <c r="K409" s="4">
        <v>43751.208333333328</v>
      </c>
      <c r="L409" s="4" t="s">
        <v>56</v>
      </c>
      <c r="M409" s="4" t="s">
        <v>121</v>
      </c>
      <c r="N409" s="4">
        <v>43758.208333333328</v>
      </c>
      <c r="O409" t="b">
        <v>0</v>
      </c>
      <c r="P409" t="b">
        <v>0</v>
      </c>
      <c r="Q409" t="s">
        <v>124</v>
      </c>
      <c r="R409" t="str" cm="1">
        <f t="array" ref="R409:S409">_xlfn.TEXTSPLIT(Q409, "/", , FALSE)</f>
        <v>theater</v>
      </c>
      <c r="S409" t="str">
        <v>plays</v>
      </c>
    </row>
    <row r="410" spans="1:19" ht="17" x14ac:dyDescent="0.2">
      <c r="A410">
        <v>408</v>
      </c>
      <c r="B410" t="s">
        <v>962</v>
      </c>
      <c r="C410" s="3" t="s">
        <v>963</v>
      </c>
      <c r="D410">
        <v>9200</v>
      </c>
      <c r="E410">
        <v>12129</v>
      </c>
      <c r="F410" s="5">
        <f t="shared" si="6"/>
        <v>1.3183695652173912</v>
      </c>
      <c r="G410" t="s">
        <v>8</v>
      </c>
      <c r="H410">
        <v>154</v>
      </c>
      <c r="I410" t="s">
        <v>103</v>
      </c>
      <c r="J410" t="s">
        <v>104</v>
      </c>
      <c r="K410" s="4">
        <v>42541.208333333328</v>
      </c>
      <c r="L410" s="4" t="s">
        <v>52</v>
      </c>
      <c r="M410" s="4" t="s">
        <v>153</v>
      </c>
      <c r="N410" s="4">
        <v>42561.208333333328</v>
      </c>
      <c r="O410" t="b">
        <v>0</v>
      </c>
      <c r="P410" t="b">
        <v>0</v>
      </c>
      <c r="Q410" t="s">
        <v>135</v>
      </c>
      <c r="R410" t="str" cm="1">
        <f t="array" ref="R410:S410">_xlfn.TEXTSPLIT(Q410, "/", , FALSE)</f>
        <v>film &amp; video</v>
      </c>
      <c r="S410" t="str">
        <v>documentary</v>
      </c>
    </row>
    <row r="411" spans="1:19" ht="17" x14ac:dyDescent="0.2">
      <c r="A411">
        <v>409</v>
      </c>
      <c r="B411" t="s">
        <v>338</v>
      </c>
      <c r="C411" s="3" t="s">
        <v>964</v>
      </c>
      <c r="D411">
        <v>135600</v>
      </c>
      <c r="E411">
        <v>62804</v>
      </c>
      <c r="F411" s="5">
        <f t="shared" si="6"/>
        <v>0.46315634218289087</v>
      </c>
      <c r="G411" t="s">
        <v>6</v>
      </c>
      <c r="H411">
        <v>714</v>
      </c>
      <c r="I411" t="s">
        <v>109</v>
      </c>
      <c r="J411" t="s">
        <v>110</v>
      </c>
      <c r="K411" s="4">
        <v>42843.208333333328</v>
      </c>
      <c r="L411" s="4" t="s">
        <v>50</v>
      </c>
      <c r="M411" s="4" t="s">
        <v>134</v>
      </c>
      <c r="N411" s="4">
        <v>42847.208333333328</v>
      </c>
      <c r="O411" t="b">
        <v>0</v>
      </c>
      <c r="P411" t="b">
        <v>0</v>
      </c>
      <c r="Q411" t="s">
        <v>112</v>
      </c>
      <c r="R411" t="str" cm="1">
        <f t="array" ref="R411:S411">_xlfn.TEXTSPLIT(Q411, "/", , FALSE)</f>
        <v>music</v>
      </c>
      <c r="S411" t="str">
        <v>rock</v>
      </c>
    </row>
    <row r="412" spans="1:19" ht="17" x14ac:dyDescent="0.2">
      <c r="A412">
        <v>410</v>
      </c>
      <c r="B412" t="s">
        <v>965</v>
      </c>
      <c r="C412" s="3" t="s">
        <v>966</v>
      </c>
      <c r="D412">
        <v>153700</v>
      </c>
      <c r="E412">
        <v>55536</v>
      </c>
      <c r="F412" s="5">
        <f t="shared" si="6"/>
        <v>0.36132726089785294</v>
      </c>
      <c r="G412" t="s">
        <v>7</v>
      </c>
      <c r="H412">
        <v>1111</v>
      </c>
      <c r="I412" t="s">
        <v>109</v>
      </c>
      <c r="J412" t="s">
        <v>110</v>
      </c>
      <c r="K412" s="4">
        <v>42122.208333333328</v>
      </c>
      <c r="L412" s="4" t="s">
        <v>50</v>
      </c>
      <c r="M412" s="4" t="s">
        <v>105</v>
      </c>
      <c r="N412" s="4">
        <v>42122.208333333328</v>
      </c>
      <c r="O412" t="b">
        <v>0</v>
      </c>
      <c r="P412" t="b">
        <v>0</v>
      </c>
      <c r="Q412" t="s">
        <v>387</v>
      </c>
      <c r="R412" t="str" cm="1">
        <f t="array" ref="R412:S412">_xlfn.TEXTSPLIT(Q412, "/", , FALSE)</f>
        <v>games</v>
      </c>
      <c r="S412" t="str">
        <v>mobile games</v>
      </c>
    </row>
    <row r="413" spans="1:19" ht="17" x14ac:dyDescent="0.2">
      <c r="A413">
        <v>411</v>
      </c>
      <c r="B413" t="s">
        <v>967</v>
      </c>
      <c r="C413" s="3" t="s">
        <v>968</v>
      </c>
      <c r="D413">
        <v>7800</v>
      </c>
      <c r="E413">
        <v>8161</v>
      </c>
      <c r="F413" s="5">
        <f t="shared" si="6"/>
        <v>1.0462820512820512</v>
      </c>
      <c r="G413" t="s">
        <v>8</v>
      </c>
      <c r="H413">
        <v>82</v>
      </c>
      <c r="I413" t="s">
        <v>109</v>
      </c>
      <c r="J413" t="s">
        <v>110</v>
      </c>
      <c r="K413" s="4">
        <v>42884.208333333328</v>
      </c>
      <c r="L413" s="4" t="s">
        <v>51</v>
      </c>
      <c r="M413" s="4" t="s">
        <v>134</v>
      </c>
      <c r="N413" s="4">
        <v>42886.208333333328</v>
      </c>
      <c r="O413" t="b">
        <v>0</v>
      </c>
      <c r="P413" t="b">
        <v>0</v>
      </c>
      <c r="Q413" t="s">
        <v>124</v>
      </c>
      <c r="R413" t="str" cm="1">
        <f t="array" ref="R413:S413">_xlfn.TEXTSPLIT(Q413, "/", , FALSE)</f>
        <v>theater</v>
      </c>
      <c r="S413" t="str">
        <v>plays</v>
      </c>
    </row>
    <row r="414" spans="1:19" ht="17" x14ac:dyDescent="0.2">
      <c r="A414">
        <v>412</v>
      </c>
      <c r="B414" t="s">
        <v>969</v>
      </c>
      <c r="C414" s="3" t="s">
        <v>970</v>
      </c>
      <c r="D414">
        <v>2100</v>
      </c>
      <c r="E414">
        <v>14046</v>
      </c>
      <c r="F414" s="5">
        <f t="shared" si="6"/>
        <v>6.6885714285714286</v>
      </c>
      <c r="G414" t="s">
        <v>8</v>
      </c>
      <c r="H414">
        <v>134</v>
      </c>
      <c r="I414" t="s">
        <v>109</v>
      </c>
      <c r="J414" t="s">
        <v>110</v>
      </c>
      <c r="K414" s="4">
        <v>41642.25</v>
      </c>
      <c r="L414" s="4" t="s">
        <v>47</v>
      </c>
      <c r="M414" s="4" t="s">
        <v>111</v>
      </c>
      <c r="N414" s="4">
        <v>41652.25</v>
      </c>
      <c r="O414" t="b">
        <v>0</v>
      </c>
      <c r="P414" t="b">
        <v>0</v>
      </c>
      <c r="Q414" t="s">
        <v>214</v>
      </c>
      <c r="R414" t="str" cm="1">
        <f t="array" ref="R414:S414">_xlfn.TEXTSPLIT(Q414, "/", , FALSE)</f>
        <v>publishing</v>
      </c>
      <c r="S414" t="str">
        <v>fiction</v>
      </c>
    </row>
    <row r="415" spans="1:19" ht="17" x14ac:dyDescent="0.2">
      <c r="A415">
        <v>413</v>
      </c>
      <c r="B415" t="s">
        <v>971</v>
      </c>
      <c r="C415" s="3" t="s">
        <v>972</v>
      </c>
      <c r="D415">
        <v>189500</v>
      </c>
      <c r="E415">
        <v>117628</v>
      </c>
      <c r="F415" s="5">
        <f t="shared" si="6"/>
        <v>0.62072823218997364</v>
      </c>
      <c r="G415" t="s">
        <v>7</v>
      </c>
      <c r="H415">
        <v>1089</v>
      </c>
      <c r="I415" t="s">
        <v>109</v>
      </c>
      <c r="J415" t="s">
        <v>110</v>
      </c>
      <c r="K415" s="4">
        <v>43431.25</v>
      </c>
      <c r="L415" s="4" t="s">
        <v>57</v>
      </c>
      <c r="M415" s="4" t="s">
        <v>169</v>
      </c>
      <c r="N415" s="4">
        <v>43458.25</v>
      </c>
      <c r="O415" t="b">
        <v>0</v>
      </c>
      <c r="P415" t="b">
        <v>0</v>
      </c>
      <c r="Q415" t="s">
        <v>166</v>
      </c>
      <c r="R415" t="str" cm="1">
        <f t="array" ref="R415:S415">_xlfn.TEXTSPLIT(Q415, "/", , FALSE)</f>
        <v>film &amp; video</v>
      </c>
      <c r="S415" t="str">
        <v>animation</v>
      </c>
    </row>
    <row r="416" spans="1:19" ht="17" x14ac:dyDescent="0.2">
      <c r="A416">
        <v>414</v>
      </c>
      <c r="B416" t="s">
        <v>973</v>
      </c>
      <c r="C416" s="3" t="s">
        <v>974</v>
      </c>
      <c r="D416">
        <v>188200</v>
      </c>
      <c r="E416">
        <v>159405</v>
      </c>
      <c r="F416" s="5">
        <f t="shared" si="6"/>
        <v>0.84699787460148779</v>
      </c>
      <c r="G416" t="s">
        <v>6</v>
      </c>
      <c r="H416">
        <v>5497</v>
      </c>
      <c r="I416" t="s">
        <v>109</v>
      </c>
      <c r="J416" t="s">
        <v>110</v>
      </c>
      <c r="K416" s="4">
        <v>40288.208333333336</v>
      </c>
      <c r="L416" s="4" t="s">
        <v>50</v>
      </c>
      <c r="M416" s="4" t="s">
        <v>140</v>
      </c>
      <c r="N416" s="4">
        <v>40296.208333333336</v>
      </c>
      <c r="O416" t="b">
        <v>0</v>
      </c>
      <c r="P416" t="b">
        <v>1</v>
      </c>
      <c r="Q416" t="s">
        <v>106</v>
      </c>
      <c r="R416" t="str" cm="1">
        <f t="array" ref="R416:S416">_xlfn.TEXTSPLIT(Q416, "/", , FALSE)</f>
        <v>food</v>
      </c>
      <c r="S416" t="str">
        <v>food trucks</v>
      </c>
    </row>
    <row r="417" spans="1:19" ht="17" x14ac:dyDescent="0.2">
      <c r="A417">
        <v>415</v>
      </c>
      <c r="B417" t="s">
        <v>975</v>
      </c>
      <c r="C417" s="3" t="s">
        <v>976</v>
      </c>
      <c r="D417">
        <v>113500</v>
      </c>
      <c r="E417">
        <v>12552</v>
      </c>
      <c r="F417" s="5">
        <f t="shared" si="6"/>
        <v>0.11059030837004405</v>
      </c>
      <c r="G417" t="s">
        <v>6</v>
      </c>
      <c r="H417">
        <v>418</v>
      </c>
      <c r="I417" t="s">
        <v>109</v>
      </c>
      <c r="J417" t="s">
        <v>110</v>
      </c>
      <c r="K417" s="4">
        <v>40921.25</v>
      </c>
      <c r="L417" s="4" t="s">
        <v>47</v>
      </c>
      <c r="M417" s="4" t="s">
        <v>129</v>
      </c>
      <c r="N417" s="4">
        <v>40938.25</v>
      </c>
      <c r="O417" t="b">
        <v>0</v>
      </c>
      <c r="P417" t="b">
        <v>0</v>
      </c>
      <c r="Q417" t="s">
        <v>124</v>
      </c>
      <c r="R417" t="str" cm="1">
        <f t="array" ref="R417:S417">_xlfn.TEXTSPLIT(Q417, "/", , FALSE)</f>
        <v>theater</v>
      </c>
      <c r="S417" t="str">
        <v>plays</v>
      </c>
    </row>
    <row r="418" spans="1:19" ht="34" x14ac:dyDescent="0.2">
      <c r="A418">
        <v>416</v>
      </c>
      <c r="B418" t="s">
        <v>977</v>
      </c>
      <c r="C418" s="3" t="s">
        <v>978</v>
      </c>
      <c r="D418">
        <v>134600</v>
      </c>
      <c r="E418">
        <v>59007</v>
      </c>
      <c r="F418" s="5">
        <f t="shared" si="6"/>
        <v>0.43838781575037145</v>
      </c>
      <c r="G418" t="s">
        <v>6</v>
      </c>
      <c r="H418">
        <v>1439</v>
      </c>
      <c r="I418" t="s">
        <v>109</v>
      </c>
      <c r="J418" t="s">
        <v>110</v>
      </c>
      <c r="K418" s="4">
        <v>40560.25</v>
      </c>
      <c r="L418" s="4" t="s">
        <v>47</v>
      </c>
      <c r="M418" s="4" t="s">
        <v>165</v>
      </c>
      <c r="N418" s="4">
        <v>40569.25</v>
      </c>
      <c r="O418" t="b">
        <v>0</v>
      </c>
      <c r="P418" t="b">
        <v>1</v>
      </c>
      <c r="Q418" t="s">
        <v>135</v>
      </c>
      <c r="R418" t="str" cm="1">
        <f t="array" ref="R418:S418">_xlfn.TEXTSPLIT(Q418, "/", , FALSE)</f>
        <v>film &amp; video</v>
      </c>
      <c r="S418" t="str">
        <v>documentary</v>
      </c>
    </row>
    <row r="419" spans="1:19" ht="17" x14ac:dyDescent="0.2">
      <c r="A419">
        <v>417</v>
      </c>
      <c r="B419" t="s">
        <v>979</v>
      </c>
      <c r="C419" s="3" t="s">
        <v>980</v>
      </c>
      <c r="D419">
        <v>1700</v>
      </c>
      <c r="E419">
        <v>943</v>
      </c>
      <c r="F419" s="5">
        <f t="shared" si="6"/>
        <v>0.55470588235294116</v>
      </c>
      <c r="G419" t="s">
        <v>6</v>
      </c>
      <c r="H419">
        <v>15</v>
      </c>
      <c r="I419" t="s">
        <v>109</v>
      </c>
      <c r="J419" t="s">
        <v>110</v>
      </c>
      <c r="K419" s="4">
        <v>43407.208333333328</v>
      </c>
      <c r="L419" s="4" t="s">
        <v>57</v>
      </c>
      <c r="M419" s="4" t="s">
        <v>169</v>
      </c>
      <c r="N419" s="4">
        <v>43431.25</v>
      </c>
      <c r="O419" t="b">
        <v>0</v>
      </c>
      <c r="P419" t="b">
        <v>0</v>
      </c>
      <c r="Q419" t="s">
        <v>124</v>
      </c>
      <c r="R419" t="str" cm="1">
        <f t="array" ref="R419:S419">_xlfn.TEXTSPLIT(Q419, "/", , FALSE)</f>
        <v>theater</v>
      </c>
      <c r="S419" t="str">
        <v>plays</v>
      </c>
    </row>
    <row r="420" spans="1:19" ht="17" x14ac:dyDescent="0.2">
      <c r="A420">
        <v>418</v>
      </c>
      <c r="B420" t="s">
        <v>200</v>
      </c>
      <c r="C420" s="3" t="s">
        <v>981</v>
      </c>
      <c r="D420">
        <v>163700</v>
      </c>
      <c r="E420">
        <v>93963</v>
      </c>
      <c r="F420" s="5">
        <f t="shared" si="6"/>
        <v>0.57399511301160655</v>
      </c>
      <c r="G420" t="s">
        <v>6</v>
      </c>
      <c r="H420">
        <v>1999</v>
      </c>
      <c r="I420" t="s">
        <v>103</v>
      </c>
      <c r="J420" t="s">
        <v>104</v>
      </c>
      <c r="K420" s="4">
        <v>41035.208333333336</v>
      </c>
      <c r="L420" s="4" t="s">
        <v>51</v>
      </c>
      <c r="M420" s="4" t="s">
        <v>129</v>
      </c>
      <c r="N420" s="4">
        <v>41036.208333333336</v>
      </c>
      <c r="O420" t="b">
        <v>0</v>
      </c>
      <c r="P420" t="b">
        <v>0</v>
      </c>
      <c r="Q420" t="s">
        <v>135</v>
      </c>
      <c r="R420" t="str" cm="1">
        <f t="array" ref="R420:S420">_xlfn.TEXTSPLIT(Q420, "/", , FALSE)</f>
        <v>film &amp; video</v>
      </c>
      <c r="S420" t="str">
        <v>documentary</v>
      </c>
    </row>
    <row r="421" spans="1:19" ht="17" x14ac:dyDescent="0.2">
      <c r="A421">
        <v>419</v>
      </c>
      <c r="B421" t="s">
        <v>982</v>
      </c>
      <c r="C421" s="3" t="s">
        <v>983</v>
      </c>
      <c r="D421">
        <v>113800</v>
      </c>
      <c r="E421">
        <v>140469</v>
      </c>
      <c r="F421" s="5">
        <f t="shared" si="6"/>
        <v>1.2343497363796134</v>
      </c>
      <c r="G421" t="s">
        <v>8</v>
      </c>
      <c r="H421">
        <v>5203</v>
      </c>
      <c r="I421" t="s">
        <v>109</v>
      </c>
      <c r="J421" t="s">
        <v>110</v>
      </c>
      <c r="K421" s="4">
        <v>40899.25</v>
      </c>
      <c r="L421" s="4" t="s">
        <v>58</v>
      </c>
      <c r="M421" s="4" t="s">
        <v>165</v>
      </c>
      <c r="N421" s="4">
        <v>40905.25</v>
      </c>
      <c r="O421" t="b">
        <v>0</v>
      </c>
      <c r="P421" t="b">
        <v>0</v>
      </c>
      <c r="Q421" t="s">
        <v>118</v>
      </c>
      <c r="R421" t="str" cm="1">
        <f t="array" ref="R421:S421">_xlfn.TEXTSPLIT(Q421, "/", , FALSE)</f>
        <v>technology</v>
      </c>
      <c r="S421" t="str">
        <v>web</v>
      </c>
    </row>
    <row r="422" spans="1:19" ht="17" x14ac:dyDescent="0.2">
      <c r="A422">
        <v>420</v>
      </c>
      <c r="B422" t="s">
        <v>984</v>
      </c>
      <c r="C422" s="3" t="s">
        <v>985</v>
      </c>
      <c r="D422">
        <v>5000</v>
      </c>
      <c r="E422">
        <v>6423</v>
      </c>
      <c r="F422" s="5">
        <f t="shared" si="6"/>
        <v>1.2846</v>
      </c>
      <c r="G422" t="s">
        <v>8</v>
      </c>
      <c r="H422">
        <v>94</v>
      </c>
      <c r="I422" t="s">
        <v>109</v>
      </c>
      <c r="J422" t="s">
        <v>110</v>
      </c>
      <c r="K422" s="4">
        <v>42911.208333333328</v>
      </c>
      <c r="L422" s="4" t="s">
        <v>52</v>
      </c>
      <c r="M422" s="4" t="s">
        <v>134</v>
      </c>
      <c r="N422" s="4">
        <v>42925.208333333328</v>
      </c>
      <c r="O422" t="b">
        <v>0</v>
      </c>
      <c r="P422" t="b">
        <v>0</v>
      </c>
      <c r="Q422" t="s">
        <v>124</v>
      </c>
      <c r="R422" t="str" cm="1">
        <f t="array" ref="R422:S422">_xlfn.TEXTSPLIT(Q422, "/", , FALSE)</f>
        <v>theater</v>
      </c>
      <c r="S422" t="str">
        <v>plays</v>
      </c>
    </row>
    <row r="423" spans="1:19" ht="17" x14ac:dyDescent="0.2">
      <c r="A423">
        <v>421</v>
      </c>
      <c r="B423" t="s">
        <v>986</v>
      </c>
      <c r="C423" s="3" t="s">
        <v>987</v>
      </c>
      <c r="D423">
        <v>9400</v>
      </c>
      <c r="E423">
        <v>6015</v>
      </c>
      <c r="F423" s="5">
        <f t="shared" si="6"/>
        <v>0.63989361702127656</v>
      </c>
      <c r="G423" t="s">
        <v>6</v>
      </c>
      <c r="H423">
        <v>118</v>
      </c>
      <c r="I423" t="s">
        <v>109</v>
      </c>
      <c r="J423" t="s">
        <v>110</v>
      </c>
      <c r="K423" s="4">
        <v>42915.208333333328</v>
      </c>
      <c r="L423" s="4" t="s">
        <v>52</v>
      </c>
      <c r="M423" s="4" t="s">
        <v>134</v>
      </c>
      <c r="N423" s="4">
        <v>42945.208333333328</v>
      </c>
      <c r="O423" t="b">
        <v>0</v>
      </c>
      <c r="P423" t="b">
        <v>1</v>
      </c>
      <c r="Q423" t="s">
        <v>159</v>
      </c>
      <c r="R423" t="str" cm="1">
        <f t="array" ref="R423:S423">_xlfn.TEXTSPLIT(Q423, "/", , FALSE)</f>
        <v>technology</v>
      </c>
      <c r="S423" t="str">
        <v>wearables</v>
      </c>
    </row>
    <row r="424" spans="1:19" ht="34" x14ac:dyDescent="0.2">
      <c r="A424">
        <v>422</v>
      </c>
      <c r="B424" t="s">
        <v>988</v>
      </c>
      <c r="C424" s="3" t="s">
        <v>989</v>
      </c>
      <c r="D424">
        <v>8700</v>
      </c>
      <c r="E424">
        <v>11075</v>
      </c>
      <c r="F424" s="5">
        <f t="shared" si="6"/>
        <v>1.2729885057471264</v>
      </c>
      <c r="G424" t="s">
        <v>8</v>
      </c>
      <c r="H424">
        <v>205</v>
      </c>
      <c r="I424" t="s">
        <v>109</v>
      </c>
      <c r="J424" t="s">
        <v>110</v>
      </c>
      <c r="K424" s="4">
        <v>40285.208333333336</v>
      </c>
      <c r="L424" s="4" t="s">
        <v>50</v>
      </c>
      <c r="M424" s="4" t="s">
        <v>140</v>
      </c>
      <c r="N424" s="4">
        <v>40305.208333333336</v>
      </c>
      <c r="O424" t="b">
        <v>0</v>
      </c>
      <c r="P424" t="b">
        <v>1</v>
      </c>
      <c r="Q424" t="s">
        <v>124</v>
      </c>
      <c r="R424" t="str" cm="1">
        <f t="array" ref="R424:S424">_xlfn.TEXTSPLIT(Q424, "/", , FALSE)</f>
        <v>theater</v>
      </c>
      <c r="S424" t="str">
        <v>plays</v>
      </c>
    </row>
    <row r="425" spans="1:19" ht="17" x14ac:dyDescent="0.2">
      <c r="A425">
        <v>423</v>
      </c>
      <c r="B425" t="s">
        <v>990</v>
      </c>
      <c r="C425" s="3" t="s">
        <v>991</v>
      </c>
      <c r="D425">
        <v>147800</v>
      </c>
      <c r="E425">
        <v>15723</v>
      </c>
      <c r="F425" s="5">
        <f t="shared" si="6"/>
        <v>0.10638024357239513</v>
      </c>
      <c r="G425" t="s">
        <v>6</v>
      </c>
      <c r="H425">
        <v>162</v>
      </c>
      <c r="I425" t="s">
        <v>109</v>
      </c>
      <c r="J425" t="s">
        <v>110</v>
      </c>
      <c r="K425" s="4">
        <v>40808.208333333336</v>
      </c>
      <c r="L425" s="4" t="s">
        <v>55</v>
      </c>
      <c r="M425" s="4" t="s">
        <v>165</v>
      </c>
      <c r="N425" s="4">
        <v>40810.208333333336</v>
      </c>
      <c r="O425" t="b">
        <v>0</v>
      </c>
      <c r="P425" t="b">
        <v>1</v>
      </c>
      <c r="Q425" t="s">
        <v>106</v>
      </c>
      <c r="R425" t="str" cm="1">
        <f t="array" ref="R425:S425">_xlfn.TEXTSPLIT(Q425, "/", , FALSE)</f>
        <v>food</v>
      </c>
      <c r="S425" t="str">
        <v>food trucks</v>
      </c>
    </row>
    <row r="426" spans="1:19" ht="17" x14ac:dyDescent="0.2">
      <c r="A426">
        <v>424</v>
      </c>
      <c r="B426" t="s">
        <v>992</v>
      </c>
      <c r="C426" s="3" t="s">
        <v>993</v>
      </c>
      <c r="D426">
        <v>5100</v>
      </c>
      <c r="E426">
        <v>2064</v>
      </c>
      <c r="F426" s="5">
        <f t="shared" si="6"/>
        <v>0.40470588235294119</v>
      </c>
      <c r="G426" t="s">
        <v>6</v>
      </c>
      <c r="H426">
        <v>83</v>
      </c>
      <c r="I426" t="s">
        <v>109</v>
      </c>
      <c r="J426" t="s">
        <v>110</v>
      </c>
      <c r="K426" s="4">
        <v>43208.208333333328</v>
      </c>
      <c r="L426" s="4" t="s">
        <v>50</v>
      </c>
      <c r="M426" s="4" t="s">
        <v>169</v>
      </c>
      <c r="N426" s="4">
        <v>43214.208333333328</v>
      </c>
      <c r="O426" t="b">
        <v>0</v>
      </c>
      <c r="P426" t="b">
        <v>0</v>
      </c>
      <c r="Q426" t="s">
        <v>154</v>
      </c>
      <c r="R426" t="str" cm="1">
        <f t="array" ref="R426:S426">_xlfn.TEXTSPLIT(Q426, "/", , FALSE)</f>
        <v>music</v>
      </c>
      <c r="S426" t="str">
        <v>indie rock</v>
      </c>
    </row>
    <row r="427" spans="1:19" ht="17" x14ac:dyDescent="0.2">
      <c r="A427">
        <v>425</v>
      </c>
      <c r="B427" t="s">
        <v>994</v>
      </c>
      <c r="C427" s="3" t="s">
        <v>995</v>
      </c>
      <c r="D427">
        <v>2700</v>
      </c>
      <c r="E427">
        <v>7767</v>
      </c>
      <c r="F427" s="5">
        <f t="shared" si="6"/>
        <v>2.8766666666666665</v>
      </c>
      <c r="G427" t="s">
        <v>8</v>
      </c>
      <c r="H427">
        <v>92</v>
      </c>
      <c r="I427" t="s">
        <v>109</v>
      </c>
      <c r="J427" t="s">
        <v>110</v>
      </c>
      <c r="K427" s="4">
        <v>42213.208333333328</v>
      </c>
      <c r="L427" s="4" t="s">
        <v>53</v>
      </c>
      <c r="M427" s="4" t="s">
        <v>105</v>
      </c>
      <c r="N427" s="4">
        <v>42219.208333333328</v>
      </c>
      <c r="O427" t="b">
        <v>0</v>
      </c>
      <c r="P427" t="b">
        <v>0</v>
      </c>
      <c r="Q427" t="s">
        <v>217</v>
      </c>
      <c r="R427" t="str" cm="1">
        <f t="array" ref="R427:S427">_xlfn.TEXTSPLIT(Q427, "/", , FALSE)</f>
        <v>photography</v>
      </c>
      <c r="S427" t="str">
        <v>photography books</v>
      </c>
    </row>
    <row r="428" spans="1:19" ht="17" x14ac:dyDescent="0.2">
      <c r="A428">
        <v>426</v>
      </c>
      <c r="B428" t="s">
        <v>996</v>
      </c>
      <c r="C428" s="3" t="s">
        <v>997</v>
      </c>
      <c r="D428">
        <v>1800</v>
      </c>
      <c r="E428">
        <v>10313</v>
      </c>
      <c r="F428" s="5">
        <f t="shared" si="6"/>
        <v>5.7294444444444448</v>
      </c>
      <c r="G428" t="s">
        <v>8</v>
      </c>
      <c r="H428">
        <v>219</v>
      </c>
      <c r="I428" t="s">
        <v>109</v>
      </c>
      <c r="J428" t="s">
        <v>110</v>
      </c>
      <c r="K428" s="4">
        <v>41332.25</v>
      </c>
      <c r="L428" s="4" t="s">
        <v>48</v>
      </c>
      <c r="M428" s="4" t="s">
        <v>117</v>
      </c>
      <c r="N428" s="4">
        <v>41339.25</v>
      </c>
      <c r="O428" t="b">
        <v>0</v>
      </c>
      <c r="P428" t="b">
        <v>0</v>
      </c>
      <c r="Q428" t="s">
        <v>124</v>
      </c>
      <c r="R428" t="str" cm="1">
        <f t="array" ref="R428:S428">_xlfn.TEXTSPLIT(Q428, "/", , FALSE)</f>
        <v>theater</v>
      </c>
      <c r="S428" t="str">
        <v>plays</v>
      </c>
    </row>
    <row r="429" spans="1:19" ht="17" x14ac:dyDescent="0.2">
      <c r="A429">
        <v>427</v>
      </c>
      <c r="B429" t="s">
        <v>998</v>
      </c>
      <c r="C429" s="3" t="s">
        <v>999</v>
      </c>
      <c r="D429">
        <v>174500</v>
      </c>
      <c r="E429">
        <v>197018</v>
      </c>
      <c r="F429" s="5">
        <f t="shared" si="6"/>
        <v>1.1290429799426933</v>
      </c>
      <c r="G429" t="s">
        <v>8</v>
      </c>
      <c r="H429">
        <v>2526</v>
      </c>
      <c r="I429" t="s">
        <v>109</v>
      </c>
      <c r="J429" t="s">
        <v>110</v>
      </c>
      <c r="K429" s="4">
        <v>41895.208333333336</v>
      </c>
      <c r="L429" s="4" t="s">
        <v>55</v>
      </c>
      <c r="M429" s="4" t="s">
        <v>111</v>
      </c>
      <c r="N429" s="4">
        <v>41927.208333333336</v>
      </c>
      <c r="O429" t="b">
        <v>0</v>
      </c>
      <c r="P429" t="b">
        <v>1</v>
      </c>
      <c r="Q429" t="s">
        <v>124</v>
      </c>
      <c r="R429" t="str" cm="1">
        <f t="array" ref="R429:S429">_xlfn.TEXTSPLIT(Q429, "/", , FALSE)</f>
        <v>theater</v>
      </c>
      <c r="S429" t="str">
        <v>plays</v>
      </c>
    </row>
    <row r="430" spans="1:19" ht="17" x14ac:dyDescent="0.2">
      <c r="A430">
        <v>428</v>
      </c>
      <c r="B430" t="s">
        <v>1000</v>
      </c>
      <c r="C430" s="3" t="s">
        <v>1001</v>
      </c>
      <c r="D430">
        <v>101400</v>
      </c>
      <c r="E430">
        <v>47037</v>
      </c>
      <c r="F430" s="5">
        <f t="shared" si="6"/>
        <v>0.46387573964497042</v>
      </c>
      <c r="G430" t="s">
        <v>6</v>
      </c>
      <c r="H430">
        <v>747</v>
      </c>
      <c r="I430" t="s">
        <v>109</v>
      </c>
      <c r="J430" t="s">
        <v>110</v>
      </c>
      <c r="K430" s="4">
        <v>40585.25</v>
      </c>
      <c r="L430" s="4" t="s">
        <v>48</v>
      </c>
      <c r="M430" s="4" t="s">
        <v>165</v>
      </c>
      <c r="N430" s="4">
        <v>40592.25</v>
      </c>
      <c r="O430" t="b">
        <v>0</v>
      </c>
      <c r="P430" t="b">
        <v>0</v>
      </c>
      <c r="Q430" t="s">
        <v>166</v>
      </c>
      <c r="R430" t="str" cm="1">
        <f t="array" ref="R430:S430">_xlfn.TEXTSPLIT(Q430, "/", , FALSE)</f>
        <v>film &amp; video</v>
      </c>
      <c r="S430" t="str">
        <v>animation</v>
      </c>
    </row>
    <row r="431" spans="1:19" ht="17" x14ac:dyDescent="0.2">
      <c r="A431">
        <v>429</v>
      </c>
      <c r="B431" t="s">
        <v>1002</v>
      </c>
      <c r="C431" s="3" t="s">
        <v>1003</v>
      </c>
      <c r="D431">
        <v>191000</v>
      </c>
      <c r="E431">
        <v>173191</v>
      </c>
      <c r="F431" s="5">
        <f t="shared" si="6"/>
        <v>0.90675916230366493</v>
      </c>
      <c r="G431" t="s">
        <v>5</v>
      </c>
      <c r="H431">
        <v>2138</v>
      </c>
      <c r="I431" t="s">
        <v>109</v>
      </c>
      <c r="J431" t="s">
        <v>110</v>
      </c>
      <c r="K431" s="4">
        <v>41680.25</v>
      </c>
      <c r="L431" s="4" t="s">
        <v>48</v>
      </c>
      <c r="M431" s="4" t="s">
        <v>111</v>
      </c>
      <c r="N431" s="4">
        <v>41708.208333333336</v>
      </c>
      <c r="O431" t="b">
        <v>0</v>
      </c>
      <c r="P431" t="b">
        <v>1</v>
      </c>
      <c r="Q431" t="s">
        <v>217</v>
      </c>
      <c r="R431" t="str" cm="1">
        <f t="array" ref="R431:S431">_xlfn.TEXTSPLIT(Q431, "/", , FALSE)</f>
        <v>photography</v>
      </c>
      <c r="S431" t="str">
        <v>photography books</v>
      </c>
    </row>
    <row r="432" spans="1:19" ht="34" x14ac:dyDescent="0.2">
      <c r="A432">
        <v>430</v>
      </c>
      <c r="B432" t="s">
        <v>1004</v>
      </c>
      <c r="C432" s="3" t="s">
        <v>1005</v>
      </c>
      <c r="D432">
        <v>8100</v>
      </c>
      <c r="E432">
        <v>5487</v>
      </c>
      <c r="F432" s="5">
        <f t="shared" si="6"/>
        <v>0.67740740740740746</v>
      </c>
      <c r="G432" t="s">
        <v>6</v>
      </c>
      <c r="H432">
        <v>84</v>
      </c>
      <c r="I432" t="s">
        <v>109</v>
      </c>
      <c r="J432" t="s">
        <v>110</v>
      </c>
      <c r="K432" s="4">
        <v>43737.208333333328</v>
      </c>
      <c r="L432" s="4" t="s">
        <v>55</v>
      </c>
      <c r="M432" s="4" t="s">
        <v>121</v>
      </c>
      <c r="N432" s="4">
        <v>43771.208333333328</v>
      </c>
      <c r="O432" t="b">
        <v>0</v>
      </c>
      <c r="P432" t="b">
        <v>0</v>
      </c>
      <c r="Q432" t="s">
        <v>124</v>
      </c>
      <c r="R432" t="str" cm="1">
        <f t="array" ref="R432:S432">_xlfn.TEXTSPLIT(Q432, "/", , FALSE)</f>
        <v>theater</v>
      </c>
      <c r="S432" t="str">
        <v>plays</v>
      </c>
    </row>
    <row r="433" spans="1:19" ht="17" x14ac:dyDescent="0.2">
      <c r="A433">
        <v>431</v>
      </c>
      <c r="B433" t="s">
        <v>1006</v>
      </c>
      <c r="C433" s="3" t="s">
        <v>1007</v>
      </c>
      <c r="D433">
        <v>5100</v>
      </c>
      <c r="E433">
        <v>9817</v>
      </c>
      <c r="F433" s="5">
        <f t="shared" si="6"/>
        <v>1.9249019607843136</v>
      </c>
      <c r="G433" t="s">
        <v>8</v>
      </c>
      <c r="H433">
        <v>94</v>
      </c>
      <c r="I433" t="s">
        <v>109</v>
      </c>
      <c r="J433" t="s">
        <v>110</v>
      </c>
      <c r="K433" s="4">
        <v>43273.208333333328</v>
      </c>
      <c r="L433" s="4" t="s">
        <v>52</v>
      </c>
      <c r="M433" s="4" t="s">
        <v>169</v>
      </c>
      <c r="N433" s="4">
        <v>43290.208333333328</v>
      </c>
      <c r="O433" t="b">
        <v>1</v>
      </c>
      <c r="P433" t="b">
        <v>0</v>
      </c>
      <c r="Q433" t="s">
        <v>124</v>
      </c>
      <c r="R433" t="str" cm="1">
        <f t="array" ref="R433:S433">_xlfn.TEXTSPLIT(Q433, "/", , FALSE)</f>
        <v>theater</v>
      </c>
      <c r="S433" t="str">
        <v>plays</v>
      </c>
    </row>
    <row r="434" spans="1:19" ht="17" x14ac:dyDescent="0.2">
      <c r="A434">
        <v>432</v>
      </c>
      <c r="B434" t="s">
        <v>1008</v>
      </c>
      <c r="C434" s="3" t="s">
        <v>1009</v>
      </c>
      <c r="D434">
        <v>7700</v>
      </c>
      <c r="E434">
        <v>6369</v>
      </c>
      <c r="F434" s="5">
        <f t="shared" si="6"/>
        <v>0.82714285714285718</v>
      </c>
      <c r="G434" t="s">
        <v>6</v>
      </c>
      <c r="H434">
        <v>91</v>
      </c>
      <c r="I434" t="s">
        <v>109</v>
      </c>
      <c r="J434" t="s">
        <v>110</v>
      </c>
      <c r="K434" s="4">
        <v>41761.208333333336</v>
      </c>
      <c r="L434" s="4" t="s">
        <v>51</v>
      </c>
      <c r="M434" s="4" t="s">
        <v>111</v>
      </c>
      <c r="N434" s="4">
        <v>41781.208333333336</v>
      </c>
      <c r="O434" t="b">
        <v>0</v>
      </c>
      <c r="P434" t="b">
        <v>0</v>
      </c>
      <c r="Q434" t="s">
        <v>124</v>
      </c>
      <c r="R434" t="str" cm="1">
        <f t="array" ref="R434:S434">_xlfn.TEXTSPLIT(Q434, "/", , FALSE)</f>
        <v>theater</v>
      </c>
      <c r="S434" t="str">
        <v>plays</v>
      </c>
    </row>
    <row r="435" spans="1:19" ht="17" x14ac:dyDescent="0.2">
      <c r="A435">
        <v>433</v>
      </c>
      <c r="B435" t="s">
        <v>1010</v>
      </c>
      <c r="C435" s="3" t="s">
        <v>1011</v>
      </c>
      <c r="D435">
        <v>121400</v>
      </c>
      <c r="E435">
        <v>65755</v>
      </c>
      <c r="F435" s="5">
        <f t="shared" si="6"/>
        <v>0.54163920922570019</v>
      </c>
      <c r="G435" t="s">
        <v>6</v>
      </c>
      <c r="H435">
        <v>792</v>
      </c>
      <c r="I435" t="s">
        <v>109</v>
      </c>
      <c r="J435" t="s">
        <v>110</v>
      </c>
      <c r="K435" s="4">
        <v>41603.25</v>
      </c>
      <c r="L435" s="4" t="s">
        <v>57</v>
      </c>
      <c r="M435" s="4" t="s">
        <v>117</v>
      </c>
      <c r="N435" s="4">
        <v>41619.25</v>
      </c>
      <c r="O435" t="b">
        <v>0</v>
      </c>
      <c r="P435" t="b">
        <v>1</v>
      </c>
      <c r="Q435" t="s">
        <v>135</v>
      </c>
      <c r="R435" t="str" cm="1">
        <f t="array" ref="R435:S435">_xlfn.TEXTSPLIT(Q435, "/", , FALSE)</f>
        <v>film &amp; video</v>
      </c>
      <c r="S435" t="str">
        <v>documentary</v>
      </c>
    </row>
    <row r="436" spans="1:19" ht="17" x14ac:dyDescent="0.2">
      <c r="A436">
        <v>434</v>
      </c>
      <c r="B436" t="s">
        <v>1012</v>
      </c>
      <c r="C436" s="3" t="s">
        <v>1013</v>
      </c>
      <c r="D436">
        <v>5400</v>
      </c>
      <c r="E436">
        <v>903</v>
      </c>
      <c r="F436" s="5">
        <f t="shared" si="6"/>
        <v>0.16722222222222222</v>
      </c>
      <c r="G436" t="s">
        <v>5</v>
      </c>
      <c r="H436">
        <v>10</v>
      </c>
      <c r="I436" t="s">
        <v>103</v>
      </c>
      <c r="J436" t="s">
        <v>104</v>
      </c>
      <c r="K436" s="4">
        <v>42705.25</v>
      </c>
      <c r="L436" s="4" t="s">
        <v>58</v>
      </c>
      <c r="M436" s="4" t="s">
        <v>153</v>
      </c>
      <c r="N436" s="4">
        <v>42719.25</v>
      </c>
      <c r="O436" t="b">
        <v>1</v>
      </c>
      <c r="P436" t="b">
        <v>0</v>
      </c>
      <c r="Q436" t="s">
        <v>124</v>
      </c>
      <c r="R436" t="str" cm="1">
        <f t="array" ref="R436:S436">_xlfn.TEXTSPLIT(Q436, "/", , FALSE)</f>
        <v>theater</v>
      </c>
      <c r="S436" t="str">
        <v>plays</v>
      </c>
    </row>
    <row r="437" spans="1:19" ht="17" x14ac:dyDescent="0.2">
      <c r="A437">
        <v>435</v>
      </c>
      <c r="B437" t="s">
        <v>1014</v>
      </c>
      <c r="C437" s="3" t="s">
        <v>1015</v>
      </c>
      <c r="D437">
        <v>152400</v>
      </c>
      <c r="E437">
        <v>178120</v>
      </c>
      <c r="F437" s="5">
        <f t="shared" si="6"/>
        <v>1.168766404199475</v>
      </c>
      <c r="G437" t="s">
        <v>8</v>
      </c>
      <c r="H437">
        <v>1713</v>
      </c>
      <c r="I437" t="s">
        <v>202</v>
      </c>
      <c r="J437" t="s">
        <v>203</v>
      </c>
      <c r="K437" s="4">
        <v>41988.25</v>
      </c>
      <c r="L437" s="4" t="s">
        <v>58</v>
      </c>
      <c r="M437" s="4" t="s">
        <v>111</v>
      </c>
      <c r="N437" s="4">
        <v>42000.25</v>
      </c>
      <c r="O437" t="b">
        <v>0</v>
      </c>
      <c r="P437" t="b">
        <v>1</v>
      </c>
      <c r="Q437" t="s">
        <v>124</v>
      </c>
      <c r="R437" t="str" cm="1">
        <f t="array" ref="R437:S437">_xlfn.TEXTSPLIT(Q437, "/", , FALSE)</f>
        <v>theater</v>
      </c>
      <c r="S437" t="str">
        <v>plays</v>
      </c>
    </row>
    <row r="438" spans="1:19" ht="17" x14ac:dyDescent="0.2">
      <c r="A438">
        <v>436</v>
      </c>
      <c r="B438" t="s">
        <v>1016</v>
      </c>
      <c r="C438" s="3" t="s">
        <v>1017</v>
      </c>
      <c r="D438">
        <v>1300</v>
      </c>
      <c r="E438">
        <v>13678</v>
      </c>
      <c r="F438" s="5">
        <f t="shared" si="6"/>
        <v>10.521538461538462</v>
      </c>
      <c r="G438" t="s">
        <v>8</v>
      </c>
      <c r="H438">
        <v>249</v>
      </c>
      <c r="I438" t="s">
        <v>109</v>
      </c>
      <c r="J438" t="s">
        <v>110</v>
      </c>
      <c r="K438" s="4">
        <v>43575.208333333328</v>
      </c>
      <c r="L438" s="4" t="s">
        <v>50</v>
      </c>
      <c r="M438" s="4" t="s">
        <v>121</v>
      </c>
      <c r="N438" s="4">
        <v>43576.208333333328</v>
      </c>
      <c r="O438" t="b">
        <v>0</v>
      </c>
      <c r="P438" t="b">
        <v>0</v>
      </c>
      <c r="Q438" t="s">
        <v>254</v>
      </c>
      <c r="R438" t="str" cm="1">
        <f t="array" ref="R438:S438">_xlfn.TEXTSPLIT(Q438, "/", , FALSE)</f>
        <v>music</v>
      </c>
      <c r="S438" t="str">
        <v>jazz</v>
      </c>
    </row>
    <row r="439" spans="1:19" ht="17" x14ac:dyDescent="0.2">
      <c r="A439">
        <v>437</v>
      </c>
      <c r="B439" t="s">
        <v>1018</v>
      </c>
      <c r="C439" s="3" t="s">
        <v>1019</v>
      </c>
      <c r="D439">
        <v>8100</v>
      </c>
      <c r="E439">
        <v>9969</v>
      </c>
      <c r="F439" s="5">
        <f t="shared" si="6"/>
        <v>1.2307407407407407</v>
      </c>
      <c r="G439" t="s">
        <v>8</v>
      </c>
      <c r="H439">
        <v>192</v>
      </c>
      <c r="I439" t="s">
        <v>109</v>
      </c>
      <c r="J439" t="s">
        <v>110</v>
      </c>
      <c r="K439" s="4">
        <v>42260.208333333328</v>
      </c>
      <c r="L439" s="4" t="s">
        <v>55</v>
      </c>
      <c r="M439" s="4" t="s">
        <v>105</v>
      </c>
      <c r="N439" s="4">
        <v>42263.208333333328</v>
      </c>
      <c r="O439" t="b">
        <v>0</v>
      </c>
      <c r="P439" t="b">
        <v>1</v>
      </c>
      <c r="Q439" t="s">
        <v>166</v>
      </c>
      <c r="R439" t="str" cm="1">
        <f t="array" ref="R439:S439">_xlfn.TEXTSPLIT(Q439, "/", , FALSE)</f>
        <v>film &amp; video</v>
      </c>
      <c r="S439" t="str">
        <v>animation</v>
      </c>
    </row>
    <row r="440" spans="1:19" ht="34" x14ac:dyDescent="0.2">
      <c r="A440">
        <v>438</v>
      </c>
      <c r="B440" t="s">
        <v>1020</v>
      </c>
      <c r="C440" s="3" t="s">
        <v>1021</v>
      </c>
      <c r="D440">
        <v>8300</v>
      </c>
      <c r="E440">
        <v>14827</v>
      </c>
      <c r="F440" s="5">
        <f t="shared" si="6"/>
        <v>1.7863855421686747</v>
      </c>
      <c r="G440" t="s">
        <v>8</v>
      </c>
      <c r="H440">
        <v>247</v>
      </c>
      <c r="I440" t="s">
        <v>109</v>
      </c>
      <c r="J440" t="s">
        <v>110</v>
      </c>
      <c r="K440" s="4">
        <v>41337.25</v>
      </c>
      <c r="L440" s="4" t="s">
        <v>49</v>
      </c>
      <c r="M440" s="4" t="s">
        <v>117</v>
      </c>
      <c r="N440" s="4">
        <v>41367.208333333336</v>
      </c>
      <c r="O440" t="b">
        <v>0</v>
      </c>
      <c r="P440" t="b">
        <v>0</v>
      </c>
      <c r="Q440" t="s">
        <v>124</v>
      </c>
      <c r="R440" t="str" cm="1">
        <f t="array" ref="R440:S440">_xlfn.TEXTSPLIT(Q440, "/", , FALSE)</f>
        <v>theater</v>
      </c>
      <c r="S440" t="str">
        <v>plays</v>
      </c>
    </row>
    <row r="441" spans="1:19" ht="17" x14ac:dyDescent="0.2">
      <c r="A441">
        <v>439</v>
      </c>
      <c r="B441" t="s">
        <v>1022</v>
      </c>
      <c r="C441" s="3" t="s">
        <v>1023</v>
      </c>
      <c r="D441">
        <v>28400</v>
      </c>
      <c r="E441">
        <v>100900</v>
      </c>
      <c r="F441" s="5">
        <f t="shared" si="6"/>
        <v>3.5528169014084505</v>
      </c>
      <c r="G441" t="s">
        <v>8</v>
      </c>
      <c r="H441">
        <v>2293</v>
      </c>
      <c r="I441" t="s">
        <v>109</v>
      </c>
      <c r="J441" t="s">
        <v>110</v>
      </c>
      <c r="K441" s="4">
        <v>42680.208333333328</v>
      </c>
      <c r="L441" s="4" t="s">
        <v>57</v>
      </c>
      <c r="M441" s="4" t="s">
        <v>153</v>
      </c>
      <c r="N441" s="4">
        <v>42687.25</v>
      </c>
      <c r="O441" t="b">
        <v>0</v>
      </c>
      <c r="P441" t="b">
        <v>0</v>
      </c>
      <c r="Q441" t="s">
        <v>569</v>
      </c>
      <c r="R441" t="str" cm="1">
        <f t="array" ref="R441:S441">_xlfn.TEXTSPLIT(Q441, "/", , FALSE)</f>
        <v>film &amp; video</v>
      </c>
      <c r="S441" t="str">
        <v>science fiction</v>
      </c>
    </row>
    <row r="442" spans="1:19" ht="17" x14ac:dyDescent="0.2">
      <c r="A442">
        <v>440</v>
      </c>
      <c r="B442" t="s">
        <v>1024</v>
      </c>
      <c r="C442" s="3" t="s">
        <v>1025</v>
      </c>
      <c r="D442">
        <v>102500</v>
      </c>
      <c r="E442">
        <v>165954</v>
      </c>
      <c r="F442" s="5">
        <f t="shared" si="6"/>
        <v>1.6190634146341463</v>
      </c>
      <c r="G442" t="s">
        <v>8</v>
      </c>
      <c r="H442">
        <v>3131</v>
      </c>
      <c r="I442" t="s">
        <v>109</v>
      </c>
      <c r="J442" t="s">
        <v>110</v>
      </c>
      <c r="K442" s="4">
        <v>42916.208333333328</v>
      </c>
      <c r="L442" s="4" t="s">
        <v>52</v>
      </c>
      <c r="M442" s="4" t="s">
        <v>134</v>
      </c>
      <c r="N442" s="4">
        <v>42926.208333333328</v>
      </c>
      <c r="O442" t="b">
        <v>0</v>
      </c>
      <c r="P442" t="b">
        <v>0</v>
      </c>
      <c r="Q442" t="s">
        <v>364</v>
      </c>
      <c r="R442" t="str" cm="1">
        <f t="array" ref="R442:S442">_xlfn.TEXTSPLIT(Q442, "/", , FALSE)</f>
        <v>film &amp; video</v>
      </c>
      <c r="S442" t="str">
        <v>television</v>
      </c>
    </row>
    <row r="443" spans="1:19" ht="17" x14ac:dyDescent="0.2">
      <c r="A443">
        <v>441</v>
      </c>
      <c r="B443" t="s">
        <v>1026</v>
      </c>
      <c r="C443" s="3" t="s">
        <v>1027</v>
      </c>
      <c r="D443">
        <v>7000</v>
      </c>
      <c r="E443">
        <v>1744</v>
      </c>
      <c r="F443" s="5">
        <f t="shared" si="6"/>
        <v>0.24914285714285714</v>
      </c>
      <c r="G443" t="s">
        <v>6</v>
      </c>
      <c r="H443">
        <v>32</v>
      </c>
      <c r="I443" t="s">
        <v>109</v>
      </c>
      <c r="J443" t="s">
        <v>110</v>
      </c>
      <c r="K443" s="4">
        <v>41025.208333333336</v>
      </c>
      <c r="L443" s="4" t="s">
        <v>50</v>
      </c>
      <c r="M443" s="4" t="s">
        <v>129</v>
      </c>
      <c r="N443" s="4">
        <v>41053.208333333336</v>
      </c>
      <c r="O443" t="b">
        <v>0</v>
      </c>
      <c r="P443" t="b">
        <v>0</v>
      </c>
      <c r="Q443" t="s">
        <v>159</v>
      </c>
      <c r="R443" t="str" cm="1">
        <f t="array" ref="R443:S443">_xlfn.TEXTSPLIT(Q443, "/", , FALSE)</f>
        <v>technology</v>
      </c>
      <c r="S443" t="str">
        <v>wearables</v>
      </c>
    </row>
    <row r="444" spans="1:19" ht="17" x14ac:dyDescent="0.2">
      <c r="A444">
        <v>442</v>
      </c>
      <c r="B444" t="s">
        <v>1028</v>
      </c>
      <c r="C444" s="3" t="s">
        <v>1029</v>
      </c>
      <c r="D444">
        <v>5400</v>
      </c>
      <c r="E444">
        <v>10731</v>
      </c>
      <c r="F444" s="5">
        <f t="shared" si="6"/>
        <v>1.9872222222222222</v>
      </c>
      <c r="G444" t="s">
        <v>8</v>
      </c>
      <c r="H444">
        <v>143</v>
      </c>
      <c r="I444" t="s">
        <v>202</v>
      </c>
      <c r="J444" t="s">
        <v>203</v>
      </c>
      <c r="K444" s="4">
        <v>42980.208333333328</v>
      </c>
      <c r="L444" s="4" t="s">
        <v>55</v>
      </c>
      <c r="M444" s="4" t="s">
        <v>134</v>
      </c>
      <c r="N444" s="4">
        <v>42996.208333333328</v>
      </c>
      <c r="O444" t="b">
        <v>0</v>
      </c>
      <c r="P444" t="b">
        <v>0</v>
      </c>
      <c r="Q444" t="s">
        <v>124</v>
      </c>
      <c r="R444" t="str" cm="1">
        <f t="array" ref="R444:S444">_xlfn.TEXTSPLIT(Q444, "/", , FALSE)</f>
        <v>theater</v>
      </c>
      <c r="S444" t="str">
        <v>plays</v>
      </c>
    </row>
    <row r="445" spans="1:19" ht="17" x14ac:dyDescent="0.2">
      <c r="A445">
        <v>443</v>
      </c>
      <c r="B445" t="s">
        <v>1030</v>
      </c>
      <c r="C445" s="3" t="s">
        <v>1031</v>
      </c>
      <c r="D445">
        <v>9300</v>
      </c>
      <c r="E445">
        <v>3232</v>
      </c>
      <c r="F445" s="5">
        <f t="shared" si="6"/>
        <v>0.34752688172043011</v>
      </c>
      <c r="G445" t="s">
        <v>5</v>
      </c>
      <c r="H445">
        <v>90</v>
      </c>
      <c r="I445" t="s">
        <v>109</v>
      </c>
      <c r="J445" t="s">
        <v>110</v>
      </c>
      <c r="K445" s="4">
        <v>40451.208333333336</v>
      </c>
      <c r="L445" s="4" t="s">
        <v>55</v>
      </c>
      <c r="M445" s="4" t="s">
        <v>140</v>
      </c>
      <c r="N445" s="4">
        <v>40470.208333333336</v>
      </c>
      <c r="O445" t="b">
        <v>0</v>
      </c>
      <c r="P445" t="b">
        <v>0</v>
      </c>
      <c r="Q445" t="s">
        <v>124</v>
      </c>
      <c r="R445" t="str" cm="1">
        <f t="array" ref="R445:S445">_xlfn.TEXTSPLIT(Q445, "/", , FALSE)</f>
        <v>theater</v>
      </c>
      <c r="S445" t="str">
        <v>plays</v>
      </c>
    </row>
    <row r="446" spans="1:19" ht="17" x14ac:dyDescent="0.2">
      <c r="A446">
        <v>444</v>
      </c>
      <c r="B446" t="s">
        <v>843</v>
      </c>
      <c r="C446" s="3" t="s">
        <v>1032</v>
      </c>
      <c r="D446">
        <v>6200</v>
      </c>
      <c r="E446">
        <v>10938</v>
      </c>
      <c r="F446" s="5">
        <f t="shared" si="6"/>
        <v>1.7641935483870967</v>
      </c>
      <c r="G446" t="s">
        <v>8</v>
      </c>
      <c r="H446">
        <v>296</v>
      </c>
      <c r="I446" t="s">
        <v>109</v>
      </c>
      <c r="J446" t="s">
        <v>110</v>
      </c>
      <c r="K446" s="4">
        <v>40748.208333333336</v>
      </c>
      <c r="L446" s="4" t="s">
        <v>53</v>
      </c>
      <c r="M446" s="4" t="s">
        <v>165</v>
      </c>
      <c r="N446" s="4">
        <v>40750.208333333336</v>
      </c>
      <c r="O446" t="b">
        <v>0</v>
      </c>
      <c r="P446" t="b">
        <v>1</v>
      </c>
      <c r="Q446" t="s">
        <v>154</v>
      </c>
      <c r="R446" t="str" cm="1">
        <f t="array" ref="R446:S446">_xlfn.TEXTSPLIT(Q446, "/", , FALSE)</f>
        <v>music</v>
      </c>
      <c r="S446" t="str">
        <v>indie rock</v>
      </c>
    </row>
    <row r="447" spans="1:19" ht="34" x14ac:dyDescent="0.2">
      <c r="A447">
        <v>445</v>
      </c>
      <c r="B447" t="s">
        <v>1033</v>
      </c>
      <c r="C447" s="3" t="s">
        <v>1034</v>
      </c>
      <c r="D447">
        <v>2100</v>
      </c>
      <c r="E447">
        <v>10739</v>
      </c>
      <c r="F447" s="5">
        <f t="shared" si="6"/>
        <v>5.1138095238095236</v>
      </c>
      <c r="G447" t="s">
        <v>8</v>
      </c>
      <c r="H447">
        <v>170</v>
      </c>
      <c r="I447" t="s">
        <v>109</v>
      </c>
      <c r="J447" t="s">
        <v>110</v>
      </c>
      <c r="K447" s="4">
        <v>40515.25</v>
      </c>
      <c r="L447" s="4" t="s">
        <v>58</v>
      </c>
      <c r="M447" s="4" t="s">
        <v>140</v>
      </c>
      <c r="N447" s="4">
        <v>40536.25</v>
      </c>
      <c r="O447" t="b">
        <v>0</v>
      </c>
      <c r="P447" t="b">
        <v>1</v>
      </c>
      <c r="Q447" t="s">
        <v>124</v>
      </c>
      <c r="R447" t="str" cm="1">
        <f t="array" ref="R447:S447">_xlfn.TEXTSPLIT(Q447, "/", , FALSE)</f>
        <v>theater</v>
      </c>
      <c r="S447" t="str">
        <v>plays</v>
      </c>
    </row>
    <row r="448" spans="1:19" ht="17" x14ac:dyDescent="0.2">
      <c r="A448">
        <v>446</v>
      </c>
      <c r="B448" t="s">
        <v>1035</v>
      </c>
      <c r="C448" s="3" t="s">
        <v>1036</v>
      </c>
      <c r="D448">
        <v>6800</v>
      </c>
      <c r="E448">
        <v>5579</v>
      </c>
      <c r="F448" s="5">
        <f t="shared" si="6"/>
        <v>0.82044117647058823</v>
      </c>
      <c r="G448" t="s">
        <v>6</v>
      </c>
      <c r="H448">
        <v>186</v>
      </c>
      <c r="I448" t="s">
        <v>109</v>
      </c>
      <c r="J448" t="s">
        <v>110</v>
      </c>
      <c r="K448" s="4">
        <v>41261.25</v>
      </c>
      <c r="L448" s="4" t="s">
        <v>58</v>
      </c>
      <c r="M448" s="4" t="s">
        <v>129</v>
      </c>
      <c r="N448" s="4">
        <v>41263.25</v>
      </c>
      <c r="O448" t="b">
        <v>0</v>
      </c>
      <c r="P448" t="b">
        <v>0</v>
      </c>
      <c r="Q448" t="s">
        <v>159</v>
      </c>
      <c r="R448" t="str" cm="1">
        <f t="array" ref="R448:S448">_xlfn.TEXTSPLIT(Q448, "/", , FALSE)</f>
        <v>technology</v>
      </c>
      <c r="S448" t="str">
        <v>wearables</v>
      </c>
    </row>
    <row r="449" spans="1:19" ht="34" x14ac:dyDescent="0.2">
      <c r="A449">
        <v>447</v>
      </c>
      <c r="B449" t="s">
        <v>1037</v>
      </c>
      <c r="C449" s="3" t="s">
        <v>1038</v>
      </c>
      <c r="D449">
        <v>155200</v>
      </c>
      <c r="E449">
        <v>37754</v>
      </c>
      <c r="F449" s="5">
        <f t="shared" si="6"/>
        <v>0.24326030927835052</v>
      </c>
      <c r="G449" t="s">
        <v>5</v>
      </c>
      <c r="H449">
        <v>439</v>
      </c>
      <c r="I449" t="s">
        <v>132</v>
      </c>
      <c r="J449" t="s">
        <v>133</v>
      </c>
      <c r="K449" s="4">
        <v>43088.25</v>
      </c>
      <c r="L449" s="4" t="s">
        <v>58</v>
      </c>
      <c r="M449" s="4" t="s">
        <v>134</v>
      </c>
      <c r="N449" s="4">
        <v>43104.25</v>
      </c>
      <c r="O449" t="b">
        <v>0</v>
      </c>
      <c r="P449" t="b">
        <v>0</v>
      </c>
      <c r="Q449" t="s">
        <v>364</v>
      </c>
      <c r="R449" t="str" cm="1">
        <f t="array" ref="R449:S449">_xlfn.TEXTSPLIT(Q449, "/", , FALSE)</f>
        <v>film &amp; video</v>
      </c>
      <c r="S449" t="str">
        <v>television</v>
      </c>
    </row>
    <row r="450" spans="1:19" ht="17" x14ac:dyDescent="0.2">
      <c r="A450">
        <v>448</v>
      </c>
      <c r="B450" t="s">
        <v>1039</v>
      </c>
      <c r="C450" s="3" t="s">
        <v>1040</v>
      </c>
      <c r="D450">
        <v>89900</v>
      </c>
      <c r="E450">
        <v>45384</v>
      </c>
      <c r="F450" s="5">
        <f t="shared" si="6"/>
        <v>0.50482758620689661</v>
      </c>
      <c r="G450" t="s">
        <v>6</v>
      </c>
      <c r="H450">
        <v>605</v>
      </c>
      <c r="I450" t="s">
        <v>109</v>
      </c>
      <c r="J450" t="s">
        <v>110</v>
      </c>
      <c r="K450" s="4">
        <v>41378.208333333336</v>
      </c>
      <c r="L450" s="4" t="s">
        <v>50</v>
      </c>
      <c r="M450" s="4" t="s">
        <v>117</v>
      </c>
      <c r="N450" s="4">
        <v>41380.208333333336</v>
      </c>
      <c r="O450" t="b">
        <v>0</v>
      </c>
      <c r="P450" t="b">
        <v>1</v>
      </c>
      <c r="Q450" t="s">
        <v>184</v>
      </c>
      <c r="R450" t="str" cm="1">
        <f t="array" ref="R450:S450">_xlfn.TEXTSPLIT(Q450, "/", , FALSE)</f>
        <v>games</v>
      </c>
      <c r="S450" t="str">
        <v>video games</v>
      </c>
    </row>
    <row r="451" spans="1:19" ht="17" x14ac:dyDescent="0.2">
      <c r="A451">
        <v>449</v>
      </c>
      <c r="B451" t="s">
        <v>1041</v>
      </c>
      <c r="C451" s="3" t="s">
        <v>1042</v>
      </c>
      <c r="D451">
        <v>900</v>
      </c>
      <c r="E451">
        <v>8703</v>
      </c>
      <c r="F451" s="5">
        <f t="shared" ref="F451:F514" si="7">E451/D451</f>
        <v>9.67</v>
      </c>
      <c r="G451" t="s">
        <v>8</v>
      </c>
      <c r="H451">
        <v>86</v>
      </c>
      <c r="I451" t="s">
        <v>127</v>
      </c>
      <c r="J451" t="s">
        <v>128</v>
      </c>
      <c r="K451" s="4">
        <v>43530.25</v>
      </c>
      <c r="L451" s="4" t="s">
        <v>49</v>
      </c>
      <c r="M451" s="4" t="s">
        <v>121</v>
      </c>
      <c r="N451" s="4">
        <v>43547.208333333328</v>
      </c>
      <c r="O451" t="b">
        <v>0</v>
      </c>
      <c r="P451" t="b">
        <v>0</v>
      </c>
      <c r="Q451" t="s">
        <v>184</v>
      </c>
      <c r="R451" t="str" cm="1">
        <f t="array" ref="R451:S451">_xlfn.TEXTSPLIT(Q451, "/", , FALSE)</f>
        <v>games</v>
      </c>
      <c r="S451" t="str">
        <v>video games</v>
      </c>
    </row>
    <row r="452" spans="1:19" ht="17" x14ac:dyDescent="0.2">
      <c r="A452">
        <v>450</v>
      </c>
      <c r="B452" t="s">
        <v>1043</v>
      </c>
      <c r="C452" s="3" t="s">
        <v>1044</v>
      </c>
      <c r="D452">
        <v>100</v>
      </c>
      <c r="E452">
        <v>4</v>
      </c>
      <c r="F452" s="5">
        <f t="shared" si="7"/>
        <v>0.04</v>
      </c>
      <c r="G452" t="s">
        <v>6</v>
      </c>
      <c r="H452">
        <v>1</v>
      </c>
      <c r="I452" t="s">
        <v>103</v>
      </c>
      <c r="J452" t="s">
        <v>104</v>
      </c>
      <c r="K452" s="4">
        <v>43394.208333333328</v>
      </c>
      <c r="L452" s="4" t="s">
        <v>56</v>
      </c>
      <c r="M452" s="4" t="s">
        <v>169</v>
      </c>
      <c r="N452" s="4">
        <v>43417.25</v>
      </c>
      <c r="O452" t="b">
        <v>0</v>
      </c>
      <c r="P452" t="b">
        <v>0</v>
      </c>
      <c r="Q452" t="s">
        <v>166</v>
      </c>
      <c r="R452" t="str" cm="1">
        <f t="array" ref="R452:S452">_xlfn.TEXTSPLIT(Q452, "/", , FALSE)</f>
        <v>film &amp; video</v>
      </c>
      <c r="S452" t="str">
        <v>animation</v>
      </c>
    </row>
    <row r="453" spans="1:19" ht="17" x14ac:dyDescent="0.2">
      <c r="A453">
        <v>451</v>
      </c>
      <c r="B453" t="s">
        <v>1045</v>
      </c>
      <c r="C453" s="3" t="s">
        <v>1046</v>
      </c>
      <c r="D453">
        <v>148400</v>
      </c>
      <c r="E453">
        <v>182302</v>
      </c>
      <c r="F453" s="5">
        <f t="shared" si="7"/>
        <v>1.2284501347708894</v>
      </c>
      <c r="G453" t="s">
        <v>8</v>
      </c>
      <c r="H453">
        <v>6286</v>
      </c>
      <c r="I453" t="s">
        <v>109</v>
      </c>
      <c r="J453" t="s">
        <v>110</v>
      </c>
      <c r="K453" s="4">
        <v>42935.208333333328</v>
      </c>
      <c r="L453" s="4" t="s">
        <v>53</v>
      </c>
      <c r="M453" s="4" t="s">
        <v>134</v>
      </c>
      <c r="N453" s="4">
        <v>42966.208333333328</v>
      </c>
      <c r="O453" t="b">
        <v>0</v>
      </c>
      <c r="P453" t="b">
        <v>0</v>
      </c>
      <c r="Q453" t="s">
        <v>112</v>
      </c>
      <c r="R453" t="str" cm="1">
        <f t="array" ref="R453:S453">_xlfn.TEXTSPLIT(Q453, "/", , FALSE)</f>
        <v>music</v>
      </c>
      <c r="S453" t="str">
        <v>rock</v>
      </c>
    </row>
    <row r="454" spans="1:19" ht="34" x14ac:dyDescent="0.2">
      <c r="A454">
        <v>452</v>
      </c>
      <c r="B454" t="s">
        <v>1047</v>
      </c>
      <c r="C454" s="3" t="s">
        <v>1048</v>
      </c>
      <c r="D454">
        <v>4800</v>
      </c>
      <c r="E454">
        <v>3045</v>
      </c>
      <c r="F454" s="5">
        <f t="shared" si="7"/>
        <v>0.63437500000000002</v>
      </c>
      <c r="G454" t="s">
        <v>6</v>
      </c>
      <c r="H454">
        <v>31</v>
      </c>
      <c r="I454" t="s">
        <v>109</v>
      </c>
      <c r="J454" t="s">
        <v>110</v>
      </c>
      <c r="K454" s="4">
        <v>40365.208333333336</v>
      </c>
      <c r="L454" s="4" t="s">
        <v>53</v>
      </c>
      <c r="M454" s="4" t="s">
        <v>140</v>
      </c>
      <c r="N454" s="4">
        <v>40366.208333333336</v>
      </c>
      <c r="O454" t="b">
        <v>0</v>
      </c>
      <c r="P454" t="b">
        <v>0</v>
      </c>
      <c r="Q454" t="s">
        <v>146</v>
      </c>
      <c r="R454" t="str" cm="1">
        <f t="array" ref="R454:S454">_xlfn.TEXTSPLIT(Q454, "/", , FALSE)</f>
        <v>film &amp; video</v>
      </c>
      <c r="S454" t="str">
        <v>drama</v>
      </c>
    </row>
    <row r="455" spans="1:19" ht="34" x14ac:dyDescent="0.2">
      <c r="A455">
        <v>453</v>
      </c>
      <c r="B455" t="s">
        <v>1049</v>
      </c>
      <c r="C455" s="3" t="s">
        <v>1050</v>
      </c>
      <c r="D455">
        <v>182400</v>
      </c>
      <c r="E455">
        <v>102749</v>
      </c>
      <c r="F455" s="5">
        <f t="shared" si="7"/>
        <v>0.56331688596491225</v>
      </c>
      <c r="G455" t="s">
        <v>6</v>
      </c>
      <c r="H455">
        <v>1181</v>
      </c>
      <c r="I455" t="s">
        <v>109</v>
      </c>
      <c r="J455" t="s">
        <v>110</v>
      </c>
      <c r="K455" s="4">
        <v>42705.25</v>
      </c>
      <c r="L455" s="4" t="s">
        <v>58</v>
      </c>
      <c r="M455" s="4" t="s">
        <v>153</v>
      </c>
      <c r="N455" s="4">
        <v>42746.25</v>
      </c>
      <c r="O455" t="b">
        <v>0</v>
      </c>
      <c r="P455" t="b">
        <v>0</v>
      </c>
      <c r="Q455" t="s">
        <v>569</v>
      </c>
      <c r="R455" t="str" cm="1">
        <f t="array" ref="R455:S455">_xlfn.TEXTSPLIT(Q455, "/", , FALSE)</f>
        <v>film &amp; video</v>
      </c>
      <c r="S455" t="str">
        <v>science fiction</v>
      </c>
    </row>
    <row r="456" spans="1:19" ht="17" x14ac:dyDescent="0.2">
      <c r="A456">
        <v>454</v>
      </c>
      <c r="B456" t="s">
        <v>1051</v>
      </c>
      <c r="C456" s="3" t="s">
        <v>1052</v>
      </c>
      <c r="D456">
        <v>4000</v>
      </c>
      <c r="E456">
        <v>1763</v>
      </c>
      <c r="F456" s="5">
        <f t="shared" si="7"/>
        <v>0.44074999999999998</v>
      </c>
      <c r="G456" t="s">
        <v>6</v>
      </c>
      <c r="H456">
        <v>39</v>
      </c>
      <c r="I456" t="s">
        <v>109</v>
      </c>
      <c r="J456" t="s">
        <v>110</v>
      </c>
      <c r="K456" s="4">
        <v>41568.208333333336</v>
      </c>
      <c r="L456" s="4" t="s">
        <v>56</v>
      </c>
      <c r="M456" s="4" t="s">
        <v>117</v>
      </c>
      <c r="N456" s="4">
        <v>41604.25</v>
      </c>
      <c r="O456" t="b">
        <v>0</v>
      </c>
      <c r="P456" t="b">
        <v>1</v>
      </c>
      <c r="Q456" t="s">
        <v>146</v>
      </c>
      <c r="R456" t="str" cm="1">
        <f t="array" ref="R456:S456">_xlfn.TEXTSPLIT(Q456, "/", , FALSE)</f>
        <v>film &amp; video</v>
      </c>
      <c r="S456" t="str">
        <v>drama</v>
      </c>
    </row>
    <row r="457" spans="1:19" ht="17" x14ac:dyDescent="0.2">
      <c r="A457">
        <v>455</v>
      </c>
      <c r="B457" t="s">
        <v>1053</v>
      </c>
      <c r="C457" s="3" t="s">
        <v>1054</v>
      </c>
      <c r="D457">
        <v>116500</v>
      </c>
      <c r="E457">
        <v>137904</v>
      </c>
      <c r="F457" s="5">
        <f t="shared" si="7"/>
        <v>1.1837253218884121</v>
      </c>
      <c r="G457" t="s">
        <v>8</v>
      </c>
      <c r="H457">
        <v>3727</v>
      </c>
      <c r="I457" t="s">
        <v>109</v>
      </c>
      <c r="J457" t="s">
        <v>110</v>
      </c>
      <c r="K457" s="4">
        <v>40809.208333333336</v>
      </c>
      <c r="L457" s="4" t="s">
        <v>55</v>
      </c>
      <c r="M457" s="4" t="s">
        <v>165</v>
      </c>
      <c r="N457" s="4">
        <v>40832.208333333336</v>
      </c>
      <c r="O457" t="b">
        <v>0</v>
      </c>
      <c r="P457" t="b">
        <v>0</v>
      </c>
      <c r="Q457" t="s">
        <v>124</v>
      </c>
      <c r="R457" t="str" cm="1">
        <f t="array" ref="R457:S457">_xlfn.TEXTSPLIT(Q457, "/", , FALSE)</f>
        <v>theater</v>
      </c>
      <c r="S457" t="str">
        <v>plays</v>
      </c>
    </row>
    <row r="458" spans="1:19" ht="34" x14ac:dyDescent="0.2">
      <c r="A458">
        <v>456</v>
      </c>
      <c r="B458" t="s">
        <v>1055</v>
      </c>
      <c r="C458" s="3" t="s">
        <v>1056</v>
      </c>
      <c r="D458">
        <v>146400</v>
      </c>
      <c r="E458">
        <v>152438</v>
      </c>
      <c r="F458" s="5">
        <f t="shared" si="7"/>
        <v>1.041243169398907</v>
      </c>
      <c r="G458" t="s">
        <v>8</v>
      </c>
      <c r="H458">
        <v>1605</v>
      </c>
      <c r="I458" t="s">
        <v>109</v>
      </c>
      <c r="J458" t="s">
        <v>110</v>
      </c>
      <c r="K458" s="4">
        <v>43141.25</v>
      </c>
      <c r="L458" s="4" t="s">
        <v>48</v>
      </c>
      <c r="M458" s="4" t="s">
        <v>169</v>
      </c>
      <c r="N458" s="4">
        <v>43141.25</v>
      </c>
      <c r="O458" t="b">
        <v>0</v>
      </c>
      <c r="P458" t="b">
        <v>1</v>
      </c>
      <c r="Q458" t="s">
        <v>154</v>
      </c>
      <c r="R458" t="str" cm="1">
        <f t="array" ref="R458:S458">_xlfn.TEXTSPLIT(Q458, "/", , FALSE)</f>
        <v>music</v>
      </c>
      <c r="S458" t="str">
        <v>indie rock</v>
      </c>
    </row>
    <row r="459" spans="1:19" ht="17" x14ac:dyDescent="0.2">
      <c r="A459">
        <v>457</v>
      </c>
      <c r="B459" t="s">
        <v>1057</v>
      </c>
      <c r="C459" s="3" t="s">
        <v>1058</v>
      </c>
      <c r="D459">
        <v>5000</v>
      </c>
      <c r="E459">
        <v>1332</v>
      </c>
      <c r="F459" s="5">
        <f t="shared" si="7"/>
        <v>0.26640000000000003</v>
      </c>
      <c r="G459" t="s">
        <v>6</v>
      </c>
      <c r="H459">
        <v>46</v>
      </c>
      <c r="I459" t="s">
        <v>109</v>
      </c>
      <c r="J459" t="s">
        <v>110</v>
      </c>
      <c r="K459" s="4">
        <v>42657.208333333328</v>
      </c>
      <c r="L459" s="4" t="s">
        <v>56</v>
      </c>
      <c r="M459" s="4" t="s">
        <v>153</v>
      </c>
      <c r="N459" s="4">
        <v>42659.208333333328</v>
      </c>
      <c r="O459" t="b">
        <v>0</v>
      </c>
      <c r="P459" t="b">
        <v>0</v>
      </c>
      <c r="Q459" t="s">
        <v>124</v>
      </c>
      <c r="R459" t="str" cm="1">
        <f t="array" ref="R459:S459">_xlfn.TEXTSPLIT(Q459, "/", , FALSE)</f>
        <v>theater</v>
      </c>
      <c r="S459" t="str">
        <v>plays</v>
      </c>
    </row>
    <row r="460" spans="1:19" ht="17" x14ac:dyDescent="0.2">
      <c r="A460">
        <v>458</v>
      </c>
      <c r="B460" t="s">
        <v>1059</v>
      </c>
      <c r="C460" s="3" t="s">
        <v>1060</v>
      </c>
      <c r="D460">
        <v>33800</v>
      </c>
      <c r="E460">
        <v>118706</v>
      </c>
      <c r="F460" s="5">
        <f t="shared" si="7"/>
        <v>3.5120118343195266</v>
      </c>
      <c r="G460" t="s">
        <v>8</v>
      </c>
      <c r="H460">
        <v>2120</v>
      </c>
      <c r="I460" t="s">
        <v>109</v>
      </c>
      <c r="J460" t="s">
        <v>110</v>
      </c>
      <c r="K460" s="4">
        <v>40265.208333333336</v>
      </c>
      <c r="L460" s="4" t="s">
        <v>49</v>
      </c>
      <c r="M460" s="4" t="s">
        <v>140</v>
      </c>
      <c r="N460" s="4">
        <v>40309.208333333336</v>
      </c>
      <c r="O460" t="b">
        <v>0</v>
      </c>
      <c r="P460" t="b">
        <v>0</v>
      </c>
      <c r="Q460" t="s">
        <v>124</v>
      </c>
      <c r="R460" t="str" cm="1">
        <f t="array" ref="R460:S460">_xlfn.TEXTSPLIT(Q460, "/", , FALSE)</f>
        <v>theater</v>
      </c>
      <c r="S460" t="str">
        <v>plays</v>
      </c>
    </row>
    <row r="461" spans="1:19" ht="17" x14ac:dyDescent="0.2">
      <c r="A461">
        <v>459</v>
      </c>
      <c r="B461" t="s">
        <v>1061</v>
      </c>
      <c r="C461" s="3" t="s">
        <v>1062</v>
      </c>
      <c r="D461">
        <v>6300</v>
      </c>
      <c r="E461">
        <v>5674</v>
      </c>
      <c r="F461" s="5">
        <f t="shared" si="7"/>
        <v>0.90063492063492068</v>
      </c>
      <c r="G461" t="s">
        <v>6</v>
      </c>
      <c r="H461">
        <v>105</v>
      </c>
      <c r="I461" t="s">
        <v>109</v>
      </c>
      <c r="J461" t="s">
        <v>110</v>
      </c>
      <c r="K461" s="4">
        <v>42001.25</v>
      </c>
      <c r="L461" s="4" t="s">
        <v>58</v>
      </c>
      <c r="M461" s="4" t="s">
        <v>111</v>
      </c>
      <c r="N461" s="4">
        <v>42026.25</v>
      </c>
      <c r="O461" t="b">
        <v>0</v>
      </c>
      <c r="P461" t="b">
        <v>0</v>
      </c>
      <c r="Q461" t="s">
        <v>135</v>
      </c>
      <c r="R461" t="str" cm="1">
        <f t="array" ref="R461:S461">_xlfn.TEXTSPLIT(Q461, "/", , FALSE)</f>
        <v>film &amp; video</v>
      </c>
      <c r="S461" t="str">
        <v>documentary</v>
      </c>
    </row>
    <row r="462" spans="1:19" ht="17" x14ac:dyDescent="0.2">
      <c r="A462">
        <v>460</v>
      </c>
      <c r="B462" t="s">
        <v>1063</v>
      </c>
      <c r="C462" s="3" t="s">
        <v>1064</v>
      </c>
      <c r="D462">
        <v>2400</v>
      </c>
      <c r="E462">
        <v>4119</v>
      </c>
      <c r="F462" s="5">
        <f t="shared" si="7"/>
        <v>1.7162500000000001</v>
      </c>
      <c r="G462" t="s">
        <v>8</v>
      </c>
      <c r="H462">
        <v>50</v>
      </c>
      <c r="I462" t="s">
        <v>109</v>
      </c>
      <c r="J462" t="s">
        <v>110</v>
      </c>
      <c r="K462" s="4">
        <v>40399.208333333336</v>
      </c>
      <c r="L462" s="4" t="s">
        <v>54</v>
      </c>
      <c r="M462" s="4" t="s">
        <v>140</v>
      </c>
      <c r="N462" s="4">
        <v>40402.208333333336</v>
      </c>
      <c r="O462" t="b">
        <v>0</v>
      </c>
      <c r="P462" t="b">
        <v>0</v>
      </c>
      <c r="Q462" t="s">
        <v>124</v>
      </c>
      <c r="R462" t="str" cm="1">
        <f t="array" ref="R462:S462">_xlfn.TEXTSPLIT(Q462, "/", , FALSE)</f>
        <v>theater</v>
      </c>
      <c r="S462" t="str">
        <v>plays</v>
      </c>
    </row>
    <row r="463" spans="1:19" ht="17" x14ac:dyDescent="0.2">
      <c r="A463">
        <v>461</v>
      </c>
      <c r="B463" t="s">
        <v>1065</v>
      </c>
      <c r="C463" s="3" t="s">
        <v>1066</v>
      </c>
      <c r="D463">
        <v>98800</v>
      </c>
      <c r="E463">
        <v>139354</v>
      </c>
      <c r="F463" s="5">
        <f t="shared" si="7"/>
        <v>1.4104655870445344</v>
      </c>
      <c r="G463" t="s">
        <v>8</v>
      </c>
      <c r="H463">
        <v>2080</v>
      </c>
      <c r="I463" t="s">
        <v>109</v>
      </c>
      <c r="J463" t="s">
        <v>110</v>
      </c>
      <c r="K463" s="4">
        <v>41757.208333333336</v>
      </c>
      <c r="L463" s="4" t="s">
        <v>50</v>
      </c>
      <c r="M463" s="4" t="s">
        <v>111</v>
      </c>
      <c r="N463" s="4">
        <v>41777.208333333336</v>
      </c>
      <c r="O463" t="b">
        <v>0</v>
      </c>
      <c r="P463" t="b">
        <v>0</v>
      </c>
      <c r="Q463" t="s">
        <v>146</v>
      </c>
      <c r="R463" t="str" cm="1">
        <f t="array" ref="R463:S463">_xlfn.TEXTSPLIT(Q463, "/", , FALSE)</f>
        <v>film &amp; video</v>
      </c>
      <c r="S463" t="str">
        <v>drama</v>
      </c>
    </row>
    <row r="464" spans="1:19" ht="17" x14ac:dyDescent="0.2">
      <c r="A464">
        <v>462</v>
      </c>
      <c r="B464" t="s">
        <v>1067</v>
      </c>
      <c r="C464" s="3" t="s">
        <v>1068</v>
      </c>
      <c r="D464">
        <v>188800</v>
      </c>
      <c r="E464">
        <v>57734</v>
      </c>
      <c r="F464" s="5">
        <f t="shared" si="7"/>
        <v>0.30579449152542371</v>
      </c>
      <c r="G464" t="s">
        <v>6</v>
      </c>
      <c r="H464">
        <v>535</v>
      </c>
      <c r="I464" t="s">
        <v>109</v>
      </c>
      <c r="J464" t="s">
        <v>110</v>
      </c>
      <c r="K464" s="4">
        <v>41304.25</v>
      </c>
      <c r="L464" s="4" t="s">
        <v>47</v>
      </c>
      <c r="M464" s="4" t="s">
        <v>117</v>
      </c>
      <c r="N464" s="4">
        <v>41342.25</v>
      </c>
      <c r="O464" t="b">
        <v>0</v>
      </c>
      <c r="P464" t="b">
        <v>0</v>
      </c>
      <c r="Q464" t="s">
        <v>387</v>
      </c>
      <c r="R464" t="str" cm="1">
        <f t="array" ref="R464:S464">_xlfn.TEXTSPLIT(Q464, "/", , FALSE)</f>
        <v>games</v>
      </c>
      <c r="S464" t="str">
        <v>mobile games</v>
      </c>
    </row>
    <row r="465" spans="1:19" ht="34" x14ac:dyDescent="0.2">
      <c r="A465">
        <v>463</v>
      </c>
      <c r="B465" t="s">
        <v>1069</v>
      </c>
      <c r="C465" s="3" t="s">
        <v>1070</v>
      </c>
      <c r="D465">
        <v>134300</v>
      </c>
      <c r="E465">
        <v>145265</v>
      </c>
      <c r="F465" s="5">
        <f t="shared" si="7"/>
        <v>1.0816455696202532</v>
      </c>
      <c r="G465" t="s">
        <v>8</v>
      </c>
      <c r="H465">
        <v>2105</v>
      </c>
      <c r="I465" t="s">
        <v>109</v>
      </c>
      <c r="J465" t="s">
        <v>110</v>
      </c>
      <c r="K465" s="4">
        <v>41639.25</v>
      </c>
      <c r="L465" s="4" t="s">
        <v>58</v>
      </c>
      <c r="M465" s="4" t="s">
        <v>117</v>
      </c>
      <c r="N465" s="4">
        <v>41643.25</v>
      </c>
      <c r="O465" t="b">
        <v>0</v>
      </c>
      <c r="P465" t="b">
        <v>0</v>
      </c>
      <c r="Q465" t="s">
        <v>166</v>
      </c>
      <c r="R465" t="str" cm="1">
        <f t="array" ref="R465:S465">_xlfn.TEXTSPLIT(Q465, "/", , FALSE)</f>
        <v>film &amp; video</v>
      </c>
      <c r="S465" t="str">
        <v>animation</v>
      </c>
    </row>
    <row r="466" spans="1:19" ht="17" x14ac:dyDescent="0.2">
      <c r="A466">
        <v>464</v>
      </c>
      <c r="B466" t="s">
        <v>1071</v>
      </c>
      <c r="C466" s="3" t="s">
        <v>1072</v>
      </c>
      <c r="D466">
        <v>71200</v>
      </c>
      <c r="E466">
        <v>95020</v>
      </c>
      <c r="F466" s="5">
        <f t="shared" si="7"/>
        <v>1.3345505617977529</v>
      </c>
      <c r="G466" t="s">
        <v>8</v>
      </c>
      <c r="H466">
        <v>2436</v>
      </c>
      <c r="I466" t="s">
        <v>109</v>
      </c>
      <c r="J466" t="s">
        <v>110</v>
      </c>
      <c r="K466" s="4">
        <v>43142.25</v>
      </c>
      <c r="L466" s="4" t="s">
        <v>48</v>
      </c>
      <c r="M466" s="4" t="s">
        <v>169</v>
      </c>
      <c r="N466" s="4">
        <v>43156.25</v>
      </c>
      <c r="O466" t="b">
        <v>0</v>
      </c>
      <c r="P466" t="b">
        <v>0</v>
      </c>
      <c r="Q466" t="s">
        <v>124</v>
      </c>
      <c r="R466" t="str" cm="1">
        <f t="array" ref="R466:S466">_xlfn.TEXTSPLIT(Q466, "/", , FALSE)</f>
        <v>theater</v>
      </c>
      <c r="S466" t="str">
        <v>plays</v>
      </c>
    </row>
    <row r="467" spans="1:19" ht="17" x14ac:dyDescent="0.2">
      <c r="A467">
        <v>465</v>
      </c>
      <c r="B467" t="s">
        <v>1073</v>
      </c>
      <c r="C467" s="3" t="s">
        <v>1074</v>
      </c>
      <c r="D467">
        <v>4700</v>
      </c>
      <c r="E467">
        <v>8829</v>
      </c>
      <c r="F467" s="5">
        <f t="shared" si="7"/>
        <v>1.8785106382978722</v>
      </c>
      <c r="G467" t="s">
        <v>8</v>
      </c>
      <c r="H467">
        <v>80</v>
      </c>
      <c r="I467" t="s">
        <v>109</v>
      </c>
      <c r="J467" t="s">
        <v>110</v>
      </c>
      <c r="K467" s="4">
        <v>43127.25</v>
      </c>
      <c r="L467" s="4" t="s">
        <v>47</v>
      </c>
      <c r="M467" s="4" t="s">
        <v>169</v>
      </c>
      <c r="N467" s="4">
        <v>43136.25</v>
      </c>
      <c r="O467" t="b">
        <v>0</v>
      </c>
      <c r="P467" t="b">
        <v>0</v>
      </c>
      <c r="Q467" t="s">
        <v>301</v>
      </c>
      <c r="R467" t="str" cm="1">
        <f t="array" ref="R467:S467">_xlfn.TEXTSPLIT(Q467, "/", , FALSE)</f>
        <v>publishing</v>
      </c>
      <c r="S467" t="str">
        <v>translations</v>
      </c>
    </row>
    <row r="468" spans="1:19" ht="17" x14ac:dyDescent="0.2">
      <c r="A468">
        <v>466</v>
      </c>
      <c r="B468" t="s">
        <v>1075</v>
      </c>
      <c r="C468" s="3" t="s">
        <v>1076</v>
      </c>
      <c r="D468">
        <v>1200</v>
      </c>
      <c r="E468">
        <v>3984</v>
      </c>
      <c r="F468" s="5">
        <f t="shared" si="7"/>
        <v>3.32</v>
      </c>
      <c r="G468" t="s">
        <v>8</v>
      </c>
      <c r="H468">
        <v>42</v>
      </c>
      <c r="I468" t="s">
        <v>109</v>
      </c>
      <c r="J468" t="s">
        <v>110</v>
      </c>
      <c r="K468" s="4">
        <v>41409.208333333336</v>
      </c>
      <c r="L468" s="4" t="s">
        <v>51</v>
      </c>
      <c r="M468" s="4" t="s">
        <v>117</v>
      </c>
      <c r="N468" s="4">
        <v>41432.208333333336</v>
      </c>
      <c r="O468" t="b">
        <v>0</v>
      </c>
      <c r="P468" t="b">
        <v>1</v>
      </c>
      <c r="Q468" t="s">
        <v>159</v>
      </c>
      <c r="R468" t="str" cm="1">
        <f t="array" ref="R468:S468">_xlfn.TEXTSPLIT(Q468, "/", , FALSE)</f>
        <v>technology</v>
      </c>
      <c r="S468" t="str">
        <v>wearables</v>
      </c>
    </row>
    <row r="469" spans="1:19" ht="34" x14ac:dyDescent="0.2">
      <c r="A469">
        <v>467</v>
      </c>
      <c r="B469" t="s">
        <v>1077</v>
      </c>
      <c r="C469" s="3" t="s">
        <v>1078</v>
      </c>
      <c r="D469">
        <v>1400</v>
      </c>
      <c r="E469">
        <v>8053</v>
      </c>
      <c r="F469" s="5">
        <f t="shared" si="7"/>
        <v>5.7521428571428572</v>
      </c>
      <c r="G469" t="s">
        <v>8</v>
      </c>
      <c r="H469">
        <v>139</v>
      </c>
      <c r="I469" t="s">
        <v>103</v>
      </c>
      <c r="J469" t="s">
        <v>104</v>
      </c>
      <c r="K469" s="4">
        <v>42331.25</v>
      </c>
      <c r="L469" s="4" t="s">
        <v>57</v>
      </c>
      <c r="M469" s="4" t="s">
        <v>105</v>
      </c>
      <c r="N469" s="4">
        <v>42338.25</v>
      </c>
      <c r="O469" t="b">
        <v>0</v>
      </c>
      <c r="P469" t="b">
        <v>1</v>
      </c>
      <c r="Q469" t="s">
        <v>118</v>
      </c>
      <c r="R469" t="str" cm="1">
        <f t="array" ref="R469:S469">_xlfn.TEXTSPLIT(Q469, "/", , FALSE)</f>
        <v>technology</v>
      </c>
      <c r="S469" t="str">
        <v>web</v>
      </c>
    </row>
    <row r="470" spans="1:19" ht="17" x14ac:dyDescent="0.2">
      <c r="A470">
        <v>468</v>
      </c>
      <c r="B470" t="s">
        <v>1079</v>
      </c>
      <c r="C470" s="3" t="s">
        <v>1080</v>
      </c>
      <c r="D470">
        <v>4000</v>
      </c>
      <c r="E470">
        <v>1620</v>
      </c>
      <c r="F470" s="5">
        <f t="shared" si="7"/>
        <v>0.40500000000000003</v>
      </c>
      <c r="G470" t="s">
        <v>6</v>
      </c>
      <c r="H470">
        <v>16</v>
      </c>
      <c r="I470" t="s">
        <v>109</v>
      </c>
      <c r="J470" t="s">
        <v>110</v>
      </c>
      <c r="K470" s="4">
        <v>43569.208333333328</v>
      </c>
      <c r="L470" s="4" t="s">
        <v>50</v>
      </c>
      <c r="M470" s="4" t="s">
        <v>121</v>
      </c>
      <c r="N470" s="4">
        <v>43585.208333333328</v>
      </c>
      <c r="O470" t="b">
        <v>0</v>
      </c>
      <c r="P470" t="b">
        <v>0</v>
      </c>
      <c r="Q470" t="s">
        <v>124</v>
      </c>
      <c r="R470" t="str" cm="1">
        <f t="array" ref="R470:S470">_xlfn.TEXTSPLIT(Q470, "/", , FALSE)</f>
        <v>theater</v>
      </c>
      <c r="S470" t="str">
        <v>plays</v>
      </c>
    </row>
    <row r="471" spans="1:19" ht="17" x14ac:dyDescent="0.2">
      <c r="A471">
        <v>469</v>
      </c>
      <c r="B471" t="s">
        <v>1081</v>
      </c>
      <c r="C471" s="3" t="s">
        <v>1082</v>
      </c>
      <c r="D471">
        <v>5600</v>
      </c>
      <c r="E471">
        <v>10328</v>
      </c>
      <c r="F471" s="5">
        <f t="shared" si="7"/>
        <v>1.8442857142857143</v>
      </c>
      <c r="G471" t="s">
        <v>8</v>
      </c>
      <c r="H471">
        <v>159</v>
      </c>
      <c r="I471" t="s">
        <v>109</v>
      </c>
      <c r="J471" t="s">
        <v>110</v>
      </c>
      <c r="K471" s="4">
        <v>42142.208333333328</v>
      </c>
      <c r="L471" s="4" t="s">
        <v>51</v>
      </c>
      <c r="M471" s="4" t="s">
        <v>105</v>
      </c>
      <c r="N471" s="4">
        <v>42144.208333333328</v>
      </c>
      <c r="O471" t="b">
        <v>0</v>
      </c>
      <c r="P471" t="b">
        <v>0</v>
      </c>
      <c r="Q471" t="s">
        <v>146</v>
      </c>
      <c r="R471" t="str" cm="1">
        <f t="array" ref="R471:S471">_xlfn.TEXTSPLIT(Q471, "/", , FALSE)</f>
        <v>film &amp; video</v>
      </c>
      <c r="S471" t="str">
        <v>drama</v>
      </c>
    </row>
    <row r="472" spans="1:19" ht="17" x14ac:dyDescent="0.2">
      <c r="A472">
        <v>470</v>
      </c>
      <c r="B472" t="s">
        <v>1083</v>
      </c>
      <c r="C472" s="3" t="s">
        <v>1084</v>
      </c>
      <c r="D472">
        <v>3600</v>
      </c>
      <c r="E472">
        <v>10289</v>
      </c>
      <c r="F472" s="5">
        <f t="shared" si="7"/>
        <v>2.8580555555555556</v>
      </c>
      <c r="G472" t="s">
        <v>8</v>
      </c>
      <c r="H472">
        <v>381</v>
      </c>
      <c r="I472" t="s">
        <v>109</v>
      </c>
      <c r="J472" t="s">
        <v>110</v>
      </c>
      <c r="K472" s="4">
        <v>42716.25</v>
      </c>
      <c r="L472" s="4" t="s">
        <v>58</v>
      </c>
      <c r="M472" s="4" t="s">
        <v>153</v>
      </c>
      <c r="N472" s="4">
        <v>42723.25</v>
      </c>
      <c r="O472" t="b">
        <v>0</v>
      </c>
      <c r="P472" t="b">
        <v>0</v>
      </c>
      <c r="Q472" t="s">
        <v>159</v>
      </c>
      <c r="R472" t="str" cm="1">
        <f t="array" ref="R472:S472">_xlfn.TEXTSPLIT(Q472, "/", , FALSE)</f>
        <v>technology</v>
      </c>
      <c r="S472" t="str">
        <v>wearables</v>
      </c>
    </row>
    <row r="473" spans="1:19" ht="17" x14ac:dyDescent="0.2">
      <c r="A473">
        <v>471</v>
      </c>
      <c r="B473" t="s">
        <v>541</v>
      </c>
      <c r="C473" s="3" t="s">
        <v>1085</v>
      </c>
      <c r="D473">
        <v>3100</v>
      </c>
      <c r="E473">
        <v>9889</v>
      </c>
      <c r="F473" s="5">
        <f t="shared" si="7"/>
        <v>3.19</v>
      </c>
      <c r="G473" t="s">
        <v>8</v>
      </c>
      <c r="H473">
        <v>194</v>
      </c>
      <c r="I473" t="s">
        <v>132</v>
      </c>
      <c r="J473" t="s">
        <v>133</v>
      </c>
      <c r="K473" s="4">
        <v>41031.208333333336</v>
      </c>
      <c r="L473" s="4" t="s">
        <v>51</v>
      </c>
      <c r="M473" s="4" t="s">
        <v>129</v>
      </c>
      <c r="N473" s="4">
        <v>41031.208333333336</v>
      </c>
      <c r="O473" t="b">
        <v>0</v>
      </c>
      <c r="P473" t="b">
        <v>1</v>
      </c>
      <c r="Q473" t="s">
        <v>106</v>
      </c>
      <c r="R473" t="str" cm="1">
        <f t="array" ref="R473:S473">_xlfn.TEXTSPLIT(Q473, "/", , FALSE)</f>
        <v>food</v>
      </c>
      <c r="S473" t="str">
        <v>food trucks</v>
      </c>
    </row>
    <row r="474" spans="1:19" ht="34" x14ac:dyDescent="0.2">
      <c r="A474">
        <v>472</v>
      </c>
      <c r="B474" t="s">
        <v>1086</v>
      </c>
      <c r="C474" s="3" t="s">
        <v>1087</v>
      </c>
      <c r="D474">
        <v>153800</v>
      </c>
      <c r="E474">
        <v>60342</v>
      </c>
      <c r="F474" s="5">
        <f t="shared" si="7"/>
        <v>0.39234070221066319</v>
      </c>
      <c r="G474" t="s">
        <v>6</v>
      </c>
      <c r="H474">
        <v>575</v>
      </c>
      <c r="I474" t="s">
        <v>109</v>
      </c>
      <c r="J474" t="s">
        <v>110</v>
      </c>
      <c r="K474" s="4">
        <v>43535.208333333328</v>
      </c>
      <c r="L474" s="4" t="s">
        <v>49</v>
      </c>
      <c r="M474" s="4" t="s">
        <v>121</v>
      </c>
      <c r="N474" s="4">
        <v>43589.208333333328</v>
      </c>
      <c r="O474" t="b">
        <v>0</v>
      </c>
      <c r="P474" t="b">
        <v>0</v>
      </c>
      <c r="Q474" t="s">
        <v>112</v>
      </c>
      <c r="R474" t="str" cm="1">
        <f t="array" ref="R474:S474">_xlfn.TEXTSPLIT(Q474, "/", , FALSE)</f>
        <v>music</v>
      </c>
      <c r="S474" t="str">
        <v>rock</v>
      </c>
    </row>
    <row r="475" spans="1:19" ht="17" x14ac:dyDescent="0.2">
      <c r="A475">
        <v>473</v>
      </c>
      <c r="B475" t="s">
        <v>1088</v>
      </c>
      <c r="C475" s="3" t="s">
        <v>1089</v>
      </c>
      <c r="D475">
        <v>5000</v>
      </c>
      <c r="E475">
        <v>8907</v>
      </c>
      <c r="F475" s="5">
        <f t="shared" si="7"/>
        <v>1.7814000000000001</v>
      </c>
      <c r="G475" t="s">
        <v>8</v>
      </c>
      <c r="H475">
        <v>106</v>
      </c>
      <c r="I475" t="s">
        <v>109</v>
      </c>
      <c r="J475" t="s">
        <v>110</v>
      </c>
      <c r="K475" s="4">
        <v>43277.208333333328</v>
      </c>
      <c r="L475" s="4" t="s">
        <v>52</v>
      </c>
      <c r="M475" s="4" t="s">
        <v>169</v>
      </c>
      <c r="N475" s="4">
        <v>43278.208333333328</v>
      </c>
      <c r="O475" t="b">
        <v>0</v>
      </c>
      <c r="P475" t="b">
        <v>0</v>
      </c>
      <c r="Q475" t="s">
        <v>143</v>
      </c>
      <c r="R475" t="str" cm="1">
        <f t="array" ref="R475:S475">_xlfn.TEXTSPLIT(Q475, "/", , FALSE)</f>
        <v>music</v>
      </c>
      <c r="S475" t="str">
        <v>electric music</v>
      </c>
    </row>
    <row r="476" spans="1:19" ht="17" x14ac:dyDescent="0.2">
      <c r="A476">
        <v>474</v>
      </c>
      <c r="B476" t="s">
        <v>1090</v>
      </c>
      <c r="C476" s="3" t="s">
        <v>1091</v>
      </c>
      <c r="D476">
        <v>4000</v>
      </c>
      <c r="E476">
        <v>14606</v>
      </c>
      <c r="F476" s="5">
        <f t="shared" si="7"/>
        <v>3.6515</v>
      </c>
      <c r="G476" t="s">
        <v>8</v>
      </c>
      <c r="H476">
        <v>142</v>
      </c>
      <c r="I476" t="s">
        <v>109</v>
      </c>
      <c r="J476" t="s">
        <v>110</v>
      </c>
      <c r="K476" s="4">
        <v>41989.25</v>
      </c>
      <c r="L476" s="4" t="s">
        <v>58</v>
      </c>
      <c r="M476" s="4" t="s">
        <v>111</v>
      </c>
      <c r="N476" s="4">
        <v>41990.25</v>
      </c>
      <c r="O476" t="b">
        <v>0</v>
      </c>
      <c r="P476" t="b">
        <v>0</v>
      </c>
      <c r="Q476" t="s">
        <v>364</v>
      </c>
      <c r="R476" t="str" cm="1">
        <f t="array" ref="R476:S476">_xlfn.TEXTSPLIT(Q476, "/", , FALSE)</f>
        <v>film &amp; video</v>
      </c>
      <c r="S476" t="str">
        <v>television</v>
      </c>
    </row>
    <row r="477" spans="1:19" ht="34" x14ac:dyDescent="0.2">
      <c r="A477">
        <v>475</v>
      </c>
      <c r="B477" t="s">
        <v>1092</v>
      </c>
      <c r="C477" s="3" t="s">
        <v>1093</v>
      </c>
      <c r="D477">
        <v>7400</v>
      </c>
      <c r="E477">
        <v>8432</v>
      </c>
      <c r="F477" s="5">
        <f t="shared" si="7"/>
        <v>1.1394594594594594</v>
      </c>
      <c r="G477" t="s">
        <v>8</v>
      </c>
      <c r="H477">
        <v>211</v>
      </c>
      <c r="I477" t="s">
        <v>109</v>
      </c>
      <c r="J477" t="s">
        <v>110</v>
      </c>
      <c r="K477" s="4">
        <v>41450.208333333336</v>
      </c>
      <c r="L477" s="4" t="s">
        <v>52</v>
      </c>
      <c r="M477" s="4" t="s">
        <v>117</v>
      </c>
      <c r="N477" s="4">
        <v>41454.208333333336</v>
      </c>
      <c r="O477" t="b">
        <v>0</v>
      </c>
      <c r="P477" t="b">
        <v>1</v>
      </c>
      <c r="Q477" t="s">
        <v>301</v>
      </c>
      <c r="R477" t="str" cm="1">
        <f t="array" ref="R477:S477">_xlfn.TEXTSPLIT(Q477, "/", , FALSE)</f>
        <v>publishing</v>
      </c>
      <c r="S477" t="str">
        <v>translations</v>
      </c>
    </row>
    <row r="478" spans="1:19" ht="34" x14ac:dyDescent="0.2">
      <c r="A478">
        <v>476</v>
      </c>
      <c r="B478" t="s">
        <v>1094</v>
      </c>
      <c r="C478" s="3" t="s">
        <v>1095</v>
      </c>
      <c r="D478">
        <v>191500</v>
      </c>
      <c r="E478">
        <v>57122</v>
      </c>
      <c r="F478" s="5">
        <f t="shared" si="7"/>
        <v>0.29828720626631855</v>
      </c>
      <c r="G478" t="s">
        <v>6</v>
      </c>
      <c r="H478">
        <v>1120</v>
      </c>
      <c r="I478" t="s">
        <v>109</v>
      </c>
      <c r="J478" t="s">
        <v>110</v>
      </c>
      <c r="K478" s="4">
        <v>43322.208333333328</v>
      </c>
      <c r="L478" s="4" t="s">
        <v>54</v>
      </c>
      <c r="M478" s="4" t="s">
        <v>169</v>
      </c>
      <c r="N478" s="4">
        <v>43328.208333333328</v>
      </c>
      <c r="O478" t="b">
        <v>0</v>
      </c>
      <c r="P478" t="b">
        <v>0</v>
      </c>
      <c r="Q478" t="s">
        <v>214</v>
      </c>
      <c r="R478" t="str" cm="1">
        <f t="array" ref="R478:S478">_xlfn.TEXTSPLIT(Q478, "/", , FALSE)</f>
        <v>publishing</v>
      </c>
      <c r="S478" t="str">
        <v>fiction</v>
      </c>
    </row>
    <row r="479" spans="1:19" ht="17" x14ac:dyDescent="0.2">
      <c r="A479">
        <v>477</v>
      </c>
      <c r="B479" t="s">
        <v>1096</v>
      </c>
      <c r="C479" s="3" t="s">
        <v>1097</v>
      </c>
      <c r="D479">
        <v>8500</v>
      </c>
      <c r="E479">
        <v>4613</v>
      </c>
      <c r="F479" s="5">
        <f t="shared" si="7"/>
        <v>0.54270588235294115</v>
      </c>
      <c r="G479" t="s">
        <v>6</v>
      </c>
      <c r="H479">
        <v>113</v>
      </c>
      <c r="I479" t="s">
        <v>109</v>
      </c>
      <c r="J479" t="s">
        <v>110</v>
      </c>
      <c r="K479" s="4">
        <v>40720.208333333336</v>
      </c>
      <c r="L479" s="4" t="s">
        <v>52</v>
      </c>
      <c r="M479" s="4" t="s">
        <v>165</v>
      </c>
      <c r="N479" s="4">
        <v>40747.208333333336</v>
      </c>
      <c r="O479" t="b">
        <v>0</v>
      </c>
      <c r="P479" t="b">
        <v>0</v>
      </c>
      <c r="Q479" t="s">
        <v>569</v>
      </c>
      <c r="R479" t="str" cm="1">
        <f t="array" ref="R479:S479">_xlfn.TEXTSPLIT(Q479, "/", , FALSE)</f>
        <v>film &amp; video</v>
      </c>
      <c r="S479" t="str">
        <v>science fiction</v>
      </c>
    </row>
    <row r="480" spans="1:19" ht="17" x14ac:dyDescent="0.2">
      <c r="A480">
        <v>478</v>
      </c>
      <c r="B480" t="s">
        <v>1098</v>
      </c>
      <c r="C480" s="3" t="s">
        <v>1099</v>
      </c>
      <c r="D480">
        <v>68800</v>
      </c>
      <c r="E480">
        <v>162603</v>
      </c>
      <c r="F480" s="5">
        <f t="shared" si="7"/>
        <v>2.3634156976744185</v>
      </c>
      <c r="G480" t="s">
        <v>8</v>
      </c>
      <c r="H480">
        <v>2756</v>
      </c>
      <c r="I480" t="s">
        <v>109</v>
      </c>
      <c r="J480" t="s">
        <v>110</v>
      </c>
      <c r="K480" s="4">
        <v>42072.208333333328</v>
      </c>
      <c r="L480" s="4" t="s">
        <v>49</v>
      </c>
      <c r="M480" s="4" t="s">
        <v>105</v>
      </c>
      <c r="N480" s="4">
        <v>42084.208333333328</v>
      </c>
      <c r="O480" t="b">
        <v>0</v>
      </c>
      <c r="P480" t="b">
        <v>0</v>
      </c>
      <c r="Q480" t="s">
        <v>159</v>
      </c>
      <c r="R480" t="str" cm="1">
        <f t="array" ref="R480:S480">_xlfn.TEXTSPLIT(Q480, "/", , FALSE)</f>
        <v>technology</v>
      </c>
      <c r="S480" t="str">
        <v>wearables</v>
      </c>
    </row>
    <row r="481" spans="1:19" ht="17" x14ac:dyDescent="0.2">
      <c r="A481">
        <v>479</v>
      </c>
      <c r="B481" t="s">
        <v>1100</v>
      </c>
      <c r="C481" s="3" t="s">
        <v>1101</v>
      </c>
      <c r="D481">
        <v>2400</v>
      </c>
      <c r="E481">
        <v>12310</v>
      </c>
      <c r="F481" s="5">
        <f t="shared" si="7"/>
        <v>5.1291666666666664</v>
      </c>
      <c r="G481" t="s">
        <v>8</v>
      </c>
      <c r="H481">
        <v>173</v>
      </c>
      <c r="I481" t="s">
        <v>132</v>
      </c>
      <c r="J481" t="s">
        <v>133</v>
      </c>
      <c r="K481" s="4">
        <v>42945.208333333328</v>
      </c>
      <c r="L481" s="4" t="s">
        <v>53</v>
      </c>
      <c r="M481" s="4" t="s">
        <v>134</v>
      </c>
      <c r="N481" s="4">
        <v>42947.208333333328</v>
      </c>
      <c r="O481" t="b">
        <v>0</v>
      </c>
      <c r="P481" t="b">
        <v>0</v>
      </c>
      <c r="Q481" t="s">
        <v>106</v>
      </c>
      <c r="R481" t="str" cm="1">
        <f t="array" ref="R481:S481">_xlfn.TEXTSPLIT(Q481, "/", , FALSE)</f>
        <v>food</v>
      </c>
      <c r="S481" t="str">
        <v>food trucks</v>
      </c>
    </row>
    <row r="482" spans="1:19" ht="17" x14ac:dyDescent="0.2">
      <c r="A482">
        <v>480</v>
      </c>
      <c r="B482" t="s">
        <v>1102</v>
      </c>
      <c r="C482" s="3" t="s">
        <v>1103</v>
      </c>
      <c r="D482">
        <v>8600</v>
      </c>
      <c r="E482">
        <v>8656</v>
      </c>
      <c r="F482" s="5">
        <f t="shared" si="7"/>
        <v>1.0065116279069768</v>
      </c>
      <c r="G482" t="s">
        <v>8</v>
      </c>
      <c r="H482">
        <v>87</v>
      </c>
      <c r="I482" t="s">
        <v>109</v>
      </c>
      <c r="J482" t="s">
        <v>110</v>
      </c>
      <c r="K482" s="4">
        <v>40248.25</v>
      </c>
      <c r="L482" s="4" t="s">
        <v>49</v>
      </c>
      <c r="M482" s="4" t="s">
        <v>140</v>
      </c>
      <c r="N482" s="4">
        <v>40257.208333333336</v>
      </c>
      <c r="O482" t="b">
        <v>0</v>
      </c>
      <c r="P482" t="b">
        <v>1</v>
      </c>
      <c r="Q482" t="s">
        <v>217</v>
      </c>
      <c r="R482" t="str" cm="1">
        <f t="array" ref="R482:S482">_xlfn.TEXTSPLIT(Q482, "/", , FALSE)</f>
        <v>photography</v>
      </c>
      <c r="S482" t="str">
        <v>photography books</v>
      </c>
    </row>
    <row r="483" spans="1:19" ht="34" x14ac:dyDescent="0.2">
      <c r="A483">
        <v>481</v>
      </c>
      <c r="B483" t="s">
        <v>1104</v>
      </c>
      <c r="C483" s="3" t="s">
        <v>1105</v>
      </c>
      <c r="D483">
        <v>196600</v>
      </c>
      <c r="E483">
        <v>159931</v>
      </c>
      <c r="F483" s="5">
        <f t="shared" si="7"/>
        <v>0.81348423194303154</v>
      </c>
      <c r="G483" t="s">
        <v>6</v>
      </c>
      <c r="H483">
        <v>1538</v>
      </c>
      <c r="I483" t="s">
        <v>109</v>
      </c>
      <c r="J483" t="s">
        <v>110</v>
      </c>
      <c r="K483" s="4">
        <v>41913.208333333336</v>
      </c>
      <c r="L483" s="4" t="s">
        <v>56</v>
      </c>
      <c r="M483" s="4" t="s">
        <v>111</v>
      </c>
      <c r="N483" s="4">
        <v>41955.25</v>
      </c>
      <c r="O483" t="b">
        <v>0</v>
      </c>
      <c r="P483" t="b">
        <v>1</v>
      </c>
      <c r="Q483" t="s">
        <v>124</v>
      </c>
      <c r="R483" t="str" cm="1">
        <f t="array" ref="R483:S483">_xlfn.TEXTSPLIT(Q483, "/", , FALSE)</f>
        <v>theater</v>
      </c>
      <c r="S483" t="str">
        <v>plays</v>
      </c>
    </row>
    <row r="484" spans="1:19" ht="34" x14ac:dyDescent="0.2">
      <c r="A484">
        <v>482</v>
      </c>
      <c r="B484" t="s">
        <v>1106</v>
      </c>
      <c r="C484" s="3" t="s">
        <v>1107</v>
      </c>
      <c r="D484">
        <v>4200</v>
      </c>
      <c r="E484">
        <v>689</v>
      </c>
      <c r="F484" s="5">
        <f t="shared" si="7"/>
        <v>0.16404761904761905</v>
      </c>
      <c r="G484" t="s">
        <v>6</v>
      </c>
      <c r="H484">
        <v>9</v>
      </c>
      <c r="I484" t="s">
        <v>109</v>
      </c>
      <c r="J484" t="s">
        <v>110</v>
      </c>
      <c r="K484" s="4">
        <v>40963.25</v>
      </c>
      <c r="L484" s="4" t="s">
        <v>48</v>
      </c>
      <c r="M484" s="4" t="s">
        <v>129</v>
      </c>
      <c r="N484" s="4">
        <v>40974.25</v>
      </c>
      <c r="O484" t="b">
        <v>0</v>
      </c>
      <c r="P484" t="b">
        <v>1</v>
      </c>
      <c r="Q484" t="s">
        <v>214</v>
      </c>
      <c r="R484" t="str" cm="1">
        <f t="array" ref="R484:S484">_xlfn.TEXTSPLIT(Q484, "/", , FALSE)</f>
        <v>publishing</v>
      </c>
      <c r="S484" t="str">
        <v>fiction</v>
      </c>
    </row>
    <row r="485" spans="1:19" ht="17" x14ac:dyDescent="0.2">
      <c r="A485">
        <v>483</v>
      </c>
      <c r="B485" t="s">
        <v>1108</v>
      </c>
      <c r="C485" s="3" t="s">
        <v>1109</v>
      </c>
      <c r="D485">
        <v>91400</v>
      </c>
      <c r="E485">
        <v>48236</v>
      </c>
      <c r="F485" s="5">
        <f t="shared" si="7"/>
        <v>0.52774617067833696</v>
      </c>
      <c r="G485" t="s">
        <v>6</v>
      </c>
      <c r="H485">
        <v>554</v>
      </c>
      <c r="I485" t="s">
        <v>109</v>
      </c>
      <c r="J485" t="s">
        <v>110</v>
      </c>
      <c r="K485" s="4">
        <v>43811.25</v>
      </c>
      <c r="L485" s="4" t="s">
        <v>58</v>
      </c>
      <c r="M485" s="4" t="s">
        <v>121</v>
      </c>
      <c r="N485" s="4">
        <v>43818.25</v>
      </c>
      <c r="O485" t="b">
        <v>0</v>
      </c>
      <c r="P485" t="b">
        <v>0</v>
      </c>
      <c r="Q485" t="s">
        <v>124</v>
      </c>
      <c r="R485" t="str" cm="1">
        <f t="array" ref="R485:S485">_xlfn.TEXTSPLIT(Q485, "/", , FALSE)</f>
        <v>theater</v>
      </c>
      <c r="S485" t="str">
        <v>plays</v>
      </c>
    </row>
    <row r="486" spans="1:19" ht="17" x14ac:dyDescent="0.2">
      <c r="A486">
        <v>484</v>
      </c>
      <c r="B486" t="s">
        <v>1110</v>
      </c>
      <c r="C486" s="3" t="s">
        <v>1111</v>
      </c>
      <c r="D486">
        <v>29600</v>
      </c>
      <c r="E486">
        <v>77021</v>
      </c>
      <c r="F486" s="5">
        <f t="shared" si="7"/>
        <v>2.6020608108108108</v>
      </c>
      <c r="G486" t="s">
        <v>8</v>
      </c>
      <c r="H486">
        <v>1572</v>
      </c>
      <c r="I486" t="s">
        <v>132</v>
      </c>
      <c r="J486" t="s">
        <v>133</v>
      </c>
      <c r="K486" s="4">
        <v>41855.208333333336</v>
      </c>
      <c r="L486" s="4" t="s">
        <v>54</v>
      </c>
      <c r="M486" s="4" t="s">
        <v>111</v>
      </c>
      <c r="N486" s="4">
        <v>41904.208333333336</v>
      </c>
      <c r="O486" t="b">
        <v>0</v>
      </c>
      <c r="P486" t="b">
        <v>1</v>
      </c>
      <c r="Q486" t="s">
        <v>106</v>
      </c>
      <c r="R486" t="str" cm="1">
        <f t="array" ref="R486:S486">_xlfn.TEXTSPLIT(Q486, "/", , FALSE)</f>
        <v>food</v>
      </c>
      <c r="S486" t="str">
        <v>food trucks</v>
      </c>
    </row>
    <row r="487" spans="1:19" ht="34" x14ac:dyDescent="0.2">
      <c r="A487">
        <v>485</v>
      </c>
      <c r="B487" t="s">
        <v>1112</v>
      </c>
      <c r="C487" s="3" t="s">
        <v>1113</v>
      </c>
      <c r="D487">
        <v>90600</v>
      </c>
      <c r="E487">
        <v>27844</v>
      </c>
      <c r="F487" s="5">
        <f t="shared" si="7"/>
        <v>0.30732891832229581</v>
      </c>
      <c r="G487" t="s">
        <v>6</v>
      </c>
      <c r="H487">
        <v>648</v>
      </c>
      <c r="I487" t="s">
        <v>132</v>
      </c>
      <c r="J487" t="s">
        <v>133</v>
      </c>
      <c r="K487" s="4">
        <v>43626.208333333328</v>
      </c>
      <c r="L487" s="4" t="s">
        <v>52</v>
      </c>
      <c r="M487" s="4" t="s">
        <v>121</v>
      </c>
      <c r="N487" s="4">
        <v>43667.208333333328</v>
      </c>
      <c r="O487" t="b">
        <v>0</v>
      </c>
      <c r="P487" t="b">
        <v>0</v>
      </c>
      <c r="Q487" t="s">
        <v>124</v>
      </c>
      <c r="R487" t="str" cm="1">
        <f t="array" ref="R487:S487">_xlfn.TEXTSPLIT(Q487, "/", , FALSE)</f>
        <v>theater</v>
      </c>
      <c r="S487" t="str">
        <v>plays</v>
      </c>
    </row>
    <row r="488" spans="1:19" ht="34" x14ac:dyDescent="0.2">
      <c r="A488">
        <v>486</v>
      </c>
      <c r="B488" t="s">
        <v>1114</v>
      </c>
      <c r="C488" s="3" t="s">
        <v>1115</v>
      </c>
      <c r="D488">
        <v>5200</v>
      </c>
      <c r="E488">
        <v>702</v>
      </c>
      <c r="F488" s="5">
        <f t="shared" si="7"/>
        <v>0.13500000000000001</v>
      </c>
      <c r="G488" t="s">
        <v>6</v>
      </c>
      <c r="H488">
        <v>21</v>
      </c>
      <c r="I488" t="s">
        <v>132</v>
      </c>
      <c r="J488" t="s">
        <v>133</v>
      </c>
      <c r="K488" s="4">
        <v>43168.25</v>
      </c>
      <c r="L488" s="4" t="s">
        <v>49</v>
      </c>
      <c r="M488" s="4" t="s">
        <v>169</v>
      </c>
      <c r="N488" s="4">
        <v>43183.208333333328</v>
      </c>
      <c r="O488" t="b">
        <v>0</v>
      </c>
      <c r="P488" t="b">
        <v>1</v>
      </c>
      <c r="Q488" t="s">
        <v>301</v>
      </c>
      <c r="R488" t="str" cm="1">
        <f t="array" ref="R488:S488">_xlfn.TEXTSPLIT(Q488, "/", , FALSE)</f>
        <v>publishing</v>
      </c>
      <c r="S488" t="str">
        <v>translations</v>
      </c>
    </row>
    <row r="489" spans="1:19" ht="17" x14ac:dyDescent="0.2">
      <c r="A489">
        <v>487</v>
      </c>
      <c r="B489" t="s">
        <v>1116</v>
      </c>
      <c r="C489" s="3" t="s">
        <v>1117</v>
      </c>
      <c r="D489">
        <v>110300</v>
      </c>
      <c r="E489">
        <v>197024</v>
      </c>
      <c r="F489" s="5">
        <f t="shared" si="7"/>
        <v>1.7862556663644606</v>
      </c>
      <c r="G489" t="s">
        <v>8</v>
      </c>
      <c r="H489">
        <v>2346</v>
      </c>
      <c r="I489" t="s">
        <v>109</v>
      </c>
      <c r="J489" t="s">
        <v>110</v>
      </c>
      <c r="K489" s="4">
        <v>42845.208333333328</v>
      </c>
      <c r="L489" s="4" t="s">
        <v>50</v>
      </c>
      <c r="M489" s="4" t="s">
        <v>134</v>
      </c>
      <c r="N489" s="4">
        <v>42878.208333333328</v>
      </c>
      <c r="O489" t="b">
        <v>0</v>
      </c>
      <c r="P489" t="b">
        <v>0</v>
      </c>
      <c r="Q489" t="s">
        <v>124</v>
      </c>
      <c r="R489" t="str" cm="1">
        <f t="array" ref="R489:S489">_xlfn.TEXTSPLIT(Q489, "/", , FALSE)</f>
        <v>theater</v>
      </c>
      <c r="S489" t="str">
        <v>plays</v>
      </c>
    </row>
    <row r="490" spans="1:19" ht="17" x14ac:dyDescent="0.2">
      <c r="A490">
        <v>488</v>
      </c>
      <c r="B490" t="s">
        <v>1118</v>
      </c>
      <c r="C490" s="3" t="s">
        <v>1119</v>
      </c>
      <c r="D490">
        <v>5300</v>
      </c>
      <c r="E490">
        <v>11663</v>
      </c>
      <c r="F490" s="5">
        <f t="shared" si="7"/>
        <v>2.2005660377358489</v>
      </c>
      <c r="G490" t="s">
        <v>8</v>
      </c>
      <c r="H490">
        <v>115</v>
      </c>
      <c r="I490" t="s">
        <v>109</v>
      </c>
      <c r="J490" t="s">
        <v>110</v>
      </c>
      <c r="K490" s="4">
        <v>42403.25</v>
      </c>
      <c r="L490" s="4" t="s">
        <v>48</v>
      </c>
      <c r="M490" s="4" t="s">
        <v>153</v>
      </c>
      <c r="N490" s="4">
        <v>42420.25</v>
      </c>
      <c r="O490" t="b">
        <v>0</v>
      </c>
      <c r="P490" t="b">
        <v>0</v>
      </c>
      <c r="Q490" t="s">
        <v>124</v>
      </c>
      <c r="R490" t="str" cm="1">
        <f t="array" ref="R490:S490">_xlfn.TEXTSPLIT(Q490, "/", , FALSE)</f>
        <v>theater</v>
      </c>
      <c r="S490" t="str">
        <v>plays</v>
      </c>
    </row>
    <row r="491" spans="1:19" ht="17" x14ac:dyDescent="0.2">
      <c r="A491">
        <v>489</v>
      </c>
      <c r="B491" t="s">
        <v>1120</v>
      </c>
      <c r="C491" s="3" t="s">
        <v>1121</v>
      </c>
      <c r="D491">
        <v>9200</v>
      </c>
      <c r="E491">
        <v>9339</v>
      </c>
      <c r="F491" s="5">
        <f t="shared" si="7"/>
        <v>1.015108695652174</v>
      </c>
      <c r="G491" t="s">
        <v>8</v>
      </c>
      <c r="H491">
        <v>85</v>
      </c>
      <c r="I491" t="s">
        <v>202</v>
      </c>
      <c r="J491" t="s">
        <v>203</v>
      </c>
      <c r="K491" s="4">
        <v>40406.208333333336</v>
      </c>
      <c r="L491" s="4" t="s">
        <v>54</v>
      </c>
      <c r="M491" s="4" t="s">
        <v>140</v>
      </c>
      <c r="N491" s="4">
        <v>40411.208333333336</v>
      </c>
      <c r="O491" t="b">
        <v>0</v>
      </c>
      <c r="P491" t="b">
        <v>0</v>
      </c>
      <c r="Q491" t="s">
        <v>159</v>
      </c>
      <c r="R491" t="str" cm="1">
        <f t="array" ref="R491:S491">_xlfn.TEXTSPLIT(Q491, "/", , FALSE)</f>
        <v>technology</v>
      </c>
      <c r="S491" t="str">
        <v>wearables</v>
      </c>
    </row>
    <row r="492" spans="1:19" ht="17" x14ac:dyDescent="0.2">
      <c r="A492">
        <v>490</v>
      </c>
      <c r="B492" t="s">
        <v>1122</v>
      </c>
      <c r="C492" s="3" t="s">
        <v>1123</v>
      </c>
      <c r="D492">
        <v>2400</v>
      </c>
      <c r="E492">
        <v>4596</v>
      </c>
      <c r="F492" s="5">
        <f t="shared" si="7"/>
        <v>1.915</v>
      </c>
      <c r="G492" t="s">
        <v>8</v>
      </c>
      <c r="H492">
        <v>144</v>
      </c>
      <c r="I492" t="s">
        <v>109</v>
      </c>
      <c r="J492" t="s">
        <v>110</v>
      </c>
      <c r="K492" s="4">
        <v>43786.25</v>
      </c>
      <c r="L492" s="4" t="s">
        <v>57</v>
      </c>
      <c r="M492" s="4" t="s">
        <v>121</v>
      </c>
      <c r="N492" s="4">
        <v>43793.25</v>
      </c>
      <c r="O492" t="b">
        <v>0</v>
      </c>
      <c r="P492" t="b">
        <v>0</v>
      </c>
      <c r="Q492" t="s">
        <v>1124</v>
      </c>
      <c r="R492" t="str" cm="1">
        <f t="array" ref="R492:S492">_xlfn.TEXTSPLIT(Q492, "/", , FALSE)</f>
        <v>journalism</v>
      </c>
      <c r="S492" t="str">
        <v>audio</v>
      </c>
    </row>
    <row r="493" spans="1:19" ht="34" x14ac:dyDescent="0.2">
      <c r="A493">
        <v>491</v>
      </c>
      <c r="B493" t="s">
        <v>1125</v>
      </c>
      <c r="C493" s="3" t="s">
        <v>1126</v>
      </c>
      <c r="D493">
        <v>56800</v>
      </c>
      <c r="E493">
        <v>173437</v>
      </c>
      <c r="F493" s="5">
        <f t="shared" si="7"/>
        <v>3.0534683098591549</v>
      </c>
      <c r="G493" t="s">
        <v>8</v>
      </c>
      <c r="H493">
        <v>2443</v>
      </c>
      <c r="I493" t="s">
        <v>109</v>
      </c>
      <c r="J493" t="s">
        <v>110</v>
      </c>
      <c r="K493" s="4">
        <v>41456.208333333336</v>
      </c>
      <c r="L493" s="4" t="s">
        <v>53</v>
      </c>
      <c r="M493" s="4" t="s">
        <v>117</v>
      </c>
      <c r="N493" s="4">
        <v>41482.208333333336</v>
      </c>
      <c r="O493" t="b">
        <v>0</v>
      </c>
      <c r="P493" t="b">
        <v>1</v>
      </c>
      <c r="Q493" t="s">
        <v>106</v>
      </c>
      <c r="R493" t="str" cm="1">
        <f t="array" ref="R493:S493">_xlfn.TEXTSPLIT(Q493, "/", , FALSE)</f>
        <v>food</v>
      </c>
      <c r="S493" t="str">
        <v>food trucks</v>
      </c>
    </row>
    <row r="494" spans="1:19" ht="17" x14ac:dyDescent="0.2">
      <c r="A494">
        <v>492</v>
      </c>
      <c r="B494" t="s">
        <v>1127</v>
      </c>
      <c r="C494" s="3" t="s">
        <v>1128</v>
      </c>
      <c r="D494">
        <v>191000</v>
      </c>
      <c r="E494">
        <v>45831</v>
      </c>
      <c r="F494" s="5">
        <f t="shared" si="7"/>
        <v>0.23995287958115183</v>
      </c>
      <c r="G494" t="s">
        <v>5</v>
      </c>
      <c r="H494">
        <v>595</v>
      </c>
      <c r="I494" t="s">
        <v>109</v>
      </c>
      <c r="J494" t="s">
        <v>110</v>
      </c>
      <c r="K494" s="4">
        <v>40336.208333333336</v>
      </c>
      <c r="L494" s="4" t="s">
        <v>52</v>
      </c>
      <c r="M494" s="4" t="s">
        <v>140</v>
      </c>
      <c r="N494" s="4">
        <v>40371.208333333336</v>
      </c>
      <c r="O494" t="b">
        <v>1</v>
      </c>
      <c r="P494" t="b">
        <v>1</v>
      </c>
      <c r="Q494" t="s">
        <v>195</v>
      </c>
      <c r="R494" t="str" cm="1">
        <f t="array" ref="R494:S494">_xlfn.TEXTSPLIT(Q494, "/", , FALSE)</f>
        <v>film &amp; video</v>
      </c>
      <c r="S494" t="str">
        <v>shorts</v>
      </c>
    </row>
    <row r="495" spans="1:19" ht="17" x14ac:dyDescent="0.2">
      <c r="A495">
        <v>493</v>
      </c>
      <c r="B495" t="s">
        <v>1129</v>
      </c>
      <c r="C495" s="3" t="s">
        <v>1130</v>
      </c>
      <c r="D495">
        <v>900</v>
      </c>
      <c r="E495">
        <v>6514</v>
      </c>
      <c r="F495" s="5">
        <f t="shared" si="7"/>
        <v>7.2377777777777776</v>
      </c>
      <c r="G495" t="s">
        <v>8</v>
      </c>
      <c r="H495">
        <v>64</v>
      </c>
      <c r="I495" t="s">
        <v>109</v>
      </c>
      <c r="J495" t="s">
        <v>110</v>
      </c>
      <c r="K495" s="4">
        <v>43645.208333333328</v>
      </c>
      <c r="L495" s="4" t="s">
        <v>52</v>
      </c>
      <c r="M495" s="4" t="s">
        <v>121</v>
      </c>
      <c r="N495" s="4">
        <v>43658.208333333328</v>
      </c>
      <c r="O495" t="b">
        <v>0</v>
      </c>
      <c r="P495" t="b">
        <v>0</v>
      </c>
      <c r="Q495" t="s">
        <v>217</v>
      </c>
      <c r="R495" t="str" cm="1">
        <f t="array" ref="R495:S495">_xlfn.TEXTSPLIT(Q495, "/", , FALSE)</f>
        <v>photography</v>
      </c>
      <c r="S495" t="str">
        <v>photography books</v>
      </c>
    </row>
    <row r="496" spans="1:19" ht="17" x14ac:dyDescent="0.2">
      <c r="A496">
        <v>494</v>
      </c>
      <c r="B496" t="s">
        <v>1131</v>
      </c>
      <c r="C496" s="3" t="s">
        <v>1132</v>
      </c>
      <c r="D496">
        <v>2500</v>
      </c>
      <c r="E496">
        <v>13684</v>
      </c>
      <c r="F496" s="5">
        <f t="shared" si="7"/>
        <v>5.4736000000000002</v>
      </c>
      <c r="G496" t="s">
        <v>8</v>
      </c>
      <c r="H496">
        <v>268</v>
      </c>
      <c r="I496" t="s">
        <v>109</v>
      </c>
      <c r="J496" t="s">
        <v>110</v>
      </c>
      <c r="K496" s="4">
        <v>40990.208333333336</v>
      </c>
      <c r="L496" s="4" t="s">
        <v>49</v>
      </c>
      <c r="M496" s="4" t="s">
        <v>129</v>
      </c>
      <c r="N496" s="4">
        <v>40991.208333333336</v>
      </c>
      <c r="O496" t="b">
        <v>0</v>
      </c>
      <c r="P496" t="b">
        <v>0</v>
      </c>
      <c r="Q496" t="s">
        <v>159</v>
      </c>
      <c r="R496" t="str" cm="1">
        <f t="array" ref="R496:S496">_xlfn.TEXTSPLIT(Q496, "/", , FALSE)</f>
        <v>technology</v>
      </c>
      <c r="S496" t="str">
        <v>wearables</v>
      </c>
    </row>
    <row r="497" spans="1:19" ht="17" x14ac:dyDescent="0.2">
      <c r="A497">
        <v>495</v>
      </c>
      <c r="B497" t="s">
        <v>1133</v>
      </c>
      <c r="C497" s="3" t="s">
        <v>1134</v>
      </c>
      <c r="D497">
        <v>3200</v>
      </c>
      <c r="E497">
        <v>13264</v>
      </c>
      <c r="F497" s="5">
        <f t="shared" si="7"/>
        <v>4.1449999999999996</v>
      </c>
      <c r="G497" t="s">
        <v>8</v>
      </c>
      <c r="H497">
        <v>195</v>
      </c>
      <c r="I497" t="s">
        <v>127</v>
      </c>
      <c r="J497" t="s">
        <v>128</v>
      </c>
      <c r="K497" s="4">
        <v>41800.208333333336</v>
      </c>
      <c r="L497" s="4" t="s">
        <v>52</v>
      </c>
      <c r="M497" s="4" t="s">
        <v>111</v>
      </c>
      <c r="N497" s="4">
        <v>41804.208333333336</v>
      </c>
      <c r="O497" t="b">
        <v>0</v>
      </c>
      <c r="P497" t="b">
        <v>0</v>
      </c>
      <c r="Q497" t="s">
        <v>124</v>
      </c>
      <c r="R497" t="str" cm="1">
        <f t="array" ref="R497:S497">_xlfn.TEXTSPLIT(Q497, "/", , FALSE)</f>
        <v>theater</v>
      </c>
      <c r="S497" t="str">
        <v>plays</v>
      </c>
    </row>
    <row r="498" spans="1:19" ht="17" x14ac:dyDescent="0.2">
      <c r="A498">
        <v>496</v>
      </c>
      <c r="B498" t="s">
        <v>1135</v>
      </c>
      <c r="C498" s="3" t="s">
        <v>1136</v>
      </c>
      <c r="D498">
        <v>183800</v>
      </c>
      <c r="E498">
        <v>1667</v>
      </c>
      <c r="F498" s="5">
        <f t="shared" si="7"/>
        <v>9.0696409140369975E-3</v>
      </c>
      <c r="G498" t="s">
        <v>6</v>
      </c>
      <c r="H498">
        <v>54</v>
      </c>
      <c r="I498" t="s">
        <v>109</v>
      </c>
      <c r="J498" t="s">
        <v>110</v>
      </c>
      <c r="K498" s="4">
        <v>42876.208333333328</v>
      </c>
      <c r="L498" s="4" t="s">
        <v>51</v>
      </c>
      <c r="M498" s="4" t="s">
        <v>134</v>
      </c>
      <c r="N498" s="4">
        <v>42893.208333333328</v>
      </c>
      <c r="O498" t="b">
        <v>0</v>
      </c>
      <c r="P498" t="b">
        <v>0</v>
      </c>
      <c r="Q498" t="s">
        <v>166</v>
      </c>
      <c r="R498" t="str" cm="1">
        <f t="array" ref="R498:S498">_xlfn.TEXTSPLIT(Q498, "/", , FALSE)</f>
        <v>film &amp; video</v>
      </c>
      <c r="S498" t="str">
        <v>animation</v>
      </c>
    </row>
    <row r="499" spans="1:19" ht="17" x14ac:dyDescent="0.2">
      <c r="A499">
        <v>497</v>
      </c>
      <c r="B499" t="s">
        <v>1137</v>
      </c>
      <c r="C499" s="3" t="s">
        <v>1138</v>
      </c>
      <c r="D499">
        <v>9800</v>
      </c>
      <c r="E499">
        <v>3349</v>
      </c>
      <c r="F499" s="5">
        <f t="shared" si="7"/>
        <v>0.34173469387755101</v>
      </c>
      <c r="G499" t="s">
        <v>6</v>
      </c>
      <c r="H499">
        <v>120</v>
      </c>
      <c r="I499" t="s">
        <v>109</v>
      </c>
      <c r="J499" t="s">
        <v>110</v>
      </c>
      <c r="K499" s="4">
        <v>42724.25</v>
      </c>
      <c r="L499" s="4" t="s">
        <v>58</v>
      </c>
      <c r="M499" s="4" t="s">
        <v>153</v>
      </c>
      <c r="N499" s="4">
        <v>42724.25</v>
      </c>
      <c r="O499" t="b">
        <v>0</v>
      </c>
      <c r="P499" t="b">
        <v>1</v>
      </c>
      <c r="Q499" t="s">
        <v>159</v>
      </c>
      <c r="R499" t="str" cm="1">
        <f t="array" ref="R499:S499">_xlfn.TEXTSPLIT(Q499, "/", , FALSE)</f>
        <v>technology</v>
      </c>
      <c r="S499" t="str">
        <v>wearables</v>
      </c>
    </row>
    <row r="500" spans="1:19" ht="17" x14ac:dyDescent="0.2">
      <c r="A500">
        <v>498</v>
      </c>
      <c r="B500" t="s">
        <v>1139</v>
      </c>
      <c r="C500" s="3" t="s">
        <v>1140</v>
      </c>
      <c r="D500">
        <v>193400</v>
      </c>
      <c r="E500">
        <v>46317</v>
      </c>
      <c r="F500" s="5">
        <f t="shared" si="7"/>
        <v>0.239488107549121</v>
      </c>
      <c r="G500" t="s">
        <v>6</v>
      </c>
      <c r="H500">
        <v>579</v>
      </c>
      <c r="I500" t="s">
        <v>127</v>
      </c>
      <c r="J500" t="s">
        <v>128</v>
      </c>
      <c r="K500" s="4">
        <v>42005.25</v>
      </c>
      <c r="L500" s="4" t="s">
        <v>47</v>
      </c>
      <c r="M500" s="4" t="s">
        <v>105</v>
      </c>
      <c r="N500" s="4">
        <v>42007.25</v>
      </c>
      <c r="O500" t="b">
        <v>0</v>
      </c>
      <c r="P500" t="b">
        <v>0</v>
      </c>
      <c r="Q500" t="s">
        <v>118</v>
      </c>
      <c r="R500" t="str" cm="1">
        <f t="array" ref="R500:S500">_xlfn.TEXTSPLIT(Q500, "/", , FALSE)</f>
        <v>technology</v>
      </c>
      <c r="S500" t="str">
        <v>web</v>
      </c>
    </row>
    <row r="501" spans="1:19" ht="34" x14ac:dyDescent="0.2">
      <c r="A501">
        <v>499</v>
      </c>
      <c r="B501" t="s">
        <v>1141</v>
      </c>
      <c r="C501" s="3" t="s">
        <v>1142</v>
      </c>
      <c r="D501">
        <v>163800</v>
      </c>
      <c r="E501">
        <v>78743</v>
      </c>
      <c r="F501" s="5">
        <f t="shared" si="7"/>
        <v>0.48072649572649573</v>
      </c>
      <c r="G501" t="s">
        <v>6</v>
      </c>
      <c r="H501">
        <v>2072</v>
      </c>
      <c r="I501" t="s">
        <v>109</v>
      </c>
      <c r="J501" t="s">
        <v>110</v>
      </c>
      <c r="K501" s="4">
        <v>42444.208333333328</v>
      </c>
      <c r="L501" s="4" t="s">
        <v>49</v>
      </c>
      <c r="M501" s="4" t="s">
        <v>153</v>
      </c>
      <c r="N501" s="4">
        <v>42449.208333333328</v>
      </c>
      <c r="O501" t="b">
        <v>0</v>
      </c>
      <c r="P501" t="b">
        <v>1</v>
      </c>
      <c r="Q501" t="s">
        <v>135</v>
      </c>
      <c r="R501" t="str" cm="1">
        <f t="array" ref="R501:S501">_xlfn.TEXTSPLIT(Q501, "/", , FALSE)</f>
        <v>film &amp; video</v>
      </c>
      <c r="S501" t="str">
        <v>documentary</v>
      </c>
    </row>
    <row r="502" spans="1:19" ht="17" x14ac:dyDescent="0.2">
      <c r="A502">
        <v>500</v>
      </c>
      <c r="B502" t="s">
        <v>1143</v>
      </c>
      <c r="C502" s="3" t="s">
        <v>1144</v>
      </c>
      <c r="D502">
        <v>100</v>
      </c>
      <c r="E502">
        <v>0</v>
      </c>
      <c r="F502" s="5">
        <f t="shared" si="7"/>
        <v>0</v>
      </c>
      <c r="G502" t="s">
        <v>6</v>
      </c>
      <c r="H502">
        <v>0</v>
      </c>
      <c r="I502" t="s">
        <v>109</v>
      </c>
      <c r="J502" t="s">
        <v>110</v>
      </c>
      <c r="K502" s="4">
        <v>41395.208333333336</v>
      </c>
      <c r="L502" s="4" t="s">
        <v>51</v>
      </c>
      <c r="M502" s="4" t="s">
        <v>117</v>
      </c>
      <c r="N502" s="4">
        <v>41423.208333333336</v>
      </c>
      <c r="O502" t="b">
        <v>0</v>
      </c>
      <c r="P502" t="b">
        <v>1</v>
      </c>
      <c r="Q502" t="s">
        <v>124</v>
      </c>
      <c r="R502" t="str" cm="1">
        <f t="array" ref="R502:S502">_xlfn.TEXTSPLIT(Q502, "/", , FALSE)</f>
        <v>theater</v>
      </c>
      <c r="S502" t="str">
        <v>plays</v>
      </c>
    </row>
    <row r="503" spans="1:19" ht="17" x14ac:dyDescent="0.2">
      <c r="A503">
        <v>501</v>
      </c>
      <c r="B503" t="s">
        <v>1145</v>
      </c>
      <c r="C503" s="3" t="s">
        <v>1146</v>
      </c>
      <c r="D503">
        <v>153600</v>
      </c>
      <c r="E503">
        <v>107743</v>
      </c>
      <c r="F503" s="5">
        <f t="shared" si="7"/>
        <v>0.70145182291666663</v>
      </c>
      <c r="G503" t="s">
        <v>6</v>
      </c>
      <c r="H503">
        <v>1796</v>
      </c>
      <c r="I503" t="s">
        <v>109</v>
      </c>
      <c r="J503" t="s">
        <v>110</v>
      </c>
      <c r="K503" s="4">
        <v>41345.208333333336</v>
      </c>
      <c r="L503" s="4" t="s">
        <v>49</v>
      </c>
      <c r="M503" s="4" t="s">
        <v>117</v>
      </c>
      <c r="N503" s="4">
        <v>41347.208333333336</v>
      </c>
      <c r="O503" t="b">
        <v>0</v>
      </c>
      <c r="P503" t="b">
        <v>0</v>
      </c>
      <c r="Q503" t="s">
        <v>135</v>
      </c>
      <c r="R503" t="str" cm="1">
        <f t="array" ref="R503:S503">_xlfn.TEXTSPLIT(Q503, "/", , FALSE)</f>
        <v>film &amp; video</v>
      </c>
      <c r="S503" t="str">
        <v>documentary</v>
      </c>
    </row>
    <row r="504" spans="1:19" ht="17" x14ac:dyDescent="0.2">
      <c r="A504">
        <v>502</v>
      </c>
      <c r="B504" t="s">
        <v>572</v>
      </c>
      <c r="C504" s="3" t="s">
        <v>1147</v>
      </c>
      <c r="D504">
        <v>1300</v>
      </c>
      <c r="E504">
        <v>6889</v>
      </c>
      <c r="F504" s="5">
        <f t="shared" si="7"/>
        <v>5.2992307692307694</v>
      </c>
      <c r="G504" t="s">
        <v>8</v>
      </c>
      <c r="H504">
        <v>186</v>
      </c>
      <c r="I504" t="s">
        <v>115</v>
      </c>
      <c r="J504" t="s">
        <v>116</v>
      </c>
      <c r="K504" s="4">
        <v>41117.208333333336</v>
      </c>
      <c r="L504" s="4" t="s">
        <v>53</v>
      </c>
      <c r="M504" s="4" t="s">
        <v>129</v>
      </c>
      <c r="N504" s="4">
        <v>41146.208333333336</v>
      </c>
      <c r="O504" t="b">
        <v>0</v>
      </c>
      <c r="P504" t="b">
        <v>1</v>
      </c>
      <c r="Q504" t="s">
        <v>184</v>
      </c>
      <c r="R504" t="str" cm="1">
        <f t="array" ref="R504:S504">_xlfn.TEXTSPLIT(Q504, "/", , FALSE)</f>
        <v>games</v>
      </c>
      <c r="S504" t="str">
        <v>video games</v>
      </c>
    </row>
    <row r="505" spans="1:19" ht="34" x14ac:dyDescent="0.2">
      <c r="A505">
        <v>503</v>
      </c>
      <c r="B505" t="s">
        <v>1148</v>
      </c>
      <c r="C505" s="3" t="s">
        <v>1149</v>
      </c>
      <c r="D505">
        <v>25500</v>
      </c>
      <c r="E505">
        <v>45983</v>
      </c>
      <c r="F505" s="5">
        <f t="shared" si="7"/>
        <v>1.8032549019607844</v>
      </c>
      <c r="G505" t="s">
        <v>8</v>
      </c>
      <c r="H505">
        <v>460</v>
      </c>
      <c r="I505" t="s">
        <v>109</v>
      </c>
      <c r="J505" t="s">
        <v>110</v>
      </c>
      <c r="K505" s="4">
        <v>42186.208333333328</v>
      </c>
      <c r="L505" s="4" t="s">
        <v>53</v>
      </c>
      <c r="M505" s="4" t="s">
        <v>105</v>
      </c>
      <c r="N505" s="4">
        <v>42206.208333333328</v>
      </c>
      <c r="O505" t="b">
        <v>0</v>
      </c>
      <c r="P505" t="b">
        <v>0</v>
      </c>
      <c r="Q505" t="s">
        <v>146</v>
      </c>
      <c r="R505" t="str" cm="1">
        <f t="array" ref="R505:S505">_xlfn.TEXTSPLIT(Q505, "/", , FALSE)</f>
        <v>film &amp; video</v>
      </c>
      <c r="S505" t="str">
        <v>drama</v>
      </c>
    </row>
    <row r="506" spans="1:19" ht="17" x14ac:dyDescent="0.2">
      <c r="A506">
        <v>504</v>
      </c>
      <c r="B506" t="s">
        <v>1150</v>
      </c>
      <c r="C506" s="3" t="s">
        <v>1151</v>
      </c>
      <c r="D506">
        <v>7500</v>
      </c>
      <c r="E506">
        <v>6924</v>
      </c>
      <c r="F506" s="5">
        <f t="shared" si="7"/>
        <v>0.92320000000000002</v>
      </c>
      <c r="G506" t="s">
        <v>6</v>
      </c>
      <c r="H506">
        <v>62</v>
      </c>
      <c r="I506" t="s">
        <v>202</v>
      </c>
      <c r="J506" t="s">
        <v>203</v>
      </c>
      <c r="K506" s="4">
        <v>42142.208333333328</v>
      </c>
      <c r="L506" s="4" t="s">
        <v>51</v>
      </c>
      <c r="M506" s="4" t="s">
        <v>105</v>
      </c>
      <c r="N506" s="4">
        <v>42143.208333333328</v>
      </c>
      <c r="O506" t="b">
        <v>0</v>
      </c>
      <c r="P506" t="b">
        <v>0</v>
      </c>
      <c r="Q506" t="s">
        <v>112</v>
      </c>
      <c r="R506" t="str" cm="1">
        <f t="array" ref="R506:S506">_xlfn.TEXTSPLIT(Q506, "/", , FALSE)</f>
        <v>music</v>
      </c>
      <c r="S506" t="str">
        <v>rock</v>
      </c>
    </row>
    <row r="507" spans="1:19" ht="17" x14ac:dyDescent="0.2">
      <c r="A507">
        <v>505</v>
      </c>
      <c r="B507" t="s">
        <v>1152</v>
      </c>
      <c r="C507" s="3" t="s">
        <v>1153</v>
      </c>
      <c r="D507">
        <v>89900</v>
      </c>
      <c r="E507">
        <v>12497</v>
      </c>
      <c r="F507" s="5">
        <f t="shared" si="7"/>
        <v>0.13901001112347053</v>
      </c>
      <c r="G507" t="s">
        <v>6</v>
      </c>
      <c r="H507">
        <v>347</v>
      </c>
      <c r="I507" t="s">
        <v>109</v>
      </c>
      <c r="J507" t="s">
        <v>110</v>
      </c>
      <c r="K507" s="4">
        <v>41341.25</v>
      </c>
      <c r="L507" s="4" t="s">
        <v>49</v>
      </c>
      <c r="M507" s="4" t="s">
        <v>117</v>
      </c>
      <c r="N507" s="4">
        <v>41383.208333333336</v>
      </c>
      <c r="O507" t="b">
        <v>0</v>
      </c>
      <c r="P507" t="b">
        <v>1</v>
      </c>
      <c r="Q507" t="s">
        <v>228</v>
      </c>
      <c r="R507" t="str" cm="1">
        <f t="array" ref="R507:S507">_xlfn.TEXTSPLIT(Q507, "/", , FALSE)</f>
        <v>publishing</v>
      </c>
      <c r="S507" t="str">
        <v>radio &amp; podcasts</v>
      </c>
    </row>
    <row r="508" spans="1:19" ht="17" x14ac:dyDescent="0.2">
      <c r="A508">
        <v>506</v>
      </c>
      <c r="B508" t="s">
        <v>1154</v>
      </c>
      <c r="C508" s="3" t="s">
        <v>1155</v>
      </c>
      <c r="D508">
        <v>18000</v>
      </c>
      <c r="E508">
        <v>166874</v>
      </c>
      <c r="F508" s="5">
        <f t="shared" si="7"/>
        <v>9.2707777777777771</v>
      </c>
      <c r="G508" t="s">
        <v>8</v>
      </c>
      <c r="H508">
        <v>2528</v>
      </c>
      <c r="I508" t="s">
        <v>109</v>
      </c>
      <c r="J508" t="s">
        <v>110</v>
      </c>
      <c r="K508" s="4">
        <v>43062.25</v>
      </c>
      <c r="L508" s="4" t="s">
        <v>57</v>
      </c>
      <c r="M508" s="4" t="s">
        <v>134</v>
      </c>
      <c r="N508" s="4">
        <v>43079.25</v>
      </c>
      <c r="O508" t="b">
        <v>0</v>
      </c>
      <c r="P508" t="b">
        <v>1</v>
      </c>
      <c r="Q508" t="s">
        <v>124</v>
      </c>
      <c r="R508" t="str" cm="1">
        <f t="array" ref="R508:S508">_xlfn.TEXTSPLIT(Q508, "/", , FALSE)</f>
        <v>theater</v>
      </c>
      <c r="S508" t="str">
        <v>plays</v>
      </c>
    </row>
    <row r="509" spans="1:19" ht="34" x14ac:dyDescent="0.2">
      <c r="A509">
        <v>507</v>
      </c>
      <c r="B509" t="s">
        <v>1156</v>
      </c>
      <c r="C509" s="3" t="s">
        <v>1157</v>
      </c>
      <c r="D509">
        <v>2100</v>
      </c>
      <c r="E509">
        <v>837</v>
      </c>
      <c r="F509" s="5">
        <f t="shared" si="7"/>
        <v>0.39857142857142858</v>
      </c>
      <c r="G509" t="s">
        <v>6</v>
      </c>
      <c r="H509">
        <v>19</v>
      </c>
      <c r="I509" t="s">
        <v>109</v>
      </c>
      <c r="J509" t="s">
        <v>110</v>
      </c>
      <c r="K509" s="4">
        <v>41373.208333333336</v>
      </c>
      <c r="L509" s="4" t="s">
        <v>50</v>
      </c>
      <c r="M509" s="4" t="s">
        <v>117</v>
      </c>
      <c r="N509" s="4">
        <v>41422.208333333336</v>
      </c>
      <c r="O509" t="b">
        <v>0</v>
      </c>
      <c r="P509" t="b">
        <v>1</v>
      </c>
      <c r="Q509" t="s">
        <v>118</v>
      </c>
      <c r="R509" t="str" cm="1">
        <f t="array" ref="R509:S509">_xlfn.TEXTSPLIT(Q509, "/", , FALSE)</f>
        <v>technology</v>
      </c>
      <c r="S509" t="str">
        <v>web</v>
      </c>
    </row>
    <row r="510" spans="1:19" ht="17" x14ac:dyDescent="0.2">
      <c r="A510">
        <v>508</v>
      </c>
      <c r="B510" t="s">
        <v>1158</v>
      </c>
      <c r="C510" s="3" t="s">
        <v>1159</v>
      </c>
      <c r="D510">
        <v>172700</v>
      </c>
      <c r="E510">
        <v>193820</v>
      </c>
      <c r="F510" s="5">
        <f t="shared" si="7"/>
        <v>1.1222929936305732</v>
      </c>
      <c r="G510" t="s">
        <v>8</v>
      </c>
      <c r="H510">
        <v>3657</v>
      </c>
      <c r="I510" t="s">
        <v>109</v>
      </c>
      <c r="J510" t="s">
        <v>110</v>
      </c>
      <c r="K510" s="4">
        <v>43310.208333333328</v>
      </c>
      <c r="L510" s="4" t="s">
        <v>53</v>
      </c>
      <c r="M510" s="4" t="s">
        <v>169</v>
      </c>
      <c r="N510" s="4">
        <v>43331.208333333328</v>
      </c>
      <c r="O510" t="b">
        <v>0</v>
      </c>
      <c r="P510" t="b">
        <v>0</v>
      </c>
      <c r="Q510" t="s">
        <v>124</v>
      </c>
      <c r="R510" t="str" cm="1">
        <f t="array" ref="R510:S510">_xlfn.TEXTSPLIT(Q510, "/", , FALSE)</f>
        <v>theater</v>
      </c>
      <c r="S510" t="str">
        <v>plays</v>
      </c>
    </row>
    <row r="511" spans="1:19" ht="17" x14ac:dyDescent="0.2">
      <c r="A511">
        <v>509</v>
      </c>
      <c r="B511" t="s">
        <v>493</v>
      </c>
      <c r="C511" s="3" t="s">
        <v>1160</v>
      </c>
      <c r="D511">
        <v>168500</v>
      </c>
      <c r="E511">
        <v>119510</v>
      </c>
      <c r="F511" s="5">
        <f t="shared" si="7"/>
        <v>0.70925816023738875</v>
      </c>
      <c r="G511" t="s">
        <v>6</v>
      </c>
      <c r="H511">
        <v>1258</v>
      </c>
      <c r="I511" t="s">
        <v>109</v>
      </c>
      <c r="J511" t="s">
        <v>110</v>
      </c>
      <c r="K511" s="4">
        <v>41034.208333333336</v>
      </c>
      <c r="L511" s="4" t="s">
        <v>51</v>
      </c>
      <c r="M511" s="4" t="s">
        <v>129</v>
      </c>
      <c r="N511" s="4">
        <v>41044.208333333336</v>
      </c>
      <c r="O511" t="b">
        <v>0</v>
      </c>
      <c r="P511" t="b">
        <v>0</v>
      </c>
      <c r="Q511" t="s">
        <v>124</v>
      </c>
      <c r="R511" t="str" cm="1">
        <f t="array" ref="R511:S511">_xlfn.TEXTSPLIT(Q511, "/", , FALSE)</f>
        <v>theater</v>
      </c>
      <c r="S511" t="str">
        <v>plays</v>
      </c>
    </row>
    <row r="512" spans="1:19" ht="17" x14ac:dyDescent="0.2">
      <c r="A512">
        <v>510</v>
      </c>
      <c r="B512" t="s">
        <v>1161</v>
      </c>
      <c r="C512" s="3" t="s">
        <v>1162</v>
      </c>
      <c r="D512">
        <v>7800</v>
      </c>
      <c r="E512">
        <v>9289</v>
      </c>
      <c r="F512" s="5">
        <f t="shared" si="7"/>
        <v>1.1908974358974358</v>
      </c>
      <c r="G512" t="s">
        <v>8</v>
      </c>
      <c r="H512">
        <v>131</v>
      </c>
      <c r="I512" t="s">
        <v>115</v>
      </c>
      <c r="J512" t="s">
        <v>116</v>
      </c>
      <c r="K512" s="4">
        <v>43251.208333333328</v>
      </c>
      <c r="L512" s="4" t="s">
        <v>51</v>
      </c>
      <c r="M512" s="4" t="s">
        <v>169</v>
      </c>
      <c r="N512" s="4">
        <v>43275.208333333328</v>
      </c>
      <c r="O512" t="b">
        <v>0</v>
      </c>
      <c r="P512" t="b">
        <v>0</v>
      </c>
      <c r="Q512" t="s">
        <v>146</v>
      </c>
      <c r="R512" t="str" cm="1">
        <f t="array" ref="R512:S512">_xlfn.TEXTSPLIT(Q512, "/", , FALSE)</f>
        <v>film &amp; video</v>
      </c>
      <c r="S512" t="str">
        <v>drama</v>
      </c>
    </row>
    <row r="513" spans="1:19" ht="17" x14ac:dyDescent="0.2">
      <c r="A513">
        <v>511</v>
      </c>
      <c r="B513" t="s">
        <v>1163</v>
      </c>
      <c r="C513" s="3" t="s">
        <v>1164</v>
      </c>
      <c r="D513">
        <v>147800</v>
      </c>
      <c r="E513">
        <v>35498</v>
      </c>
      <c r="F513" s="5">
        <f t="shared" si="7"/>
        <v>0.24017591339648173</v>
      </c>
      <c r="G513" t="s">
        <v>6</v>
      </c>
      <c r="H513">
        <v>362</v>
      </c>
      <c r="I513" t="s">
        <v>109</v>
      </c>
      <c r="J513" t="s">
        <v>110</v>
      </c>
      <c r="K513" s="4">
        <v>43671.208333333328</v>
      </c>
      <c r="L513" s="4" t="s">
        <v>53</v>
      </c>
      <c r="M513" s="4" t="s">
        <v>121</v>
      </c>
      <c r="N513" s="4">
        <v>43681.208333333328</v>
      </c>
      <c r="O513" t="b">
        <v>0</v>
      </c>
      <c r="P513" t="b">
        <v>0</v>
      </c>
      <c r="Q513" t="s">
        <v>124</v>
      </c>
      <c r="R513" t="str" cm="1">
        <f t="array" ref="R513:S513">_xlfn.TEXTSPLIT(Q513, "/", , FALSE)</f>
        <v>theater</v>
      </c>
      <c r="S513" t="str">
        <v>plays</v>
      </c>
    </row>
    <row r="514" spans="1:19" ht="17" x14ac:dyDescent="0.2">
      <c r="A514">
        <v>512</v>
      </c>
      <c r="B514" t="s">
        <v>1165</v>
      </c>
      <c r="C514" s="3" t="s">
        <v>1166</v>
      </c>
      <c r="D514">
        <v>9100</v>
      </c>
      <c r="E514">
        <v>12678</v>
      </c>
      <c r="F514" s="5">
        <f t="shared" si="7"/>
        <v>1.3931868131868133</v>
      </c>
      <c r="G514" t="s">
        <v>8</v>
      </c>
      <c r="H514">
        <v>239</v>
      </c>
      <c r="I514" t="s">
        <v>109</v>
      </c>
      <c r="J514" t="s">
        <v>110</v>
      </c>
      <c r="K514" s="4">
        <v>41825.208333333336</v>
      </c>
      <c r="L514" s="4" t="s">
        <v>53</v>
      </c>
      <c r="M514" s="4" t="s">
        <v>111</v>
      </c>
      <c r="N514" s="4">
        <v>41826.208333333336</v>
      </c>
      <c r="O514" t="b">
        <v>0</v>
      </c>
      <c r="P514" t="b">
        <v>1</v>
      </c>
      <c r="Q514" t="s">
        <v>184</v>
      </c>
      <c r="R514" t="str" cm="1">
        <f t="array" ref="R514:S514">_xlfn.TEXTSPLIT(Q514, "/", , FALSE)</f>
        <v>games</v>
      </c>
      <c r="S514" t="str">
        <v>video games</v>
      </c>
    </row>
    <row r="515" spans="1:19" ht="17" x14ac:dyDescent="0.2">
      <c r="A515">
        <v>513</v>
      </c>
      <c r="B515" t="s">
        <v>1167</v>
      </c>
      <c r="C515" s="3" t="s">
        <v>1168</v>
      </c>
      <c r="D515">
        <v>8300</v>
      </c>
      <c r="E515">
        <v>3260</v>
      </c>
      <c r="F515" s="5">
        <f t="shared" ref="F515:F578" si="8">E515/D515</f>
        <v>0.39277108433734942</v>
      </c>
      <c r="G515" t="s">
        <v>5</v>
      </c>
      <c r="H515">
        <v>35</v>
      </c>
      <c r="I515" t="s">
        <v>109</v>
      </c>
      <c r="J515" t="s">
        <v>110</v>
      </c>
      <c r="K515" s="4">
        <v>40430.208333333336</v>
      </c>
      <c r="L515" s="4" t="s">
        <v>55</v>
      </c>
      <c r="M515" s="4" t="s">
        <v>140</v>
      </c>
      <c r="N515" s="4">
        <v>40432.208333333336</v>
      </c>
      <c r="O515" t="b">
        <v>0</v>
      </c>
      <c r="P515" t="b">
        <v>0</v>
      </c>
      <c r="Q515" t="s">
        <v>364</v>
      </c>
      <c r="R515" t="str" cm="1">
        <f t="array" ref="R515:S515">_xlfn.TEXTSPLIT(Q515, "/", , FALSE)</f>
        <v>film &amp; video</v>
      </c>
      <c r="S515" t="str">
        <v>television</v>
      </c>
    </row>
    <row r="516" spans="1:19" ht="17" x14ac:dyDescent="0.2">
      <c r="A516">
        <v>514</v>
      </c>
      <c r="B516" t="s">
        <v>1169</v>
      </c>
      <c r="C516" s="3" t="s">
        <v>1170</v>
      </c>
      <c r="D516">
        <v>138700</v>
      </c>
      <c r="E516">
        <v>31123</v>
      </c>
      <c r="F516" s="5">
        <f t="shared" si="8"/>
        <v>0.22439077144917088</v>
      </c>
      <c r="G516" t="s">
        <v>5</v>
      </c>
      <c r="H516">
        <v>528</v>
      </c>
      <c r="I516" t="s">
        <v>193</v>
      </c>
      <c r="J516" t="s">
        <v>194</v>
      </c>
      <c r="K516" s="4">
        <v>41614.25</v>
      </c>
      <c r="L516" s="4" t="s">
        <v>58</v>
      </c>
      <c r="M516" s="4" t="s">
        <v>117</v>
      </c>
      <c r="N516" s="4">
        <v>41619.25</v>
      </c>
      <c r="O516" t="b">
        <v>0</v>
      </c>
      <c r="P516" t="b">
        <v>1</v>
      </c>
      <c r="Q516" t="s">
        <v>112</v>
      </c>
      <c r="R516" t="str" cm="1">
        <f t="array" ref="R516:S516">_xlfn.TEXTSPLIT(Q516, "/", , FALSE)</f>
        <v>music</v>
      </c>
      <c r="S516" t="str">
        <v>rock</v>
      </c>
    </row>
    <row r="517" spans="1:19" ht="17" x14ac:dyDescent="0.2">
      <c r="A517">
        <v>515</v>
      </c>
      <c r="B517" t="s">
        <v>1171</v>
      </c>
      <c r="C517" s="3" t="s">
        <v>1172</v>
      </c>
      <c r="D517">
        <v>8600</v>
      </c>
      <c r="E517">
        <v>4797</v>
      </c>
      <c r="F517" s="5">
        <f t="shared" si="8"/>
        <v>0.55779069767441858</v>
      </c>
      <c r="G517" t="s">
        <v>6</v>
      </c>
      <c r="H517">
        <v>133</v>
      </c>
      <c r="I517" t="s">
        <v>103</v>
      </c>
      <c r="J517" t="s">
        <v>104</v>
      </c>
      <c r="K517" s="4">
        <v>40900.25</v>
      </c>
      <c r="L517" s="4" t="s">
        <v>58</v>
      </c>
      <c r="M517" s="4" t="s">
        <v>165</v>
      </c>
      <c r="N517" s="4">
        <v>40902.25</v>
      </c>
      <c r="O517" t="b">
        <v>0</v>
      </c>
      <c r="P517" t="b">
        <v>1</v>
      </c>
      <c r="Q517" t="s">
        <v>124</v>
      </c>
      <c r="R517" t="str" cm="1">
        <f t="array" ref="R517:S517">_xlfn.TEXTSPLIT(Q517, "/", , FALSE)</f>
        <v>theater</v>
      </c>
      <c r="S517" t="str">
        <v>plays</v>
      </c>
    </row>
    <row r="518" spans="1:19" ht="17" x14ac:dyDescent="0.2">
      <c r="A518">
        <v>516</v>
      </c>
      <c r="B518" t="s">
        <v>1173</v>
      </c>
      <c r="C518" s="3" t="s">
        <v>1174</v>
      </c>
      <c r="D518">
        <v>125400</v>
      </c>
      <c r="E518">
        <v>53324</v>
      </c>
      <c r="F518" s="5">
        <f t="shared" si="8"/>
        <v>0.42523125996810207</v>
      </c>
      <c r="G518" t="s">
        <v>6</v>
      </c>
      <c r="H518">
        <v>846</v>
      </c>
      <c r="I518" t="s">
        <v>109</v>
      </c>
      <c r="J518" t="s">
        <v>110</v>
      </c>
      <c r="K518" s="4">
        <v>40396.208333333336</v>
      </c>
      <c r="L518" s="4" t="s">
        <v>54</v>
      </c>
      <c r="M518" s="4" t="s">
        <v>140</v>
      </c>
      <c r="N518" s="4">
        <v>40434.208333333336</v>
      </c>
      <c r="O518" t="b">
        <v>0</v>
      </c>
      <c r="P518" t="b">
        <v>0</v>
      </c>
      <c r="Q518" t="s">
        <v>162</v>
      </c>
      <c r="R518" t="str" cm="1">
        <f t="array" ref="R518:S518">_xlfn.TEXTSPLIT(Q518, "/", , FALSE)</f>
        <v>publishing</v>
      </c>
      <c r="S518" t="str">
        <v>nonfiction</v>
      </c>
    </row>
    <row r="519" spans="1:19" ht="17" x14ac:dyDescent="0.2">
      <c r="A519">
        <v>517</v>
      </c>
      <c r="B519" t="s">
        <v>1175</v>
      </c>
      <c r="C519" s="3" t="s">
        <v>1176</v>
      </c>
      <c r="D519">
        <v>5900</v>
      </c>
      <c r="E519">
        <v>6608</v>
      </c>
      <c r="F519" s="5">
        <f t="shared" si="8"/>
        <v>1.1200000000000001</v>
      </c>
      <c r="G519" t="s">
        <v>8</v>
      </c>
      <c r="H519">
        <v>78</v>
      </c>
      <c r="I519" t="s">
        <v>109</v>
      </c>
      <c r="J519" t="s">
        <v>110</v>
      </c>
      <c r="K519" s="4">
        <v>42860.208333333328</v>
      </c>
      <c r="L519" s="4" t="s">
        <v>51</v>
      </c>
      <c r="M519" s="4" t="s">
        <v>134</v>
      </c>
      <c r="N519" s="4">
        <v>42865.208333333328</v>
      </c>
      <c r="O519" t="b">
        <v>0</v>
      </c>
      <c r="P519" t="b">
        <v>0</v>
      </c>
      <c r="Q519" t="s">
        <v>106</v>
      </c>
      <c r="R519" t="str" cm="1">
        <f t="array" ref="R519:S519">_xlfn.TEXTSPLIT(Q519, "/", , FALSE)</f>
        <v>food</v>
      </c>
      <c r="S519" t="str">
        <v>food trucks</v>
      </c>
    </row>
    <row r="520" spans="1:19" ht="34" x14ac:dyDescent="0.2">
      <c r="A520">
        <v>518</v>
      </c>
      <c r="B520" t="s">
        <v>1177</v>
      </c>
      <c r="C520" s="3" t="s">
        <v>1178</v>
      </c>
      <c r="D520">
        <v>8800</v>
      </c>
      <c r="E520">
        <v>622</v>
      </c>
      <c r="F520" s="5">
        <f t="shared" si="8"/>
        <v>7.0681818181818179E-2</v>
      </c>
      <c r="G520" t="s">
        <v>6</v>
      </c>
      <c r="H520">
        <v>10</v>
      </c>
      <c r="I520" t="s">
        <v>109</v>
      </c>
      <c r="J520" t="s">
        <v>110</v>
      </c>
      <c r="K520" s="4">
        <v>43154.25</v>
      </c>
      <c r="L520" s="4" t="s">
        <v>48</v>
      </c>
      <c r="M520" s="4" t="s">
        <v>169</v>
      </c>
      <c r="N520" s="4">
        <v>43156.25</v>
      </c>
      <c r="O520" t="b">
        <v>0</v>
      </c>
      <c r="P520" t="b">
        <v>1</v>
      </c>
      <c r="Q520" t="s">
        <v>166</v>
      </c>
      <c r="R520" t="str" cm="1">
        <f t="array" ref="R520:S520">_xlfn.TEXTSPLIT(Q520, "/", , FALSE)</f>
        <v>film &amp; video</v>
      </c>
      <c r="S520" t="str">
        <v>animation</v>
      </c>
    </row>
    <row r="521" spans="1:19" ht="17" x14ac:dyDescent="0.2">
      <c r="A521">
        <v>519</v>
      </c>
      <c r="B521" t="s">
        <v>1179</v>
      </c>
      <c r="C521" s="3" t="s">
        <v>1180</v>
      </c>
      <c r="D521">
        <v>177700</v>
      </c>
      <c r="E521">
        <v>180802</v>
      </c>
      <c r="F521" s="5">
        <f t="shared" si="8"/>
        <v>1.0174563871693867</v>
      </c>
      <c r="G521" t="s">
        <v>8</v>
      </c>
      <c r="H521">
        <v>1773</v>
      </c>
      <c r="I521" t="s">
        <v>109</v>
      </c>
      <c r="J521" t="s">
        <v>110</v>
      </c>
      <c r="K521" s="4">
        <v>42012.25</v>
      </c>
      <c r="L521" s="4" t="s">
        <v>47</v>
      </c>
      <c r="M521" s="4" t="s">
        <v>105</v>
      </c>
      <c r="N521" s="4">
        <v>42026.25</v>
      </c>
      <c r="O521" t="b">
        <v>0</v>
      </c>
      <c r="P521" t="b">
        <v>1</v>
      </c>
      <c r="Q521" t="s">
        <v>112</v>
      </c>
      <c r="R521" t="str" cm="1">
        <f t="array" ref="R521:S521">_xlfn.TEXTSPLIT(Q521, "/", , FALSE)</f>
        <v>music</v>
      </c>
      <c r="S521" t="str">
        <v>rock</v>
      </c>
    </row>
    <row r="522" spans="1:19" ht="17" x14ac:dyDescent="0.2">
      <c r="A522">
        <v>520</v>
      </c>
      <c r="B522" t="s">
        <v>1181</v>
      </c>
      <c r="C522" s="3" t="s">
        <v>1182</v>
      </c>
      <c r="D522">
        <v>800</v>
      </c>
      <c r="E522">
        <v>3406</v>
      </c>
      <c r="F522" s="5">
        <f t="shared" si="8"/>
        <v>4.2575000000000003</v>
      </c>
      <c r="G522" t="s">
        <v>8</v>
      </c>
      <c r="H522">
        <v>32</v>
      </c>
      <c r="I522" t="s">
        <v>109</v>
      </c>
      <c r="J522" t="s">
        <v>110</v>
      </c>
      <c r="K522" s="4">
        <v>43574.208333333328</v>
      </c>
      <c r="L522" s="4" t="s">
        <v>50</v>
      </c>
      <c r="M522" s="4" t="s">
        <v>121</v>
      </c>
      <c r="N522" s="4">
        <v>43577.208333333328</v>
      </c>
      <c r="O522" t="b">
        <v>0</v>
      </c>
      <c r="P522" t="b">
        <v>0</v>
      </c>
      <c r="Q522" t="s">
        <v>124</v>
      </c>
      <c r="R522" t="str" cm="1">
        <f t="array" ref="R522:S522">_xlfn.TEXTSPLIT(Q522, "/", , FALSE)</f>
        <v>theater</v>
      </c>
      <c r="S522" t="str">
        <v>plays</v>
      </c>
    </row>
    <row r="523" spans="1:19" ht="17" x14ac:dyDescent="0.2">
      <c r="A523">
        <v>521</v>
      </c>
      <c r="B523" t="s">
        <v>1183</v>
      </c>
      <c r="C523" s="3" t="s">
        <v>236</v>
      </c>
      <c r="D523">
        <v>7600</v>
      </c>
      <c r="E523">
        <v>11061</v>
      </c>
      <c r="F523" s="5">
        <f t="shared" si="8"/>
        <v>1.4553947368421052</v>
      </c>
      <c r="G523" t="s">
        <v>8</v>
      </c>
      <c r="H523">
        <v>369</v>
      </c>
      <c r="I523" t="s">
        <v>109</v>
      </c>
      <c r="J523" t="s">
        <v>110</v>
      </c>
      <c r="K523" s="4">
        <v>42605.208333333328</v>
      </c>
      <c r="L523" s="4" t="s">
        <v>54</v>
      </c>
      <c r="M523" s="4" t="s">
        <v>153</v>
      </c>
      <c r="N523" s="4">
        <v>42611.208333333328</v>
      </c>
      <c r="O523" t="b">
        <v>0</v>
      </c>
      <c r="P523" t="b">
        <v>1</v>
      </c>
      <c r="Q523" t="s">
        <v>146</v>
      </c>
      <c r="R523" t="str" cm="1">
        <f t="array" ref="R523:S523">_xlfn.TEXTSPLIT(Q523, "/", , FALSE)</f>
        <v>film &amp; video</v>
      </c>
      <c r="S523" t="str">
        <v>drama</v>
      </c>
    </row>
    <row r="524" spans="1:19" ht="34" x14ac:dyDescent="0.2">
      <c r="A524">
        <v>522</v>
      </c>
      <c r="B524" t="s">
        <v>1184</v>
      </c>
      <c r="C524" s="3" t="s">
        <v>1185</v>
      </c>
      <c r="D524">
        <v>50500</v>
      </c>
      <c r="E524">
        <v>16389</v>
      </c>
      <c r="F524" s="5">
        <f t="shared" si="8"/>
        <v>0.32453465346534655</v>
      </c>
      <c r="G524" t="s">
        <v>6</v>
      </c>
      <c r="H524">
        <v>191</v>
      </c>
      <c r="I524" t="s">
        <v>109</v>
      </c>
      <c r="J524" t="s">
        <v>110</v>
      </c>
      <c r="K524" s="4">
        <v>41093.208333333336</v>
      </c>
      <c r="L524" s="4" t="s">
        <v>53</v>
      </c>
      <c r="M524" s="4" t="s">
        <v>129</v>
      </c>
      <c r="N524" s="4">
        <v>41105.208333333336</v>
      </c>
      <c r="O524" t="b">
        <v>0</v>
      </c>
      <c r="P524" t="b">
        <v>0</v>
      </c>
      <c r="Q524" t="s">
        <v>195</v>
      </c>
      <c r="R524" t="str" cm="1">
        <f t="array" ref="R524:S524">_xlfn.TEXTSPLIT(Q524, "/", , FALSE)</f>
        <v>film &amp; video</v>
      </c>
      <c r="S524" t="str">
        <v>shorts</v>
      </c>
    </row>
    <row r="525" spans="1:19" ht="17" x14ac:dyDescent="0.2">
      <c r="A525">
        <v>523</v>
      </c>
      <c r="B525" t="s">
        <v>1186</v>
      </c>
      <c r="C525" s="3" t="s">
        <v>1187</v>
      </c>
      <c r="D525">
        <v>900</v>
      </c>
      <c r="E525">
        <v>6303</v>
      </c>
      <c r="F525" s="5">
        <f t="shared" si="8"/>
        <v>7.003333333333333</v>
      </c>
      <c r="G525" t="s">
        <v>8</v>
      </c>
      <c r="H525">
        <v>89</v>
      </c>
      <c r="I525" t="s">
        <v>109</v>
      </c>
      <c r="J525" t="s">
        <v>110</v>
      </c>
      <c r="K525" s="4">
        <v>40241.25</v>
      </c>
      <c r="L525" s="4" t="s">
        <v>49</v>
      </c>
      <c r="M525" s="4" t="s">
        <v>140</v>
      </c>
      <c r="N525" s="4">
        <v>40246.25</v>
      </c>
      <c r="O525" t="b">
        <v>0</v>
      </c>
      <c r="P525" t="b">
        <v>0</v>
      </c>
      <c r="Q525" t="s">
        <v>195</v>
      </c>
      <c r="R525" t="str" cm="1">
        <f t="array" ref="R525:S525">_xlfn.TEXTSPLIT(Q525, "/", , FALSE)</f>
        <v>film &amp; video</v>
      </c>
      <c r="S525" t="str">
        <v>shorts</v>
      </c>
    </row>
    <row r="526" spans="1:19" ht="17" x14ac:dyDescent="0.2">
      <c r="A526">
        <v>524</v>
      </c>
      <c r="B526" t="s">
        <v>1188</v>
      </c>
      <c r="C526" s="3" t="s">
        <v>1189</v>
      </c>
      <c r="D526">
        <v>96700</v>
      </c>
      <c r="E526">
        <v>81136</v>
      </c>
      <c r="F526" s="5">
        <f t="shared" si="8"/>
        <v>0.83904860392967939</v>
      </c>
      <c r="G526" t="s">
        <v>6</v>
      </c>
      <c r="H526">
        <v>1979</v>
      </c>
      <c r="I526" t="s">
        <v>109</v>
      </c>
      <c r="J526" t="s">
        <v>110</v>
      </c>
      <c r="K526" s="4">
        <v>40294.208333333336</v>
      </c>
      <c r="L526" s="4" t="s">
        <v>50</v>
      </c>
      <c r="M526" s="4" t="s">
        <v>140</v>
      </c>
      <c r="N526" s="4">
        <v>40307.208333333336</v>
      </c>
      <c r="O526" t="b">
        <v>0</v>
      </c>
      <c r="P526" t="b">
        <v>0</v>
      </c>
      <c r="Q526" t="s">
        <v>124</v>
      </c>
      <c r="R526" t="str" cm="1">
        <f t="array" ref="R526:S526">_xlfn.TEXTSPLIT(Q526, "/", , FALSE)</f>
        <v>theater</v>
      </c>
      <c r="S526" t="str">
        <v>plays</v>
      </c>
    </row>
    <row r="527" spans="1:19" ht="34" x14ac:dyDescent="0.2">
      <c r="A527">
        <v>525</v>
      </c>
      <c r="B527" t="s">
        <v>1190</v>
      </c>
      <c r="C527" s="3" t="s">
        <v>1191</v>
      </c>
      <c r="D527">
        <v>2100</v>
      </c>
      <c r="E527">
        <v>1768</v>
      </c>
      <c r="F527" s="5">
        <f t="shared" si="8"/>
        <v>0.84190476190476193</v>
      </c>
      <c r="G527" t="s">
        <v>6</v>
      </c>
      <c r="H527">
        <v>63</v>
      </c>
      <c r="I527" t="s">
        <v>109</v>
      </c>
      <c r="J527" t="s">
        <v>110</v>
      </c>
      <c r="K527" s="4">
        <v>40505.25</v>
      </c>
      <c r="L527" s="4" t="s">
        <v>57</v>
      </c>
      <c r="M527" s="4" t="s">
        <v>140</v>
      </c>
      <c r="N527" s="4">
        <v>40509.25</v>
      </c>
      <c r="O527" t="b">
        <v>0</v>
      </c>
      <c r="P527" t="b">
        <v>0</v>
      </c>
      <c r="Q527" t="s">
        <v>159</v>
      </c>
      <c r="R527" t="str" cm="1">
        <f t="array" ref="R527:S527">_xlfn.TEXTSPLIT(Q527, "/", , FALSE)</f>
        <v>technology</v>
      </c>
      <c r="S527" t="str">
        <v>wearables</v>
      </c>
    </row>
    <row r="528" spans="1:19" ht="34" x14ac:dyDescent="0.2">
      <c r="A528">
        <v>526</v>
      </c>
      <c r="B528" t="s">
        <v>1192</v>
      </c>
      <c r="C528" s="3" t="s">
        <v>1193</v>
      </c>
      <c r="D528">
        <v>8300</v>
      </c>
      <c r="E528">
        <v>12944</v>
      </c>
      <c r="F528" s="5">
        <f t="shared" si="8"/>
        <v>1.5595180722891566</v>
      </c>
      <c r="G528" t="s">
        <v>8</v>
      </c>
      <c r="H528">
        <v>147</v>
      </c>
      <c r="I528" t="s">
        <v>109</v>
      </c>
      <c r="J528" t="s">
        <v>110</v>
      </c>
      <c r="K528" s="4">
        <v>42364.25</v>
      </c>
      <c r="L528" s="4" t="s">
        <v>58</v>
      </c>
      <c r="M528" s="4" t="s">
        <v>105</v>
      </c>
      <c r="N528" s="4">
        <v>42401.25</v>
      </c>
      <c r="O528" t="b">
        <v>0</v>
      </c>
      <c r="P528" t="b">
        <v>1</v>
      </c>
      <c r="Q528" t="s">
        <v>124</v>
      </c>
      <c r="R528" t="str" cm="1">
        <f t="array" ref="R528:S528">_xlfn.TEXTSPLIT(Q528, "/", , FALSE)</f>
        <v>theater</v>
      </c>
      <c r="S528" t="str">
        <v>plays</v>
      </c>
    </row>
    <row r="529" spans="1:19" ht="17" x14ac:dyDescent="0.2">
      <c r="A529">
        <v>527</v>
      </c>
      <c r="B529" t="s">
        <v>1194</v>
      </c>
      <c r="C529" s="3" t="s">
        <v>1195</v>
      </c>
      <c r="D529">
        <v>189200</v>
      </c>
      <c r="E529">
        <v>188480</v>
      </c>
      <c r="F529" s="5">
        <f t="shared" si="8"/>
        <v>0.99619450317124736</v>
      </c>
      <c r="G529" t="s">
        <v>6</v>
      </c>
      <c r="H529">
        <v>6080</v>
      </c>
      <c r="I529" t="s">
        <v>103</v>
      </c>
      <c r="J529" t="s">
        <v>104</v>
      </c>
      <c r="K529" s="4">
        <v>42405.25</v>
      </c>
      <c r="L529" s="4" t="s">
        <v>48</v>
      </c>
      <c r="M529" s="4" t="s">
        <v>153</v>
      </c>
      <c r="N529" s="4">
        <v>42441.25</v>
      </c>
      <c r="O529" t="b">
        <v>0</v>
      </c>
      <c r="P529" t="b">
        <v>0</v>
      </c>
      <c r="Q529" t="s">
        <v>166</v>
      </c>
      <c r="R529" t="str" cm="1">
        <f t="array" ref="R529:S529">_xlfn.TEXTSPLIT(Q529, "/", , FALSE)</f>
        <v>film &amp; video</v>
      </c>
      <c r="S529" t="str">
        <v>animation</v>
      </c>
    </row>
    <row r="530" spans="1:19" ht="17" x14ac:dyDescent="0.2">
      <c r="A530">
        <v>528</v>
      </c>
      <c r="B530" t="s">
        <v>1196</v>
      </c>
      <c r="C530" s="3" t="s">
        <v>1197</v>
      </c>
      <c r="D530">
        <v>9000</v>
      </c>
      <c r="E530">
        <v>7227</v>
      </c>
      <c r="F530" s="5">
        <f t="shared" si="8"/>
        <v>0.80300000000000005</v>
      </c>
      <c r="G530" t="s">
        <v>6</v>
      </c>
      <c r="H530">
        <v>80</v>
      </c>
      <c r="I530" t="s">
        <v>132</v>
      </c>
      <c r="J530" t="s">
        <v>133</v>
      </c>
      <c r="K530" s="4">
        <v>41601.25</v>
      </c>
      <c r="L530" s="4" t="s">
        <v>57</v>
      </c>
      <c r="M530" s="4" t="s">
        <v>117</v>
      </c>
      <c r="N530" s="4">
        <v>41646.25</v>
      </c>
      <c r="O530" t="b">
        <v>0</v>
      </c>
      <c r="P530" t="b">
        <v>0</v>
      </c>
      <c r="Q530" t="s">
        <v>154</v>
      </c>
      <c r="R530" t="str" cm="1">
        <f t="array" ref="R530:S530">_xlfn.TEXTSPLIT(Q530, "/", , FALSE)</f>
        <v>music</v>
      </c>
      <c r="S530" t="str">
        <v>indie rock</v>
      </c>
    </row>
    <row r="531" spans="1:19" ht="17" x14ac:dyDescent="0.2">
      <c r="A531">
        <v>529</v>
      </c>
      <c r="B531" t="s">
        <v>1198</v>
      </c>
      <c r="C531" s="3" t="s">
        <v>1199</v>
      </c>
      <c r="D531">
        <v>5100</v>
      </c>
      <c r="E531">
        <v>574</v>
      </c>
      <c r="F531" s="5">
        <f t="shared" si="8"/>
        <v>0.11254901960784314</v>
      </c>
      <c r="G531" t="s">
        <v>6</v>
      </c>
      <c r="H531">
        <v>9</v>
      </c>
      <c r="I531" t="s">
        <v>109</v>
      </c>
      <c r="J531" t="s">
        <v>110</v>
      </c>
      <c r="K531" s="4">
        <v>41769.208333333336</v>
      </c>
      <c r="L531" s="4" t="s">
        <v>51</v>
      </c>
      <c r="M531" s="4" t="s">
        <v>111</v>
      </c>
      <c r="N531" s="4">
        <v>41797.208333333336</v>
      </c>
      <c r="O531" t="b">
        <v>0</v>
      </c>
      <c r="P531" t="b">
        <v>0</v>
      </c>
      <c r="Q531" t="s">
        <v>184</v>
      </c>
      <c r="R531" t="str" cm="1">
        <f t="array" ref="R531:S531">_xlfn.TEXTSPLIT(Q531, "/", , FALSE)</f>
        <v>games</v>
      </c>
      <c r="S531" t="str">
        <v>video games</v>
      </c>
    </row>
    <row r="532" spans="1:19" ht="34" x14ac:dyDescent="0.2">
      <c r="A532">
        <v>530</v>
      </c>
      <c r="B532" t="s">
        <v>1200</v>
      </c>
      <c r="C532" s="3" t="s">
        <v>1201</v>
      </c>
      <c r="D532">
        <v>105000</v>
      </c>
      <c r="E532">
        <v>96328</v>
      </c>
      <c r="F532" s="5">
        <f t="shared" si="8"/>
        <v>0.91740952380952379</v>
      </c>
      <c r="G532" t="s">
        <v>6</v>
      </c>
      <c r="H532">
        <v>1784</v>
      </c>
      <c r="I532" t="s">
        <v>109</v>
      </c>
      <c r="J532" t="s">
        <v>110</v>
      </c>
      <c r="K532" s="4">
        <v>40421.208333333336</v>
      </c>
      <c r="L532" s="4" t="s">
        <v>54</v>
      </c>
      <c r="M532" s="4" t="s">
        <v>140</v>
      </c>
      <c r="N532" s="4">
        <v>40435.208333333336</v>
      </c>
      <c r="O532" t="b">
        <v>0</v>
      </c>
      <c r="P532" t="b">
        <v>1</v>
      </c>
      <c r="Q532" t="s">
        <v>214</v>
      </c>
      <c r="R532" t="str" cm="1">
        <f t="array" ref="R532:S532">_xlfn.TEXTSPLIT(Q532, "/", , FALSE)</f>
        <v>publishing</v>
      </c>
      <c r="S532" t="str">
        <v>fiction</v>
      </c>
    </row>
    <row r="533" spans="1:19" ht="34" x14ac:dyDescent="0.2">
      <c r="A533">
        <v>531</v>
      </c>
      <c r="B533" t="s">
        <v>1202</v>
      </c>
      <c r="C533" s="3" t="s">
        <v>1203</v>
      </c>
      <c r="D533">
        <v>186700</v>
      </c>
      <c r="E533">
        <v>178338</v>
      </c>
      <c r="F533" s="5">
        <f t="shared" si="8"/>
        <v>0.95521156936261387</v>
      </c>
      <c r="G533" t="s">
        <v>7</v>
      </c>
      <c r="H533">
        <v>3640</v>
      </c>
      <c r="I533" t="s">
        <v>193</v>
      </c>
      <c r="J533" t="s">
        <v>194</v>
      </c>
      <c r="K533" s="4">
        <v>41589.25</v>
      </c>
      <c r="L533" s="4" t="s">
        <v>57</v>
      </c>
      <c r="M533" s="4" t="s">
        <v>117</v>
      </c>
      <c r="N533" s="4">
        <v>41645.25</v>
      </c>
      <c r="O533" t="b">
        <v>0</v>
      </c>
      <c r="P533" t="b">
        <v>0</v>
      </c>
      <c r="Q533" t="s">
        <v>184</v>
      </c>
      <c r="R533" t="str" cm="1">
        <f t="array" ref="R533:S533">_xlfn.TEXTSPLIT(Q533, "/", , FALSE)</f>
        <v>games</v>
      </c>
      <c r="S533" t="str">
        <v>video games</v>
      </c>
    </row>
    <row r="534" spans="1:19" ht="17" x14ac:dyDescent="0.2">
      <c r="A534">
        <v>532</v>
      </c>
      <c r="B534" t="s">
        <v>1204</v>
      </c>
      <c r="C534" s="3" t="s">
        <v>1205</v>
      </c>
      <c r="D534">
        <v>1600</v>
      </c>
      <c r="E534">
        <v>8046</v>
      </c>
      <c r="F534" s="5">
        <f t="shared" si="8"/>
        <v>5.0287499999999996</v>
      </c>
      <c r="G534" t="s">
        <v>8</v>
      </c>
      <c r="H534">
        <v>126</v>
      </c>
      <c r="I534" t="s">
        <v>103</v>
      </c>
      <c r="J534" t="s">
        <v>104</v>
      </c>
      <c r="K534" s="4">
        <v>43125.25</v>
      </c>
      <c r="L534" s="4" t="s">
        <v>47</v>
      </c>
      <c r="M534" s="4" t="s">
        <v>169</v>
      </c>
      <c r="N534" s="4">
        <v>43126.25</v>
      </c>
      <c r="O534" t="b">
        <v>0</v>
      </c>
      <c r="P534" t="b">
        <v>0</v>
      </c>
      <c r="Q534" t="s">
        <v>124</v>
      </c>
      <c r="R534" t="str" cm="1">
        <f t="array" ref="R534:S534">_xlfn.TEXTSPLIT(Q534, "/", , FALSE)</f>
        <v>theater</v>
      </c>
      <c r="S534" t="str">
        <v>plays</v>
      </c>
    </row>
    <row r="535" spans="1:19" ht="17" x14ac:dyDescent="0.2">
      <c r="A535">
        <v>533</v>
      </c>
      <c r="B535" t="s">
        <v>1206</v>
      </c>
      <c r="C535" s="3" t="s">
        <v>1207</v>
      </c>
      <c r="D535">
        <v>115600</v>
      </c>
      <c r="E535">
        <v>184086</v>
      </c>
      <c r="F535" s="5">
        <f t="shared" si="8"/>
        <v>1.5924394463667819</v>
      </c>
      <c r="G535" t="s">
        <v>8</v>
      </c>
      <c r="H535">
        <v>2218</v>
      </c>
      <c r="I535" t="s">
        <v>132</v>
      </c>
      <c r="J535" t="s">
        <v>133</v>
      </c>
      <c r="K535" s="4">
        <v>41479.208333333336</v>
      </c>
      <c r="L535" s="4" t="s">
        <v>53</v>
      </c>
      <c r="M535" s="4" t="s">
        <v>117</v>
      </c>
      <c r="N535" s="4">
        <v>41515.208333333336</v>
      </c>
      <c r="O535" t="b">
        <v>0</v>
      </c>
      <c r="P535" t="b">
        <v>0</v>
      </c>
      <c r="Q535" t="s">
        <v>154</v>
      </c>
      <c r="R535" t="str" cm="1">
        <f t="array" ref="R535:S535">_xlfn.TEXTSPLIT(Q535, "/", , FALSE)</f>
        <v>music</v>
      </c>
      <c r="S535" t="str">
        <v>indie rock</v>
      </c>
    </row>
    <row r="536" spans="1:19" ht="17" x14ac:dyDescent="0.2">
      <c r="A536">
        <v>534</v>
      </c>
      <c r="B536" t="s">
        <v>1208</v>
      </c>
      <c r="C536" s="3" t="s">
        <v>1209</v>
      </c>
      <c r="D536">
        <v>89100</v>
      </c>
      <c r="E536">
        <v>13385</v>
      </c>
      <c r="F536" s="5">
        <f t="shared" si="8"/>
        <v>0.15022446689113356</v>
      </c>
      <c r="G536" t="s">
        <v>6</v>
      </c>
      <c r="H536">
        <v>243</v>
      </c>
      <c r="I536" t="s">
        <v>109</v>
      </c>
      <c r="J536" t="s">
        <v>110</v>
      </c>
      <c r="K536" s="4">
        <v>43329.208333333328</v>
      </c>
      <c r="L536" s="4" t="s">
        <v>54</v>
      </c>
      <c r="M536" s="4" t="s">
        <v>169</v>
      </c>
      <c r="N536" s="4">
        <v>43330.208333333328</v>
      </c>
      <c r="O536" t="b">
        <v>0</v>
      </c>
      <c r="P536" t="b">
        <v>1</v>
      </c>
      <c r="Q536" t="s">
        <v>146</v>
      </c>
      <c r="R536" t="str" cm="1">
        <f t="array" ref="R536:S536">_xlfn.TEXTSPLIT(Q536, "/", , FALSE)</f>
        <v>film &amp; video</v>
      </c>
      <c r="S536" t="str">
        <v>drama</v>
      </c>
    </row>
    <row r="537" spans="1:19" ht="17" x14ac:dyDescent="0.2">
      <c r="A537">
        <v>535</v>
      </c>
      <c r="B537" t="s">
        <v>1210</v>
      </c>
      <c r="C537" s="3" t="s">
        <v>1211</v>
      </c>
      <c r="D537">
        <v>2600</v>
      </c>
      <c r="E537">
        <v>12533</v>
      </c>
      <c r="F537" s="5">
        <f t="shared" si="8"/>
        <v>4.820384615384615</v>
      </c>
      <c r="G537" t="s">
        <v>8</v>
      </c>
      <c r="H537">
        <v>202</v>
      </c>
      <c r="I537" t="s">
        <v>202</v>
      </c>
      <c r="J537" t="s">
        <v>203</v>
      </c>
      <c r="K537" s="4">
        <v>43259.208333333328</v>
      </c>
      <c r="L537" s="4" t="s">
        <v>52</v>
      </c>
      <c r="M537" s="4" t="s">
        <v>169</v>
      </c>
      <c r="N537" s="4">
        <v>43261.208333333328</v>
      </c>
      <c r="O537" t="b">
        <v>0</v>
      </c>
      <c r="P537" t="b">
        <v>1</v>
      </c>
      <c r="Q537" t="s">
        <v>124</v>
      </c>
      <c r="R537" t="str" cm="1">
        <f t="array" ref="R537:S537">_xlfn.TEXTSPLIT(Q537, "/", , FALSE)</f>
        <v>theater</v>
      </c>
      <c r="S537" t="str">
        <v>plays</v>
      </c>
    </row>
    <row r="538" spans="1:19" ht="17" x14ac:dyDescent="0.2">
      <c r="A538">
        <v>536</v>
      </c>
      <c r="B538" t="s">
        <v>1212</v>
      </c>
      <c r="C538" s="3" t="s">
        <v>1213</v>
      </c>
      <c r="D538">
        <v>9800</v>
      </c>
      <c r="E538">
        <v>14697</v>
      </c>
      <c r="F538" s="5">
        <f t="shared" si="8"/>
        <v>1.4996938775510205</v>
      </c>
      <c r="G538" t="s">
        <v>8</v>
      </c>
      <c r="H538">
        <v>140</v>
      </c>
      <c r="I538" t="s">
        <v>202</v>
      </c>
      <c r="J538" t="s">
        <v>203</v>
      </c>
      <c r="K538" s="4">
        <v>40414.208333333336</v>
      </c>
      <c r="L538" s="4" t="s">
        <v>54</v>
      </c>
      <c r="M538" s="4" t="s">
        <v>140</v>
      </c>
      <c r="N538" s="4">
        <v>40440.208333333336</v>
      </c>
      <c r="O538" t="b">
        <v>0</v>
      </c>
      <c r="P538" t="b">
        <v>0</v>
      </c>
      <c r="Q538" t="s">
        <v>214</v>
      </c>
      <c r="R538" t="str" cm="1">
        <f t="array" ref="R538:S538">_xlfn.TEXTSPLIT(Q538, "/", , FALSE)</f>
        <v>publishing</v>
      </c>
      <c r="S538" t="str">
        <v>fiction</v>
      </c>
    </row>
    <row r="539" spans="1:19" ht="17" x14ac:dyDescent="0.2">
      <c r="A539">
        <v>537</v>
      </c>
      <c r="B539" t="s">
        <v>1214</v>
      </c>
      <c r="C539" s="3" t="s">
        <v>1215</v>
      </c>
      <c r="D539">
        <v>84400</v>
      </c>
      <c r="E539">
        <v>98935</v>
      </c>
      <c r="F539" s="5">
        <f t="shared" si="8"/>
        <v>1.1722156398104266</v>
      </c>
      <c r="G539" t="s">
        <v>8</v>
      </c>
      <c r="H539">
        <v>1052</v>
      </c>
      <c r="I539" t="s">
        <v>127</v>
      </c>
      <c r="J539" t="s">
        <v>128</v>
      </c>
      <c r="K539" s="4">
        <v>43342.208333333328</v>
      </c>
      <c r="L539" s="4" t="s">
        <v>54</v>
      </c>
      <c r="M539" s="4" t="s">
        <v>169</v>
      </c>
      <c r="N539" s="4">
        <v>43365.208333333328</v>
      </c>
      <c r="O539" t="b">
        <v>1</v>
      </c>
      <c r="P539" t="b">
        <v>1</v>
      </c>
      <c r="Q539" t="s">
        <v>135</v>
      </c>
      <c r="R539" t="str" cm="1">
        <f t="array" ref="R539:S539">_xlfn.TEXTSPLIT(Q539, "/", , FALSE)</f>
        <v>film &amp; video</v>
      </c>
      <c r="S539" t="str">
        <v>documentary</v>
      </c>
    </row>
    <row r="540" spans="1:19" ht="17" x14ac:dyDescent="0.2">
      <c r="A540">
        <v>538</v>
      </c>
      <c r="B540" t="s">
        <v>1216</v>
      </c>
      <c r="C540" s="3" t="s">
        <v>1217</v>
      </c>
      <c r="D540">
        <v>151300</v>
      </c>
      <c r="E540">
        <v>57034</v>
      </c>
      <c r="F540" s="5">
        <f t="shared" si="8"/>
        <v>0.37695968274950431</v>
      </c>
      <c r="G540" t="s">
        <v>6</v>
      </c>
      <c r="H540">
        <v>1296</v>
      </c>
      <c r="I540" t="s">
        <v>109</v>
      </c>
      <c r="J540" t="s">
        <v>110</v>
      </c>
      <c r="K540" s="4">
        <v>41539.208333333336</v>
      </c>
      <c r="L540" s="4" t="s">
        <v>55</v>
      </c>
      <c r="M540" s="4" t="s">
        <v>117</v>
      </c>
      <c r="N540" s="4">
        <v>41555.208333333336</v>
      </c>
      <c r="O540" t="b">
        <v>0</v>
      </c>
      <c r="P540" t="b">
        <v>0</v>
      </c>
      <c r="Q540" t="s">
        <v>387</v>
      </c>
      <c r="R540" t="str" cm="1">
        <f t="array" ref="R540:S540">_xlfn.TEXTSPLIT(Q540, "/", , FALSE)</f>
        <v>games</v>
      </c>
      <c r="S540" t="str">
        <v>mobile games</v>
      </c>
    </row>
    <row r="541" spans="1:19" ht="17" x14ac:dyDescent="0.2">
      <c r="A541">
        <v>539</v>
      </c>
      <c r="B541" t="s">
        <v>1218</v>
      </c>
      <c r="C541" s="3" t="s">
        <v>1219</v>
      </c>
      <c r="D541">
        <v>9800</v>
      </c>
      <c r="E541">
        <v>7120</v>
      </c>
      <c r="F541" s="5">
        <f t="shared" si="8"/>
        <v>0.72653061224489801</v>
      </c>
      <c r="G541" t="s">
        <v>6</v>
      </c>
      <c r="H541">
        <v>77</v>
      </c>
      <c r="I541" t="s">
        <v>109</v>
      </c>
      <c r="J541" t="s">
        <v>110</v>
      </c>
      <c r="K541" s="4">
        <v>43647.208333333328</v>
      </c>
      <c r="L541" s="4" t="s">
        <v>53</v>
      </c>
      <c r="M541" s="4" t="s">
        <v>121</v>
      </c>
      <c r="N541" s="4">
        <v>43653.208333333328</v>
      </c>
      <c r="O541" t="b">
        <v>0</v>
      </c>
      <c r="P541" t="b">
        <v>1</v>
      </c>
      <c r="Q541" t="s">
        <v>106</v>
      </c>
      <c r="R541" t="str" cm="1">
        <f t="array" ref="R541:S541">_xlfn.TEXTSPLIT(Q541, "/", , FALSE)</f>
        <v>food</v>
      </c>
      <c r="S541" t="str">
        <v>food trucks</v>
      </c>
    </row>
    <row r="542" spans="1:19" ht="17" x14ac:dyDescent="0.2">
      <c r="A542">
        <v>540</v>
      </c>
      <c r="B542" t="s">
        <v>1220</v>
      </c>
      <c r="C542" s="3" t="s">
        <v>1221</v>
      </c>
      <c r="D542">
        <v>5300</v>
      </c>
      <c r="E542">
        <v>14097</v>
      </c>
      <c r="F542" s="5">
        <f t="shared" si="8"/>
        <v>2.6598113207547169</v>
      </c>
      <c r="G542" t="s">
        <v>8</v>
      </c>
      <c r="H542">
        <v>247</v>
      </c>
      <c r="I542" t="s">
        <v>109</v>
      </c>
      <c r="J542" t="s">
        <v>110</v>
      </c>
      <c r="K542" s="4">
        <v>43225.208333333328</v>
      </c>
      <c r="L542" s="4" t="s">
        <v>51</v>
      </c>
      <c r="M542" s="4" t="s">
        <v>169</v>
      </c>
      <c r="N542" s="4">
        <v>43247.208333333328</v>
      </c>
      <c r="O542" t="b">
        <v>0</v>
      </c>
      <c r="P542" t="b">
        <v>0</v>
      </c>
      <c r="Q542" t="s">
        <v>217</v>
      </c>
      <c r="R542" t="str" cm="1">
        <f t="array" ref="R542:S542">_xlfn.TEXTSPLIT(Q542, "/", , FALSE)</f>
        <v>photography</v>
      </c>
      <c r="S542" t="str">
        <v>photography books</v>
      </c>
    </row>
    <row r="543" spans="1:19" ht="17" x14ac:dyDescent="0.2">
      <c r="A543">
        <v>541</v>
      </c>
      <c r="B543" t="s">
        <v>1222</v>
      </c>
      <c r="C543" s="3" t="s">
        <v>1223</v>
      </c>
      <c r="D543">
        <v>178000</v>
      </c>
      <c r="E543">
        <v>43086</v>
      </c>
      <c r="F543" s="5">
        <f t="shared" si="8"/>
        <v>0.24205617977528091</v>
      </c>
      <c r="G543" t="s">
        <v>6</v>
      </c>
      <c r="H543">
        <v>395</v>
      </c>
      <c r="I543" t="s">
        <v>202</v>
      </c>
      <c r="J543" t="s">
        <v>203</v>
      </c>
      <c r="K543" s="4">
        <v>42165.208333333328</v>
      </c>
      <c r="L543" s="4" t="s">
        <v>52</v>
      </c>
      <c r="M543" s="4" t="s">
        <v>105</v>
      </c>
      <c r="N543" s="4">
        <v>42191.208333333328</v>
      </c>
      <c r="O543" t="b">
        <v>0</v>
      </c>
      <c r="P543" t="b">
        <v>0</v>
      </c>
      <c r="Q543" t="s">
        <v>387</v>
      </c>
      <c r="R543" t="str" cm="1">
        <f t="array" ref="R543:S543">_xlfn.TEXTSPLIT(Q543, "/", , FALSE)</f>
        <v>games</v>
      </c>
      <c r="S543" t="str">
        <v>mobile games</v>
      </c>
    </row>
    <row r="544" spans="1:19" ht="17" x14ac:dyDescent="0.2">
      <c r="A544">
        <v>542</v>
      </c>
      <c r="B544" t="s">
        <v>1224</v>
      </c>
      <c r="C544" s="3" t="s">
        <v>1225</v>
      </c>
      <c r="D544">
        <v>77000</v>
      </c>
      <c r="E544">
        <v>1930</v>
      </c>
      <c r="F544" s="5">
        <f t="shared" si="8"/>
        <v>2.5064935064935064E-2</v>
      </c>
      <c r="G544" t="s">
        <v>6</v>
      </c>
      <c r="H544">
        <v>49</v>
      </c>
      <c r="I544" t="s">
        <v>132</v>
      </c>
      <c r="J544" t="s">
        <v>133</v>
      </c>
      <c r="K544" s="4">
        <v>42391.25</v>
      </c>
      <c r="L544" s="4" t="s">
        <v>47</v>
      </c>
      <c r="M544" s="4" t="s">
        <v>153</v>
      </c>
      <c r="N544" s="4">
        <v>42421.25</v>
      </c>
      <c r="O544" t="b">
        <v>0</v>
      </c>
      <c r="P544" t="b">
        <v>0</v>
      </c>
      <c r="Q544" t="s">
        <v>154</v>
      </c>
      <c r="R544" t="str" cm="1">
        <f t="array" ref="R544:S544">_xlfn.TEXTSPLIT(Q544, "/", , FALSE)</f>
        <v>music</v>
      </c>
      <c r="S544" t="str">
        <v>indie rock</v>
      </c>
    </row>
    <row r="545" spans="1:19" ht="17" x14ac:dyDescent="0.2">
      <c r="A545">
        <v>543</v>
      </c>
      <c r="B545" t="s">
        <v>1226</v>
      </c>
      <c r="C545" s="3" t="s">
        <v>1227</v>
      </c>
      <c r="D545">
        <v>84900</v>
      </c>
      <c r="E545">
        <v>13864</v>
      </c>
      <c r="F545" s="5">
        <f t="shared" si="8"/>
        <v>0.1632979976442874</v>
      </c>
      <c r="G545" t="s">
        <v>6</v>
      </c>
      <c r="H545">
        <v>180</v>
      </c>
      <c r="I545" t="s">
        <v>109</v>
      </c>
      <c r="J545" t="s">
        <v>110</v>
      </c>
      <c r="K545" s="4">
        <v>41528.208333333336</v>
      </c>
      <c r="L545" s="4" t="s">
        <v>55</v>
      </c>
      <c r="M545" s="4" t="s">
        <v>117</v>
      </c>
      <c r="N545" s="4">
        <v>41543.208333333336</v>
      </c>
      <c r="O545" t="b">
        <v>0</v>
      </c>
      <c r="P545" t="b">
        <v>0</v>
      </c>
      <c r="Q545" t="s">
        <v>184</v>
      </c>
      <c r="R545" t="str" cm="1">
        <f t="array" ref="R545:S545">_xlfn.TEXTSPLIT(Q545, "/", , FALSE)</f>
        <v>games</v>
      </c>
      <c r="S545" t="str">
        <v>video games</v>
      </c>
    </row>
    <row r="546" spans="1:19" ht="34" x14ac:dyDescent="0.2">
      <c r="A546">
        <v>544</v>
      </c>
      <c r="B546" t="s">
        <v>1228</v>
      </c>
      <c r="C546" s="3" t="s">
        <v>1229</v>
      </c>
      <c r="D546">
        <v>2800</v>
      </c>
      <c r="E546">
        <v>7742</v>
      </c>
      <c r="F546" s="5">
        <f t="shared" si="8"/>
        <v>2.7650000000000001</v>
      </c>
      <c r="G546" t="s">
        <v>8</v>
      </c>
      <c r="H546">
        <v>84</v>
      </c>
      <c r="I546" t="s">
        <v>109</v>
      </c>
      <c r="J546" t="s">
        <v>110</v>
      </c>
      <c r="K546" s="4">
        <v>42377.25</v>
      </c>
      <c r="L546" s="4" t="s">
        <v>47</v>
      </c>
      <c r="M546" s="4" t="s">
        <v>153</v>
      </c>
      <c r="N546" s="4">
        <v>42390.25</v>
      </c>
      <c r="O546" t="b">
        <v>0</v>
      </c>
      <c r="P546" t="b">
        <v>0</v>
      </c>
      <c r="Q546" t="s">
        <v>112</v>
      </c>
      <c r="R546" t="str" cm="1">
        <f t="array" ref="R546:S546">_xlfn.TEXTSPLIT(Q546, "/", , FALSE)</f>
        <v>music</v>
      </c>
      <c r="S546" t="str">
        <v>rock</v>
      </c>
    </row>
    <row r="547" spans="1:19" ht="17" x14ac:dyDescent="0.2">
      <c r="A547">
        <v>545</v>
      </c>
      <c r="B547" t="s">
        <v>1230</v>
      </c>
      <c r="C547" s="3" t="s">
        <v>1231</v>
      </c>
      <c r="D547">
        <v>184800</v>
      </c>
      <c r="E547">
        <v>164109</v>
      </c>
      <c r="F547" s="5">
        <f t="shared" si="8"/>
        <v>0.88803571428571426</v>
      </c>
      <c r="G547" t="s">
        <v>6</v>
      </c>
      <c r="H547">
        <v>2690</v>
      </c>
      <c r="I547" t="s">
        <v>109</v>
      </c>
      <c r="J547" t="s">
        <v>110</v>
      </c>
      <c r="K547" s="4">
        <v>43824.25</v>
      </c>
      <c r="L547" s="4" t="s">
        <v>58</v>
      </c>
      <c r="M547" s="4" t="s">
        <v>121</v>
      </c>
      <c r="N547" s="4">
        <v>43844.25</v>
      </c>
      <c r="O547" t="b">
        <v>0</v>
      </c>
      <c r="P547" t="b">
        <v>0</v>
      </c>
      <c r="Q547" t="s">
        <v>124</v>
      </c>
      <c r="R547" t="str" cm="1">
        <f t="array" ref="R547:S547">_xlfn.TEXTSPLIT(Q547, "/", , FALSE)</f>
        <v>theater</v>
      </c>
      <c r="S547" t="str">
        <v>plays</v>
      </c>
    </row>
    <row r="548" spans="1:19" ht="17" x14ac:dyDescent="0.2">
      <c r="A548">
        <v>546</v>
      </c>
      <c r="B548" t="s">
        <v>1232</v>
      </c>
      <c r="C548" s="3" t="s">
        <v>1233</v>
      </c>
      <c r="D548">
        <v>4200</v>
      </c>
      <c r="E548">
        <v>6870</v>
      </c>
      <c r="F548" s="5">
        <f t="shared" si="8"/>
        <v>1.6357142857142857</v>
      </c>
      <c r="G548" t="s">
        <v>8</v>
      </c>
      <c r="H548">
        <v>88</v>
      </c>
      <c r="I548" t="s">
        <v>109</v>
      </c>
      <c r="J548" t="s">
        <v>110</v>
      </c>
      <c r="K548" s="4">
        <v>43360.208333333328</v>
      </c>
      <c r="L548" s="4" t="s">
        <v>55</v>
      </c>
      <c r="M548" s="4" t="s">
        <v>169</v>
      </c>
      <c r="N548" s="4">
        <v>43363.208333333328</v>
      </c>
      <c r="O548" t="b">
        <v>0</v>
      </c>
      <c r="P548" t="b">
        <v>1</v>
      </c>
      <c r="Q548" t="s">
        <v>124</v>
      </c>
      <c r="R548" t="str" cm="1">
        <f t="array" ref="R548:S548">_xlfn.TEXTSPLIT(Q548, "/", , FALSE)</f>
        <v>theater</v>
      </c>
      <c r="S548" t="str">
        <v>plays</v>
      </c>
    </row>
    <row r="549" spans="1:19" ht="17" x14ac:dyDescent="0.2">
      <c r="A549">
        <v>547</v>
      </c>
      <c r="B549" t="s">
        <v>1234</v>
      </c>
      <c r="C549" s="3" t="s">
        <v>1235</v>
      </c>
      <c r="D549">
        <v>1300</v>
      </c>
      <c r="E549">
        <v>12597</v>
      </c>
      <c r="F549" s="5">
        <f t="shared" si="8"/>
        <v>9.69</v>
      </c>
      <c r="G549" t="s">
        <v>8</v>
      </c>
      <c r="H549">
        <v>156</v>
      </c>
      <c r="I549" t="s">
        <v>109</v>
      </c>
      <c r="J549" t="s">
        <v>110</v>
      </c>
      <c r="K549" s="4">
        <v>42029.25</v>
      </c>
      <c r="L549" s="4" t="s">
        <v>47</v>
      </c>
      <c r="M549" s="4" t="s">
        <v>105</v>
      </c>
      <c r="N549" s="4">
        <v>42041.25</v>
      </c>
      <c r="O549" t="b">
        <v>0</v>
      </c>
      <c r="P549" t="b">
        <v>0</v>
      </c>
      <c r="Q549" t="s">
        <v>146</v>
      </c>
      <c r="R549" t="str" cm="1">
        <f t="array" ref="R549:S549">_xlfn.TEXTSPLIT(Q549, "/", , FALSE)</f>
        <v>film &amp; video</v>
      </c>
      <c r="S549" t="str">
        <v>drama</v>
      </c>
    </row>
    <row r="550" spans="1:19" ht="17" x14ac:dyDescent="0.2">
      <c r="A550">
        <v>548</v>
      </c>
      <c r="B550" t="s">
        <v>1236</v>
      </c>
      <c r="C550" s="3" t="s">
        <v>1237</v>
      </c>
      <c r="D550">
        <v>66100</v>
      </c>
      <c r="E550">
        <v>179074</v>
      </c>
      <c r="F550" s="5">
        <f t="shared" si="8"/>
        <v>2.7091376701966716</v>
      </c>
      <c r="G550" t="s">
        <v>8</v>
      </c>
      <c r="H550">
        <v>2985</v>
      </c>
      <c r="I550" t="s">
        <v>109</v>
      </c>
      <c r="J550" t="s">
        <v>110</v>
      </c>
      <c r="K550" s="4">
        <v>42461.208333333328</v>
      </c>
      <c r="L550" s="4" t="s">
        <v>50</v>
      </c>
      <c r="M550" s="4" t="s">
        <v>153</v>
      </c>
      <c r="N550" s="4">
        <v>42474.208333333328</v>
      </c>
      <c r="O550" t="b">
        <v>0</v>
      </c>
      <c r="P550" t="b">
        <v>0</v>
      </c>
      <c r="Q550" t="s">
        <v>124</v>
      </c>
      <c r="R550" t="str" cm="1">
        <f t="array" ref="R550:S550">_xlfn.TEXTSPLIT(Q550, "/", , FALSE)</f>
        <v>theater</v>
      </c>
      <c r="S550" t="str">
        <v>plays</v>
      </c>
    </row>
    <row r="551" spans="1:19" ht="34" x14ac:dyDescent="0.2">
      <c r="A551">
        <v>549</v>
      </c>
      <c r="B551" t="s">
        <v>1238</v>
      </c>
      <c r="C551" s="3" t="s">
        <v>1239</v>
      </c>
      <c r="D551">
        <v>29500</v>
      </c>
      <c r="E551">
        <v>83843</v>
      </c>
      <c r="F551" s="5">
        <f t="shared" si="8"/>
        <v>2.8421355932203389</v>
      </c>
      <c r="G551" t="s">
        <v>8</v>
      </c>
      <c r="H551">
        <v>762</v>
      </c>
      <c r="I551" t="s">
        <v>109</v>
      </c>
      <c r="J551" t="s">
        <v>110</v>
      </c>
      <c r="K551" s="4">
        <v>41422.208333333336</v>
      </c>
      <c r="L551" s="4" t="s">
        <v>51</v>
      </c>
      <c r="M551" s="4" t="s">
        <v>117</v>
      </c>
      <c r="N551" s="4">
        <v>41431.208333333336</v>
      </c>
      <c r="O551" t="b">
        <v>0</v>
      </c>
      <c r="P551" t="b">
        <v>0</v>
      </c>
      <c r="Q551" t="s">
        <v>159</v>
      </c>
      <c r="R551" t="str" cm="1">
        <f t="array" ref="R551:S551">_xlfn.TEXTSPLIT(Q551, "/", , FALSE)</f>
        <v>technology</v>
      </c>
      <c r="S551" t="str">
        <v>wearables</v>
      </c>
    </row>
    <row r="552" spans="1:19" ht="34" x14ac:dyDescent="0.2">
      <c r="A552">
        <v>550</v>
      </c>
      <c r="B552" t="s">
        <v>1240</v>
      </c>
      <c r="C552" s="3" t="s">
        <v>1241</v>
      </c>
      <c r="D552">
        <v>100</v>
      </c>
      <c r="E552">
        <v>4</v>
      </c>
      <c r="F552" s="5">
        <f t="shared" si="8"/>
        <v>0.04</v>
      </c>
      <c r="G552" t="s">
        <v>5</v>
      </c>
      <c r="H552">
        <v>1</v>
      </c>
      <c r="I552" t="s">
        <v>193</v>
      </c>
      <c r="J552" t="s">
        <v>194</v>
      </c>
      <c r="K552" s="4">
        <v>40968.25</v>
      </c>
      <c r="L552" s="4" t="s">
        <v>48</v>
      </c>
      <c r="M552" s="4" t="s">
        <v>129</v>
      </c>
      <c r="N552" s="4">
        <v>40989.208333333336</v>
      </c>
      <c r="O552" t="b">
        <v>0</v>
      </c>
      <c r="P552" t="b">
        <v>0</v>
      </c>
      <c r="Q552" t="s">
        <v>154</v>
      </c>
      <c r="R552" t="str" cm="1">
        <f t="array" ref="R552:S552">_xlfn.TEXTSPLIT(Q552, "/", , FALSE)</f>
        <v>music</v>
      </c>
      <c r="S552" t="str">
        <v>indie rock</v>
      </c>
    </row>
    <row r="553" spans="1:19" ht="17" x14ac:dyDescent="0.2">
      <c r="A553">
        <v>551</v>
      </c>
      <c r="B553" t="s">
        <v>1242</v>
      </c>
      <c r="C553" s="3" t="s">
        <v>1243</v>
      </c>
      <c r="D553">
        <v>180100</v>
      </c>
      <c r="E553">
        <v>105598</v>
      </c>
      <c r="F553" s="5">
        <f t="shared" si="8"/>
        <v>0.58632981676846196</v>
      </c>
      <c r="G553" t="s">
        <v>6</v>
      </c>
      <c r="H553">
        <v>2779</v>
      </c>
      <c r="I553" t="s">
        <v>115</v>
      </c>
      <c r="J553" t="s">
        <v>116</v>
      </c>
      <c r="K553" s="4">
        <v>41993.25</v>
      </c>
      <c r="L553" s="4" t="s">
        <v>58</v>
      </c>
      <c r="M553" s="4" t="s">
        <v>111</v>
      </c>
      <c r="N553" s="4">
        <v>42033.25</v>
      </c>
      <c r="O553" t="b">
        <v>0</v>
      </c>
      <c r="P553" t="b">
        <v>1</v>
      </c>
      <c r="Q553" t="s">
        <v>118</v>
      </c>
      <c r="R553" t="str" cm="1">
        <f t="array" ref="R553:S553">_xlfn.TEXTSPLIT(Q553, "/", , FALSE)</f>
        <v>technology</v>
      </c>
      <c r="S553" t="str">
        <v>web</v>
      </c>
    </row>
    <row r="554" spans="1:19" ht="17" x14ac:dyDescent="0.2">
      <c r="A554">
        <v>552</v>
      </c>
      <c r="B554" t="s">
        <v>1244</v>
      </c>
      <c r="C554" s="3" t="s">
        <v>1245</v>
      </c>
      <c r="D554">
        <v>9000</v>
      </c>
      <c r="E554">
        <v>8866</v>
      </c>
      <c r="F554" s="5">
        <f t="shared" si="8"/>
        <v>0.98511111111111116</v>
      </c>
      <c r="G554" t="s">
        <v>6</v>
      </c>
      <c r="H554">
        <v>92</v>
      </c>
      <c r="I554" t="s">
        <v>109</v>
      </c>
      <c r="J554" t="s">
        <v>110</v>
      </c>
      <c r="K554" s="4">
        <v>42700.25</v>
      </c>
      <c r="L554" s="4" t="s">
        <v>57</v>
      </c>
      <c r="M554" s="4" t="s">
        <v>153</v>
      </c>
      <c r="N554" s="4">
        <v>42702.25</v>
      </c>
      <c r="O554" t="b">
        <v>0</v>
      </c>
      <c r="P554" t="b">
        <v>0</v>
      </c>
      <c r="Q554" t="s">
        <v>124</v>
      </c>
      <c r="R554" t="str" cm="1">
        <f t="array" ref="R554:S554">_xlfn.TEXTSPLIT(Q554, "/", , FALSE)</f>
        <v>theater</v>
      </c>
      <c r="S554" t="str">
        <v>plays</v>
      </c>
    </row>
    <row r="555" spans="1:19" ht="34" x14ac:dyDescent="0.2">
      <c r="A555">
        <v>553</v>
      </c>
      <c r="B555" t="s">
        <v>1246</v>
      </c>
      <c r="C555" s="3" t="s">
        <v>1247</v>
      </c>
      <c r="D555">
        <v>170600</v>
      </c>
      <c r="E555">
        <v>75022</v>
      </c>
      <c r="F555" s="5">
        <f t="shared" si="8"/>
        <v>0.43975381008206332</v>
      </c>
      <c r="G555" t="s">
        <v>6</v>
      </c>
      <c r="H555">
        <v>1028</v>
      </c>
      <c r="I555" t="s">
        <v>109</v>
      </c>
      <c r="J555" t="s">
        <v>110</v>
      </c>
      <c r="K555" s="4">
        <v>40545.25</v>
      </c>
      <c r="L555" s="4" t="s">
        <v>47</v>
      </c>
      <c r="M555" s="4" t="s">
        <v>165</v>
      </c>
      <c r="N555" s="4">
        <v>40546.25</v>
      </c>
      <c r="O555" t="b">
        <v>0</v>
      </c>
      <c r="P555" t="b">
        <v>0</v>
      </c>
      <c r="Q555" t="s">
        <v>112</v>
      </c>
      <c r="R555" t="str" cm="1">
        <f t="array" ref="R555:S555">_xlfn.TEXTSPLIT(Q555, "/", , FALSE)</f>
        <v>music</v>
      </c>
      <c r="S555" t="str">
        <v>rock</v>
      </c>
    </row>
    <row r="556" spans="1:19" ht="34" x14ac:dyDescent="0.2">
      <c r="A556">
        <v>554</v>
      </c>
      <c r="B556" t="s">
        <v>1248</v>
      </c>
      <c r="C556" s="3" t="s">
        <v>1249</v>
      </c>
      <c r="D556">
        <v>9500</v>
      </c>
      <c r="E556">
        <v>14408</v>
      </c>
      <c r="F556" s="5">
        <f t="shared" si="8"/>
        <v>1.5166315789473683</v>
      </c>
      <c r="G556" t="s">
        <v>8</v>
      </c>
      <c r="H556">
        <v>554</v>
      </c>
      <c r="I556" t="s">
        <v>103</v>
      </c>
      <c r="J556" t="s">
        <v>104</v>
      </c>
      <c r="K556" s="4">
        <v>42723.25</v>
      </c>
      <c r="L556" s="4" t="s">
        <v>58</v>
      </c>
      <c r="M556" s="4" t="s">
        <v>153</v>
      </c>
      <c r="N556" s="4">
        <v>42729.25</v>
      </c>
      <c r="O556" t="b">
        <v>0</v>
      </c>
      <c r="P556" t="b">
        <v>0</v>
      </c>
      <c r="Q556" t="s">
        <v>154</v>
      </c>
      <c r="R556" t="str" cm="1">
        <f t="array" ref="R556:S556">_xlfn.TEXTSPLIT(Q556, "/", , FALSE)</f>
        <v>music</v>
      </c>
      <c r="S556" t="str">
        <v>indie rock</v>
      </c>
    </row>
    <row r="557" spans="1:19" ht="17" x14ac:dyDescent="0.2">
      <c r="A557">
        <v>555</v>
      </c>
      <c r="B557" t="s">
        <v>1250</v>
      </c>
      <c r="C557" s="3" t="s">
        <v>1251</v>
      </c>
      <c r="D557">
        <v>6300</v>
      </c>
      <c r="E557">
        <v>14089</v>
      </c>
      <c r="F557" s="5">
        <f t="shared" si="8"/>
        <v>2.2363492063492063</v>
      </c>
      <c r="G557" t="s">
        <v>8</v>
      </c>
      <c r="H557">
        <v>135</v>
      </c>
      <c r="I557" t="s">
        <v>127</v>
      </c>
      <c r="J557" t="s">
        <v>128</v>
      </c>
      <c r="K557" s="4">
        <v>41731.208333333336</v>
      </c>
      <c r="L557" s="4" t="s">
        <v>50</v>
      </c>
      <c r="M557" s="4" t="s">
        <v>111</v>
      </c>
      <c r="N557" s="4">
        <v>41762.208333333336</v>
      </c>
      <c r="O557" t="b">
        <v>0</v>
      </c>
      <c r="P557" t="b">
        <v>0</v>
      </c>
      <c r="Q557" t="s">
        <v>112</v>
      </c>
      <c r="R557" t="str" cm="1">
        <f t="array" ref="R557:S557">_xlfn.TEXTSPLIT(Q557, "/", , FALSE)</f>
        <v>music</v>
      </c>
      <c r="S557" t="str">
        <v>rock</v>
      </c>
    </row>
    <row r="558" spans="1:19" ht="17" x14ac:dyDescent="0.2">
      <c r="A558">
        <v>556</v>
      </c>
      <c r="B558" t="s">
        <v>537</v>
      </c>
      <c r="C558" s="3" t="s">
        <v>1252</v>
      </c>
      <c r="D558">
        <v>5200</v>
      </c>
      <c r="E558">
        <v>12467</v>
      </c>
      <c r="F558" s="5">
        <f t="shared" si="8"/>
        <v>2.3975</v>
      </c>
      <c r="G558" t="s">
        <v>8</v>
      </c>
      <c r="H558">
        <v>122</v>
      </c>
      <c r="I558" t="s">
        <v>109</v>
      </c>
      <c r="J558" t="s">
        <v>110</v>
      </c>
      <c r="K558" s="4">
        <v>40792.208333333336</v>
      </c>
      <c r="L558" s="4" t="s">
        <v>55</v>
      </c>
      <c r="M558" s="4" t="s">
        <v>165</v>
      </c>
      <c r="N558" s="4">
        <v>40799.208333333336</v>
      </c>
      <c r="O558" t="b">
        <v>0</v>
      </c>
      <c r="P558" t="b">
        <v>1</v>
      </c>
      <c r="Q558" t="s">
        <v>301</v>
      </c>
      <c r="R558" t="str" cm="1">
        <f t="array" ref="R558:S558">_xlfn.TEXTSPLIT(Q558, "/", , FALSE)</f>
        <v>publishing</v>
      </c>
      <c r="S558" t="str">
        <v>translations</v>
      </c>
    </row>
    <row r="559" spans="1:19" ht="17" x14ac:dyDescent="0.2">
      <c r="A559">
        <v>557</v>
      </c>
      <c r="B559" t="s">
        <v>1253</v>
      </c>
      <c r="C559" s="3" t="s">
        <v>1254</v>
      </c>
      <c r="D559">
        <v>6000</v>
      </c>
      <c r="E559">
        <v>11960</v>
      </c>
      <c r="F559" s="5">
        <f t="shared" si="8"/>
        <v>1.9933333333333334</v>
      </c>
      <c r="G559" t="s">
        <v>8</v>
      </c>
      <c r="H559">
        <v>221</v>
      </c>
      <c r="I559" t="s">
        <v>109</v>
      </c>
      <c r="J559" t="s">
        <v>110</v>
      </c>
      <c r="K559" s="4">
        <v>42279.208333333328</v>
      </c>
      <c r="L559" s="4" t="s">
        <v>56</v>
      </c>
      <c r="M559" s="4" t="s">
        <v>105</v>
      </c>
      <c r="N559" s="4">
        <v>42282.208333333328</v>
      </c>
      <c r="O559" t="b">
        <v>0</v>
      </c>
      <c r="P559" t="b">
        <v>1</v>
      </c>
      <c r="Q559" t="s">
        <v>569</v>
      </c>
      <c r="R559" t="str" cm="1">
        <f t="array" ref="R559:S559">_xlfn.TEXTSPLIT(Q559, "/", , FALSE)</f>
        <v>film &amp; video</v>
      </c>
      <c r="S559" t="str">
        <v>science fiction</v>
      </c>
    </row>
    <row r="560" spans="1:19" ht="17" x14ac:dyDescent="0.2">
      <c r="A560">
        <v>558</v>
      </c>
      <c r="B560" t="s">
        <v>1255</v>
      </c>
      <c r="C560" s="3" t="s">
        <v>1256</v>
      </c>
      <c r="D560">
        <v>5800</v>
      </c>
      <c r="E560">
        <v>7966</v>
      </c>
      <c r="F560" s="5">
        <f t="shared" si="8"/>
        <v>1.373448275862069</v>
      </c>
      <c r="G560" t="s">
        <v>8</v>
      </c>
      <c r="H560">
        <v>126</v>
      </c>
      <c r="I560" t="s">
        <v>109</v>
      </c>
      <c r="J560" t="s">
        <v>110</v>
      </c>
      <c r="K560" s="4">
        <v>42424.25</v>
      </c>
      <c r="L560" s="4" t="s">
        <v>48</v>
      </c>
      <c r="M560" s="4" t="s">
        <v>153</v>
      </c>
      <c r="N560" s="4">
        <v>42467.208333333328</v>
      </c>
      <c r="O560" t="b">
        <v>0</v>
      </c>
      <c r="P560" t="b">
        <v>0</v>
      </c>
      <c r="Q560" t="s">
        <v>124</v>
      </c>
      <c r="R560" t="str" cm="1">
        <f t="array" ref="R560:S560">_xlfn.TEXTSPLIT(Q560, "/", , FALSE)</f>
        <v>theater</v>
      </c>
      <c r="S560" t="str">
        <v>plays</v>
      </c>
    </row>
    <row r="561" spans="1:19" ht="17" x14ac:dyDescent="0.2">
      <c r="A561">
        <v>559</v>
      </c>
      <c r="B561" t="s">
        <v>1257</v>
      </c>
      <c r="C561" s="3" t="s">
        <v>1258</v>
      </c>
      <c r="D561">
        <v>105300</v>
      </c>
      <c r="E561">
        <v>106321</v>
      </c>
      <c r="F561" s="5">
        <f t="shared" si="8"/>
        <v>1.009696106362773</v>
      </c>
      <c r="G561" t="s">
        <v>8</v>
      </c>
      <c r="H561">
        <v>1022</v>
      </c>
      <c r="I561" t="s">
        <v>109</v>
      </c>
      <c r="J561" t="s">
        <v>110</v>
      </c>
      <c r="K561" s="4">
        <v>42584.208333333328</v>
      </c>
      <c r="L561" s="4" t="s">
        <v>54</v>
      </c>
      <c r="M561" s="4" t="s">
        <v>153</v>
      </c>
      <c r="N561" s="4">
        <v>42591.208333333328</v>
      </c>
      <c r="O561" t="b">
        <v>0</v>
      </c>
      <c r="P561" t="b">
        <v>0</v>
      </c>
      <c r="Q561" t="s">
        <v>124</v>
      </c>
      <c r="R561" t="str" cm="1">
        <f t="array" ref="R561:S561">_xlfn.TEXTSPLIT(Q561, "/", , FALSE)</f>
        <v>theater</v>
      </c>
      <c r="S561" t="str">
        <v>plays</v>
      </c>
    </row>
    <row r="562" spans="1:19" ht="17" x14ac:dyDescent="0.2">
      <c r="A562">
        <v>560</v>
      </c>
      <c r="B562" t="s">
        <v>1259</v>
      </c>
      <c r="C562" s="3" t="s">
        <v>1260</v>
      </c>
      <c r="D562">
        <v>20000</v>
      </c>
      <c r="E562">
        <v>158832</v>
      </c>
      <c r="F562" s="5">
        <f t="shared" si="8"/>
        <v>7.9416000000000002</v>
      </c>
      <c r="G562" t="s">
        <v>8</v>
      </c>
      <c r="H562">
        <v>3177</v>
      </c>
      <c r="I562" t="s">
        <v>109</v>
      </c>
      <c r="J562" t="s">
        <v>110</v>
      </c>
      <c r="K562" s="4">
        <v>40865.25</v>
      </c>
      <c r="L562" s="4" t="s">
        <v>57</v>
      </c>
      <c r="M562" s="4" t="s">
        <v>165</v>
      </c>
      <c r="N562" s="4">
        <v>40905.25</v>
      </c>
      <c r="O562" t="b">
        <v>0</v>
      </c>
      <c r="P562" t="b">
        <v>0</v>
      </c>
      <c r="Q562" t="s">
        <v>166</v>
      </c>
      <c r="R562" t="str" cm="1">
        <f t="array" ref="R562:S562">_xlfn.TEXTSPLIT(Q562, "/", , FALSE)</f>
        <v>film &amp; video</v>
      </c>
      <c r="S562" t="str">
        <v>animation</v>
      </c>
    </row>
    <row r="563" spans="1:19" ht="17" x14ac:dyDescent="0.2">
      <c r="A563">
        <v>561</v>
      </c>
      <c r="B563" t="s">
        <v>1261</v>
      </c>
      <c r="C563" s="3" t="s">
        <v>1262</v>
      </c>
      <c r="D563">
        <v>3000</v>
      </c>
      <c r="E563">
        <v>11091</v>
      </c>
      <c r="F563" s="5">
        <f t="shared" si="8"/>
        <v>3.6970000000000001</v>
      </c>
      <c r="G563" t="s">
        <v>8</v>
      </c>
      <c r="H563">
        <v>198</v>
      </c>
      <c r="I563" t="s">
        <v>193</v>
      </c>
      <c r="J563" t="s">
        <v>194</v>
      </c>
      <c r="K563" s="4">
        <v>40833.208333333336</v>
      </c>
      <c r="L563" s="4" t="s">
        <v>56</v>
      </c>
      <c r="M563" s="4" t="s">
        <v>165</v>
      </c>
      <c r="N563" s="4">
        <v>40835.208333333336</v>
      </c>
      <c r="O563" t="b">
        <v>0</v>
      </c>
      <c r="P563" t="b">
        <v>0</v>
      </c>
      <c r="Q563" t="s">
        <v>124</v>
      </c>
      <c r="R563" t="str" cm="1">
        <f t="array" ref="R563:S563">_xlfn.TEXTSPLIT(Q563, "/", , FALSE)</f>
        <v>theater</v>
      </c>
      <c r="S563" t="str">
        <v>plays</v>
      </c>
    </row>
    <row r="564" spans="1:19" ht="34" x14ac:dyDescent="0.2">
      <c r="A564">
        <v>562</v>
      </c>
      <c r="B564" t="s">
        <v>1263</v>
      </c>
      <c r="C564" s="3" t="s">
        <v>1264</v>
      </c>
      <c r="D564">
        <v>9900</v>
      </c>
      <c r="E564">
        <v>1269</v>
      </c>
      <c r="F564" s="5">
        <f t="shared" si="8"/>
        <v>0.12818181818181817</v>
      </c>
      <c r="G564" t="s">
        <v>6</v>
      </c>
      <c r="H564">
        <v>26</v>
      </c>
      <c r="I564" t="s">
        <v>193</v>
      </c>
      <c r="J564" t="s">
        <v>194</v>
      </c>
      <c r="K564" s="4">
        <v>43536.208333333328</v>
      </c>
      <c r="L564" s="4" t="s">
        <v>49</v>
      </c>
      <c r="M564" s="4" t="s">
        <v>121</v>
      </c>
      <c r="N564" s="4">
        <v>43538.208333333328</v>
      </c>
      <c r="O564" t="b">
        <v>0</v>
      </c>
      <c r="P564" t="b">
        <v>0</v>
      </c>
      <c r="Q564" t="s">
        <v>112</v>
      </c>
      <c r="R564" t="str" cm="1">
        <f t="array" ref="R564:S564">_xlfn.TEXTSPLIT(Q564, "/", , FALSE)</f>
        <v>music</v>
      </c>
      <c r="S564" t="str">
        <v>rock</v>
      </c>
    </row>
    <row r="565" spans="1:19" ht="17" x14ac:dyDescent="0.2">
      <c r="A565">
        <v>563</v>
      </c>
      <c r="B565" t="s">
        <v>1265</v>
      </c>
      <c r="C565" s="3" t="s">
        <v>1266</v>
      </c>
      <c r="D565">
        <v>3700</v>
      </c>
      <c r="E565">
        <v>5107</v>
      </c>
      <c r="F565" s="5">
        <f t="shared" si="8"/>
        <v>1.3802702702702703</v>
      </c>
      <c r="G565" t="s">
        <v>8</v>
      </c>
      <c r="H565">
        <v>85</v>
      </c>
      <c r="I565" t="s">
        <v>115</v>
      </c>
      <c r="J565" t="s">
        <v>116</v>
      </c>
      <c r="K565" s="4">
        <v>43417.25</v>
      </c>
      <c r="L565" s="4" t="s">
        <v>57</v>
      </c>
      <c r="M565" s="4" t="s">
        <v>169</v>
      </c>
      <c r="N565" s="4">
        <v>43437.25</v>
      </c>
      <c r="O565" t="b">
        <v>0</v>
      </c>
      <c r="P565" t="b">
        <v>0</v>
      </c>
      <c r="Q565" t="s">
        <v>135</v>
      </c>
      <c r="R565" t="str" cm="1">
        <f t="array" ref="R565:S565">_xlfn.TEXTSPLIT(Q565, "/", , FALSE)</f>
        <v>film &amp; video</v>
      </c>
      <c r="S565" t="str">
        <v>documentary</v>
      </c>
    </row>
    <row r="566" spans="1:19" ht="17" x14ac:dyDescent="0.2">
      <c r="A566">
        <v>564</v>
      </c>
      <c r="B566" t="s">
        <v>1267</v>
      </c>
      <c r="C566" s="3" t="s">
        <v>1268</v>
      </c>
      <c r="D566">
        <v>168700</v>
      </c>
      <c r="E566">
        <v>141393</v>
      </c>
      <c r="F566" s="5">
        <f t="shared" si="8"/>
        <v>0.83813278008298753</v>
      </c>
      <c r="G566" t="s">
        <v>6</v>
      </c>
      <c r="H566">
        <v>1790</v>
      </c>
      <c r="I566" t="s">
        <v>109</v>
      </c>
      <c r="J566" t="s">
        <v>110</v>
      </c>
      <c r="K566" s="4">
        <v>42078.208333333328</v>
      </c>
      <c r="L566" s="4" t="s">
        <v>49</v>
      </c>
      <c r="M566" s="4" t="s">
        <v>105</v>
      </c>
      <c r="N566" s="4">
        <v>42086.208333333328</v>
      </c>
      <c r="O566" t="b">
        <v>0</v>
      </c>
      <c r="P566" t="b">
        <v>0</v>
      </c>
      <c r="Q566" t="s">
        <v>124</v>
      </c>
      <c r="R566" t="str" cm="1">
        <f t="array" ref="R566:S566">_xlfn.TEXTSPLIT(Q566, "/", , FALSE)</f>
        <v>theater</v>
      </c>
      <c r="S566" t="str">
        <v>plays</v>
      </c>
    </row>
    <row r="567" spans="1:19" ht="17" x14ac:dyDescent="0.2">
      <c r="A567">
        <v>565</v>
      </c>
      <c r="B567" t="s">
        <v>1269</v>
      </c>
      <c r="C567" s="3" t="s">
        <v>1270</v>
      </c>
      <c r="D567">
        <v>94900</v>
      </c>
      <c r="E567">
        <v>194166</v>
      </c>
      <c r="F567" s="5">
        <f t="shared" si="8"/>
        <v>2.0460063224446787</v>
      </c>
      <c r="G567" t="s">
        <v>8</v>
      </c>
      <c r="H567">
        <v>3596</v>
      </c>
      <c r="I567" t="s">
        <v>109</v>
      </c>
      <c r="J567" t="s">
        <v>110</v>
      </c>
      <c r="K567" s="4">
        <v>40862.25</v>
      </c>
      <c r="L567" s="4" t="s">
        <v>57</v>
      </c>
      <c r="M567" s="4" t="s">
        <v>165</v>
      </c>
      <c r="N567" s="4">
        <v>40882.25</v>
      </c>
      <c r="O567" t="b">
        <v>0</v>
      </c>
      <c r="P567" t="b">
        <v>0</v>
      </c>
      <c r="Q567" t="s">
        <v>124</v>
      </c>
      <c r="R567" t="str" cm="1">
        <f t="array" ref="R567:S567">_xlfn.TEXTSPLIT(Q567, "/", , FALSE)</f>
        <v>theater</v>
      </c>
      <c r="S567" t="str">
        <v>plays</v>
      </c>
    </row>
    <row r="568" spans="1:19" ht="17" x14ac:dyDescent="0.2">
      <c r="A568">
        <v>566</v>
      </c>
      <c r="B568" t="s">
        <v>1271</v>
      </c>
      <c r="C568" s="3" t="s">
        <v>1272</v>
      </c>
      <c r="D568">
        <v>9300</v>
      </c>
      <c r="E568">
        <v>4124</v>
      </c>
      <c r="F568" s="5">
        <f t="shared" si="8"/>
        <v>0.44344086021505374</v>
      </c>
      <c r="G568" t="s">
        <v>6</v>
      </c>
      <c r="H568">
        <v>37</v>
      </c>
      <c r="I568" t="s">
        <v>109</v>
      </c>
      <c r="J568" t="s">
        <v>110</v>
      </c>
      <c r="K568" s="4">
        <v>42424.25</v>
      </c>
      <c r="L568" s="4" t="s">
        <v>48</v>
      </c>
      <c r="M568" s="4" t="s">
        <v>153</v>
      </c>
      <c r="N568" s="4">
        <v>42447.208333333328</v>
      </c>
      <c r="O568" t="b">
        <v>0</v>
      </c>
      <c r="P568" t="b">
        <v>1</v>
      </c>
      <c r="Q568" t="s">
        <v>143</v>
      </c>
      <c r="R568" t="str" cm="1">
        <f t="array" ref="R568:S568">_xlfn.TEXTSPLIT(Q568, "/", , FALSE)</f>
        <v>music</v>
      </c>
      <c r="S568" t="str">
        <v>electric music</v>
      </c>
    </row>
    <row r="569" spans="1:19" ht="34" x14ac:dyDescent="0.2">
      <c r="A569">
        <v>567</v>
      </c>
      <c r="B569" t="s">
        <v>1273</v>
      </c>
      <c r="C569" s="3" t="s">
        <v>1274</v>
      </c>
      <c r="D569">
        <v>6800</v>
      </c>
      <c r="E569">
        <v>14865</v>
      </c>
      <c r="F569" s="5">
        <f t="shared" si="8"/>
        <v>2.1860294117647059</v>
      </c>
      <c r="G569" t="s">
        <v>8</v>
      </c>
      <c r="H569">
        <v>244</v>
      </c>
      <c r="I569" t="s">
        <v>109</v>
      </c>
      <c r="J569" t="s">
        <v>110</v>
      </c>
      <c r="K569" s="4">
        <v>41830.208333333336</v>
      </c>
      <c r="L569" s="4" t="s">
        <v>53</v>
      </c>
      <c r="M569" s="4" t="s">
        <v>111</v>
      </c>
      <c r="N569" s="4">
        <v>41832.208333333336</v>
      </c>
      <c r="O569" t="b">
        <v>0</v>
      </c>
      <c r="P569" t="b">
        <v>0</v>
      </c>
      <c r="Q569" t="s">
        <v>112</v>
      </c>
      <c r="R569" t="str" cm="1">
        <f t="array" ref="R569:S569">_xlfn.TEXTSPLIT(Q569, "/", , FALSE)</f>
        <v>music</v>
      </c>
      <c r="S569" t="str">
        <v>rock</v>
      </c>
    </row>
    <row r="570" spans="1:19" ht="17" x14ac:dyDescent="0.2">
      <c r="A570">
        <v>568</v>
      </c>
      <c r="B570" t="s">
        <v>1275</v>
      </c>
      <c r="C570" s="3" t="s">
        <v>1276</v>
      </c>
      <c r="D570">
        <v>72400</v>
      </c>
      <c r="E570">
        <v>134688</v>
      </c>
      <c r="F570" s="5">
        <f t="shared" si="8"/>
        <v>1.8603314917127072</v>
      </c>
      <c r="G570" t="s">
        <v>8</v>
      </c>
      <c r="H570">
        <v>5180</v>
      </c>
      <c r="I570" t="s">
        <v>109</v>
      </c>
      <c r="J570" t="s">
        <v>110</v>
      </c>
      <c r="K570" s="4">
        <v>40374.208333333336</v>
      </c>
      <c r="L570" s="4" t="s">
        <v>53</v>
      </c>
      <c r="M570" s="4" t="s">
        <v>140</v>
      </c>
      <c r="N570" s="4">
        <v>40419.208333333336</v>
      </c>
      <c r="O570" t="b">
        <v>0</v>
      </c>
      <c r="P570" t="b">
        <v>0</v>
      </c>
      <c r="Q570" t="s">
        <v>124</v>
      </c>
      <c r="R570" t="str" cm="1">
        <f t="array" ref="R570:S570">_xlfn.TEXTSPLIT(Q570, "/", , FALSE)</f>
        <v>theater</v>
      </c>
      <c r="S570" t="str">
        <v>plays</v>
      </c>
    </row>
    <row r="571" spans="1:19" ht="17" x14ac:dyDescent="0.2">
      <c r="A571">
        <v>569</v>
      </c>
      <c r="B571" t="s">
        <v>1277</v>
      </c>
      <c r="C571" s="3" t="s">
        <v>1278</v>
      </c>
      <c r="D571">
        <v>20100</v>
      </c>
      <c r="E571">
        <v>47705</v>
      </c>
      <c r="F571" s="5">
        <f t="shared" si="8"/>
        <v>2.3733830845771142</v>
      </c>
      <c r="G571" t="s">
        <v>8</v>
      </c>
      <c r="H571">
        <v>589</v>
      </c>
      <c r="I571" t="s">
        <v>202</v>
      </c>
      <c r="J571" t="s">
        <v>203</v>
      </c>
      <c r="K571" s="4">
        <v>40554.25</v>
      </c>
      <c r="L571" s="4" t="s">
        <v>47</v>
      </c>
      <c r="M571" s="4" t="s">
        <v>165</v>
      </c>
      <c r="N571" s="4">
        <v>40566.25</v>
      </c>
      <c r="O571" t="b">
        <v>0</v>
      </c>
      <c r="P571" t="b">
        <v>0</v>
      </c>
      <c r="Q571" t="s">
        <v>166</v>
      </c>
      <c r="R571" t="str" cm="1">
        <f t="array" ref="R571:S571">_xlfn.TEXTSPLIT(Q571, "/", , FALSE)</f>
        <v>film &amp; video</v>
      </c>
      <c r="S571" t="str">
        <v>animation</v>
      </c>
    </row>
    <row r="572" spans="1:19" ht="17" x14ac:dyDescent="0.2">
      <c r="A572">
        <v>570</v>
      </c>
      <c r="B572" t="s">
        <v>1279</v>
      </c>
      <c r="C572" s="3" t="s">
        <v>1280</v>
      </c>
      <c r="D572">
        <v>31200</v>
      </c>
      <c r="E572">
        <v>95364</v>
      </c>
      <c r="F572" s="5">
        <f t="shared" si="8"/>
        <v>3.0565384615384614</v>
      </c>
      <c r="G572" t="s">
        <v>8</v>
      </c>
      <c r="H572">
        <v>2725</v>
      </c>
      <c r="I572" t="s">
        <v>109</v>
      </c>
      <c r="J572" t="s">
        <v>110</v>
      </c>
      <c r="K572" s="4">
        <v>41993.25</v>
      </c>
      <c r="L572" s="4" t="s">
        <v>58</v>
      </c>
      <c r="M572" s="4" t="s">
        <v>111</v>
      </c>
      <c r="N572" s="4">
        <v>41999.25</v>
      </c>
      <c r="O572" t="b">
        <v>0</v>
      </c>
      <c r="P572" t="b">
        <v>1</v>
      </c>
      <c r="Q572" t="s">
        <v>112</v>
      </c>
      <c r="R572" t="str" cm="1">
        <f t="array" ref="R572:S572">_xlfn.TEXTSPLIT(Q572, "/", , FALSE)</f>
        <v>music</v>
      </c>
      <c r="S572" t="str">
        <v>rock</v>
      </c>
    </row>
    <row r="573" spans="1:19" ht="17" x14ac:dyDescent="0.2">
      <c r="A573">
        <v>571</v>
      </c>
      <c r="B573" t="s">
        <v>1281</v>
      </c>
      <c r="C573" s="3" t="s">
        <v>1282</v>
      </c>
      <c r="D573">
        <v>3500</v>
      </c>
      <c r="E573">
        <v>3295</v>
      </c>
      <c r="F573" s="5">
        <f t="shared" si="8"/>
        <v>0.94142857142857139</v>
      </c>
      <c r="G573" t="s">
        <v>6</v>
      </c>
      <c r="H573">
        <v>35</v>
      </c>
      <c r="I573" t="s">
        <v>202</v>
      </c>
      <c r="J573" t="s">
        <v>203</v>
      </c>
      <c r="K573" s="4">
        <v>42174.208333333328</v>
      </c>
      <c r="L573" s="4" t="s">
        <v>52</v>
      </c>
      <c r="M573" s="4" t="s">
        <v>105</v>
      </c>
      <c r="N573" s="4">
        <v>42221.208333333328</v>
      </c>
      <c r="O573" t="b">
        <v>0</v>
      </c>
      <c r="P573" t="b">
        <v>0</v>
      </c>
      <c r="Q573" t="s">
        <v>195</v>
      </c>
      <c r="R573" t="str" cm="1">
        <f t="array" ref="R573:S573">_xlfn.TEXTSPLIT(Q573, "/", , FALSE)</f>
        <v>film &amp; video</v>
      </c>
      <c r="S573" t="str">
        <v>shorts</v>
      </c>
    </row>
    <row r="574" spans="1:19" ht="17" x14ac:dyDescent="0.2">
      <c r="A574">
        <v>572</v>
      </c>
      <c r="B574" t="s">
        <v>1283</v>
      </c>
      <c r="C574" s="3" t="s">
        <v>1284</v>
      </c>
      <c r="D574">
        <v>9000</v>
      </c>
      <c r="E574">
        <v>4896</v>
      </c>
      <c r="F574" s="5">
        <f t="shared" si="8"/>
        <v>0.54400000000000004</v>
      </c>
      <c r="G574" t="s">
        <v>5</v>
      </c>
      <c r="H574">
        <v>94</v>
      </c>
      <c r="I574" t="s">
        <v>109</v>
      </c>
      <c r="J574" t="s">
        <v>110</v>
      </c>
      <c r="K574" s="4">
        <v>42275.208333333328</v>
      </c>
      <c r="L574" s="4" t="s">
        <v>55</v>
      </c>
      <c r="M574" s="4" t="s">
        <v>105</v>
      </c>
      <c r="N574" s="4">
        <v>42291.208333333328</v>
      </c>
      <c r="O574" t="b">
        <v>0</v>
      </c>
      <c r="P574" t="b">
        <v>1</v>
      </c>
      <c r="Q574" t="s">
        <v>112</v>
      </c>
      <c r="R574" t="str" cm="1">
        <f t="array" ref="R574:S574">_xlfn.TEXTSPLIT(Q574, "/", , FALSE)</f>
        <v>music</v>
      </c>
      <c r="S574" t="str">
        <v>rock</v>
      </c>
    </row>
    <row r="575" spans="1:19" ht="17" x14ac:dyDescent="0.2">
      <c r="A575">
        <v>573</v>
      </c>
      <c r="B575" t="s">
        <v>1285</v>
      </c>
      <c r="C575" s="3" t="s">
        <v>1286</v>
      </c>
      <c r="D575">
        <v>6700</v>
      </c>
      <c r="E575">
        <v>7496</v>
      </c>
      <c r="F575" s="5">
        <f t="shared" si="8"/>
        <v>1.1188059701492536</v>
      </c>
      <c r="G575" t="s">
        <v>8</v>
      </c>
      <c r="H575">
        <v>300</v>
      </c>
      <c r="I575" t="s">
        <v>109</v>
      </c>
      <c r="J575" t="s">
        <v>110</v>
      </c>
      <c r="K575" s="4">
        <v>41761.208333333336</v>
      </c>
      <c r="L575" s="4" t="s">
        <v>51</v>
      </c>
      <c r="M575" s="4" t="s">
        <v>111</v>
      </c>
      <c r="N575" s="4">
        <v>41763.208333333336</v>
      </c>
      <c r="O575" t="b">
        <v>0</v>
      </c>
      <c r="P575" t="b">
        <v>0</v>
      </c>
      <c r="Q575" t="s">
        <v>1124</v>
      </c>
      <c r="R575" t="str" cm="1">
        <f t="array" ref="R575:S575">_xlfn.TEXTSPLIT(Q575, "/", , FALSE)</f>
        <v>journalism</v>
      </c>
      <c r="S575" t="str">
        <v>audio</v>
      </c>
    </row>
    <row r="576" spans="1:19" ht="17" x14ac:dyDescent="0.2">
      <c r="A576">
        <v>574</v>
      </c>
      <c r="B576" t="s">
        <v>1287</v>
      </c>
      <c r="C576" s="3" t="s">
        <v>1288</v>
      </c>
      <c r="D576">
        <v>2700</v>
      </c>
      <c r="E576">
        <v>9967</v>
      </c>
      <c r="F576" s="5">
        <f t="shared" si="8"/>
        <v>3.6914814814814814</v>
      </c>
      <c r="G576" t="s">
        <v>8</v>
      </c>
      <c r="H576">
        <v>144</v>
      </c>
      <c r="I576" t="s">
        <v>109</v>
      </c>
      <c r="J576" t="s">
        <v>110</v>
      </c>
      <c r="K576" s="4">
        <v>43806.25</v>
      </c>
      <c r="L576" s="4" t="s">
        <v>58</v>
      </c>
      <c r="M576" s="4" t="s">
        <v>121</v>
      </c>
      <c r="N576" s="4">
        <v>43816.25</v>
      </c>
      <c r="O576" t="b">
        <v>0</v>
      </c>
      <c r="P576" t="b">
        <v>1</v>
      </c>
      <c r="Q576" t="s">
        <v>106</v>
      </c>
      <c r="R576" t="str" cm="1">
        <f t="array" ref="R576:S576">_xlfn.TEXTSPLIT(Q576, "/", , FALSE)</f>
        <v>food</v>
      </c>
      <c r="S576" t="str">
        <v>food trucks</v>
      </c>
    </row>
    <row r="577" spans="1:19" ht="17" x14ac:dyDescent="0.2">
      <c r="A577">
        <v>575</v>
      </c>
      <c r="B577" t="s">
        <v>1289</v>
      </c>
      <c r="C577" s="3" t="s">
        <v>1290</v>
      </c>
      <c r="D577">
        <v>83300</v>
      </c>
      <c r="E577">
        <v>52421</v>
      </c>
      <c r="F577" s="5">
        <f t="shared" si="8"/>
        <v>0.62930372148859548</v>
      </c>
      <c r="G577" t="s">
        <v>6</v>
      </c>
      <c r="H577">
        <v>558</v>
      </c>
      <c r="I577" t="s">
        <v>109</v>
      </c>
      <c r="J577" t="s">
        <v>110</v>
      </c>
      <c r="K577" s="4">
        <v>41779.208333333336</v>
      </c>
      <c r="L577" s="4" t="s">
        <v>51</v>
      </c>
      <c r="M577" s="4" t="s">
        <v>111</v>
      </c>
      <c r="N577" s="4">
        <v>41782.208333333336</v>
      </c>
      <c r="O577" t="b">
        <v>0</v>
      </c>
      <c r="P577" t="b">
        <v>1</v>
      </c>
      <c r="Q577" t="s">
        <v>124</v>
      </c>
      <c r="R577" t="str" cm="1">
        <f t="array" ref="R577:S577">_xlfn.TEXTSPLIT(Q577, "/", , FALSE)</f>
        <v>theater</v>
      </c>
      <c r="S577" t="str">
        <v>plays</v>
      </c>
    </row>
    <row r="578" spans="1:19" ht="34" x14ac:dyDescent="0.2">
      <c r="A578">
        <v>576</v>
      </c>
      <c r="B578" t="s">
        <v>1291</v>
      </c>
      <c r="C578" s="3" t="s">
        <v>1292</v>
      </c>
      <c r="D578">
        <v>9700</v>
      </c>
      <c r="E578">
        <v>6298</v>
      </c>
      <c r="F578" s="5">
        <f t="shared" si="8"/>
        <v>0.6492783505154639</v>
      </c>
      <c r="G578" t="s">
        <v>6</v>
      </c>
      <c r="H578">
        <v>64</v>
      </c>
      <c r="I578" t="s">
        <v>109</v>
      </c>
      <c r="J578" t="s">
        <v>110</v>
      </c>
      <c r="K578" s="4">
        <v>43040.208333333328</v>
      </c>
      <c r="L578" s="4" t="s">
        <v>57</v>
      </c>
      <c r="M578" s="4" t="s">
        <v>134</v>
      </c>
      <c r="N578" s="4">
        <v>43057.25</v>
      </c>
      <c r="O578" t="b">
        <v>0</v>
      </c>
      <c r="P578" t="b">
        <v>0</v>
      </c>
      <c r="Q578" t="s">
        <v>124</v>
      </c>
      <c r="R578" t="str" cm="1">
        <f t="array" ref="R578:S578">_xlfn.TEXTSPLIT(Q578, "/", , FALSE)</f>
        <v>theater</v>
      </c>
      <c r="S578" t="str">
        <v>plays</v>
      </c>
    </row>
    <row r="579" spans="1:19" ht="17" x14ac:dyDescent="0.2">
      <c r="A579">
        <v>577</v>
      </c>
      <c r="B579" t="s">
        <v>1293</v>
      </c>
      <c r="C579" s="3" t="s">
        <v>1294</v>
      </c>
      <c r="D579">
        <v>8200</v>
      </c>
      <c r="E579">
        <v>1546</v>
      </c>
      <c r="F579" s="5">
        <f t="shared" ref="F579:F642" si="9">E579/D579</f>
        <v>0.18853658536585366</v>
      </c>
      <c r="G579" t="s">
        <v>5</v>
      </c>
      <c r="H579">
        <v>37</v>
      </c>
      <c r="I579" t="s">
        <v>109</v>
      </c>
      <c r="J579" t="s">
        <v>110</v>
      </c>
      <c r="K579" s="4">
        <v>40613.25</v>
      </c>
      <c r="L579" s="4" t="s">
        <v>49</v>
      </c>
      <c r="M579" s="4" t="s">
        <v>165</v>
      </c>
      <c r="N579" s="4">
        <v>40639.208333333336</v>
      </c>
      <c r="O579" t="b">
        <v>0</v>
      </c>
      <c r="P579" t="b">
        <v>0</v>
      </c>
      <c r="Q579" t="s">
        <v>254</v>
      </c>
      <c r="R579" t="str" cm="1">
        <f t="array" ref="R579:S579">_xlfn.TEXTSPLIT(Q579, "/", , FALSE)</f>
        <v>music</v>
      </c>
      <c r="S579" t="str">
        <v>jazz</v>
      </c>
    </row>
    <row r="580" spans="1:19" ht="17" x14ac:dyDescent="0.2">
      <c r="A580">
        <v>578</v>
      </c>
      <c r="B580" t="s">
        <v>1295</v>
      </c>
      <c r="C580" s="3" t="s">
        <v>1296</v>
      </c>
      <c r="D580">
        <v>96500</v>
      </c>
      <c r="E580">
        <v>16168</v>
      </c>
      <c r="F580" s="5">
        <f t="shared" si="9"/>
        <v>0.1675440414507772</v>
      </c>
      <c r="G580" t="s">
        <v>6</v>
      </c>
      <c r="H580">
        <v>245</v>
      </c>
      <c r="I580" t="s">
        <v>109</v>
      </c>
      <c r="J580" t="s">
        <v>110</v>
      </c>
      <c r="K580" s="4">
        <v>40878.25</v>
      </c>
      <c r="L580" s="4" t="s">
        <v>58</v>
      </c>
      <c r="M580" s="4" t="s">
        <v>165</v>
      </c>
      <c r="N580" s="4">
        <v>40881.25</v>
      </c>
      <c r="O580" t="b">
        <v>0</v>
      </c>
      <c r="P580" t="b">
        <v>0</v>
      </c>
      <c r="Q580" t="s">
        <v>569</v>
      </c>
      <c r="R580" t="str" cm="1">
        <f t="array" ref="R580:S580">_xlfn.TEXTSPLIT(Q580, "/", , FALSE)</f>
        <v>film &amp; video</v>
      </c>
      <c r="S580" t="str">
        <v>science fiction</v>
      </c>
    </row>
    <row r="581" spans="1:19" ht="17" x14ac:dyDescent="0.2">
      <c r="A581">
        <v>579</v>
      </c>
      <c r="B581" t="s">
        <v>1297</v>
      </c>
      <c r="C581" s="3" t="s">
        <v>1298</v>
      </c>
      <c r="D581">
        <v>6200</v>
      </c>
      <c r="E581">
        <v>6269</v>
      </c>
      <c r="F581" s="5">
        <f t="shared" si="9"/>
        <v>1.0111290322580646</v>
      </c>
      <c r="G581" t="s">
        <v>8</v>
      </c>
      <c r="H581">
        <v>87</v>
      </c>
      <c r="I581" t="s">
        <v>109</v>
      </c>
      <c r="J581" t="s">
        <v>110</v>
      </c>
      <c r="K581" s="4">
        <v>40762.208333333336</v>
      </c>
      <c r="L581" s="4" t="s">
        <v>54</v>
      </c>
      <c r="M581" s="4" t="s">
        <v>165</v>
      </c>
      <c r="N581" s="4">
        <v>40774.208333333336</v>
      </c>
      <c r="O581" t="b">
        <v>0</v>
      </c>
      <c r="P581" t="b">
        <v>0</v>
      </c>
      <c r="Q581" t="s">
        <v>254</v>
      </c>
      <c r="R581" t="str" cm="1">
        <f t="array" ref="R581:S581">_xlfn.TEXTSPLIT(Q581, "/", , FALSE)</f>
        <v>music</v>
      </c>
      <c r="S581" t="str">
        <v>jazz</v>
      </c>
    </row>
    <row r="582" spans="1:19" ht="17" x14ac:dyDescent="0.2">
      <c r="A582">
        <v>580</v>
      </c>
      <c r="B582" t="s">
        <v>651</v>
      </c>
      <c r="C582" s="3" t="s">
        <v>1299</v>
      </c>
      <c r="D582">
        <v>43800</v>
      </c>
      <c r="E582">
        <v>149578</v>
      </c>
      <c r="F582" s="5">
        <f t="shared" si="9"/>
        <v>3.4150228310502282</v>
      </c>
      <c r="G582" t="s">
        <v>8</v>
      </c>
      <c r="H582">
        <v>3116</v>
      </c>
      <c r="I582" t="s">
        <v>109</v>
      </c>
      <c r="J582" t="s">
        <v>110</v>
      </c>
      <c r="K582" s="4">
        <v>41696.25</v>
      </c>
      <c r="L582" s="4" t="s">
        <v>48</v>
      </c>
      <c r="M582" s="4" t="s">
        <v>111</v>
      </c>
      <c r="N582" s="4">
        <v>41704.25</v>
      </c>
      <c r="O582" t="b">
        <v>0</v>
      </c>
      <c r="P582" t="b">
        <v>0</v>
      </c>
      <c r="Q582" t="s">
        <v>124</v>
      </c>
      <c r="R582" t="str" cm="1">
        <f t="array" ref="R582:S582">_xlfn.TEXTSPLIT(Q582, "/", , FALSE)</f>
        <v>theater</v>
      </c>
      <c r="S582" t="str">
        <v>plays</v>
      </c>
    </row>
    <row r="583" spans="1:19" ht="17" x14ac:dyDescent="0.2">
      <c r="A583">
        <v>581</v>
      </c>
      <c r="B583" t="s">
        <v>1300</v>
      </c>
      <c r="C583" s="3" t="s">
        <v>1301</v>
      </c>
      <c r="D583">
        <v>6000</v>
      </c>
      <c r="E583">
        <v>3841</v>
      </c>
      <c r="F583" s="5">
        <f t="shared" si="9"/>
        <v>0.64016666666666666</v>
      </c>
      <c r="G583" t="s">
        <v>6</v>
      </c>
      <c r="H583">
        <v>71</v>
      </c>
      <c r="I583" t="s">
        <v>109</v>
      </c>
      <c r="J583" t="s">
        <v>110</v>
      </c>
      <c r="K583" s="4">
        <v>40662.208333333336</v>
      </c>
      <c r="L583" s="4" t="s">
        <v>50</v>
      </c>
      <c r="M583" s="4" t="s">
        <v>165</v>
      </c>
      <c r="N583" s="4">
        <v>40677.208333333336</v>
      </c>
      <c r="O583" t="b">
        <v>0</v>
      </c>
      <c r="P583" t="b">
        <v>0</v>
      </c>
      <c r="Q583" t="s">
        <v>118</v>
      </c>
      <c r="R583" t="str" cm="1">
        <f t="array" ref="R583:S583">_xlfn.TEXTSPLIT(Q583, "/", , FALSE)</f>
        <v>technology</v>
      </c>
      <c r="S583" t="str">
        <v>web</v>
      </c>
    </row>
    <row r="584" spans="1:19" ht="17" x14ac:dyDescent="0.2">
      <c r="A584">
        <v>582</v>
      </c>
      <c r="B584" t="s">
        <v>1302</v>
      </c>
      <c r="C584" s="3" t="s">
        <v>1303</v>
      </c>
      <c r="D584">
        <v>8700</v>
      </c>
      <c r="E584">
        <v>4531</v>
      </c>
      <c r="F584" s="5">
        <f t="shared" si="9"/>
        <v>0.5208045977011494</v>
      </c>
      <c r="G584" t="s">
        <v>6</v>
      </c>
      <c r="H584">
        <v>42</v>
      </c>
      <c r="I584" t="s">
        <v>109</v>
      </c>
      <c r="J584" t="s">
        <v>110</v>
      </c>
      <c r="K584" s="4">
        <v>42165.208333333328</v>
      </c>
      <c r="L584" s="4" t="s">
        <v>52</v>
      </c>
      <c r="M584" s="4" t="s">
        <v>105</v>
      </c>
      <c r="N584" s="4">
        <v>42170.208333333328</v>
      </c>
      <c r="O584" t="b">
        <v>0</v>
      </c>
      <c r="P584" t="b">
        <v>1</v>
      </c>
      <c r="Q584" t="s">
        <v>184</v>
      </c>
      <c r="R584" t="str" cm="1">
        <f t="array" ref="R584:S584">_xlfn.TEXTSPLIT(Q584, "/", , FALSE)</f>
        <v>games</v>
      </c>
      <c r="S584" t="str">
        <v>video games</v>
      </c>
    </row>
    <row r="585" spans="1:19" ht="34" x14ac:dyDescent="0.2">
      <c r="A585">
        <v>583</v>
      </c>
      <c r="B585" t="s">
        <v>1304</v>
      </c>
      <c r="C585" s="3" t="s">
        <v>1305</v>
      </c>
      <c r="D585">
        <v>18900</v>
      </c>
      <c r="E585">
        <v>60934</v>
      </c>
      <c r="F585" s="5">
        <f t="shared" si="9"/>
        <v>3.2240211640211642</v>
      </c>
      <c r="G585" t="s">
        <v>8</v>
      </c>
      <c r="H585">
        <v>909</v>
      </c>
      <c r="I585" t="s">
        <v>109</v>
      </c>
      <c r="J585" t="s">
        <v>110</v>
      </c>
      <c r="K585" s="4">
        <v>40959.25</v>
      </c>
      <c r="L585" s="4" t="s">
        <v>48</v>
      </c>
      <c r="M585" s="4" t="s">
        <v>129</v>
      </c>
      <c r="N585" s="4">
        <v>40976.25</v>
      </c>
      <c r="O585" t="b">
        <v>0</v>
      </c>
      <c r="P585" t="b">
        <v>0</v>
      </c>
      <c r="Q585" t="s">
        <v>135</v>
      </c>
      <c r="R585" t="str" cm="1">
        <f t="array" ref="R585:S585">_xlfn.TEXTSPLIT(Q585, "/", , FALSE)</f>
        <v>film &amp; video</v>
      </c>
      <c r="S585" t="str">
        <v>documentary</v>
      </c>
    </row>
    <row r="586" spans="1:19" ht="34" x14ac:dyDescent="0.2">
      <c r="A586">
        <v>584</v>
      </c>
      <c r="B586" t="s">
        <v>138</v>
      </c>
      <c r="C586" s="3" t="s">
        <v>1306</v>
      </c>
      <c r="D586">
        <v>86400</v>
      </c>
      <c r="E586">
        <v>103255</v>
      </c>
      <c r="F586" s="5">
        <f t="shared" si="9"/>
        <v>1.1950810185185186</v>
      </c>
      <c r="G586" t="s">
        <v>8</v>
      </c>
      <c r="H586">
        <v>1613</v>
      </c>
      <c r="I586" t="s">
        <v>109</v>
      </c>
      <c r="J586" t="s">
        <v>110</v>
      </c>
      <c r="K586" s="4">
        <v>41024.208333333336</v>
      </c>
      <c r="L586" s="4" t="s">
        <v>50</v>
      </c>
      <c r="M586" s="4" t="s">
        <v>129</v>
      </c>
      <c r="N586" s="4">
        <v>41038.208333333336</v>
      </c>
      <c r="O586" t="b">
        <v>0</v>
      </c>
      <c r="P586" t="b">
        <v>0</v>
      </c>
      <c r="Q586" t="s">
        <v>118</v>
      </c>
      <c r="R586" t="str" cm="1">
        <f t="array" ref="R586:S586">_xlfn.TEXTSPLIT(Q586, "/", , FALSE)</f>
        <v>technology</v>
      </c>
      <c r="S586" t="str">
        <v>web</v>
      </c>
    </row>
    <row r="587" spans="1:19" ht="17" x14ac:dyDescent="0.2">
      <c r="A587">
        <v>585</v>
      </c>
      <c r="B587" t="s">
        <v>1307</v>
      </c>
      <c r="C587" s="3" t="s">
        <v>1308</v>
      </c>
      <c r="D587">
        <v>8900</v>
      </c>
      <c r="E587">
        <v>13065</v>
      </c>
      <c r="F587" s="5">
        <f t="shared" si="9"/>
        <v>1.4679775280898877</v>
      </c>
      <c r="G587" t="s">
        <v>8</v>
      </c>
      <c r="H587">
        <v>136</v>
      </c>
      <c r="I587" t="s">
        <v>109</v>
      </c>
      <c r="J587" t="s">
        <v>110</v>
      </c>
      <c r="K587" s="4">
        <v>40255.208333333336</v>
      </c>
      <c r="L587" s="4" t="s">
        <v>49</v>
      </c>
      <c r="M587" s="4" t="s">
        <v>140</v>
      </c>
      <c r="N587" s="4">
        <v>40265.208333333336</v>
      </c>
      <c r="O587" t="b">
        <v>0</v>
      </c>
      <c r="P587" t="b">
        <v>0</v>
      </c>
      <c r="Q587" t="s">
        <v>301</v>
      </c>
      <c r="R587" t="str" cm="1">
        <f t="array" ref="R587:S587">_xlfn.TEXTSPLIT(Q587, "/", , FALSE)</f>
        <v>publishing</v>
      </c>
      <c r="S587" t="str">
        <v>translations</v>
      </c>
    </row>
    <row r="588" spans="1:19" ht="17" x14ac:dyDescent="0.2">
      <c r="A588">
        <v>586</v>
      </c>
      <c r="B588" t="s">
        <v>1309</v>
      </c>
      <c r="C588" s="3" t="s">
        <v>1310</v>
      </c>
      <c r="D588">
        <v>700</v>
      </c>
      <c r="E588">
        <v>6654</v>
      </c>
      <c r="F588" s="5">
        <f t="shared" si="9"/>
        <v>9.5057142857142853</v>
      </c>
      <c r="G588" t="s">
        <v>8</v>
      </c>
      <c r="H588">
        <v>130</v>
      </c>
      <c r="I588" t="s">
        <v>109</v>
      </c>
      <c r="J588" t="s">
        <v>110</v>
      </c>
      <c r="K588" s="4">
        <v>40499.25</v>
      </c>
      <c r="L588" s="4" t="s">
        <v>57</v>
      </c>
      <c r="M588" s="4" t="s">
        <v>140</v>
      </c>
      <c r="N588" s="4">
        <v>40518.25</v>
      </c>
      <c r="O588" t="b">
        <v>0</v>
      </c>
      <c r="P588" t="b">
        <v>0</v>
      </c>
      <c r="Q588" t="s">
        <v>112</v>
      </c>
      <c r="R588" t="str" cm="1">
        <f t="array" ref="R588:S588">_xlfn.TEXTSPLIT(Q588, "/", , FALSE)</f>
        <v>music</v>
      </c>
      <c r="S588" t="str">
        <v>rock</v>
      </c>
    </row>
    <row r="589" spans="1:19" ht="17" x14ac:dyDescent="0.2">
      <c r="A589">
        <v>587</v>
      </c>
      <c r="B589" t="s">
        <v>1311</v>
      </c>
      <c r="C589" s="3" t="s">
        <v>1312</v>
      </c>
      <c r="D589">
        <v>9400</v>
      </c>
      <c r="E589">
        <v>6852</v>
      </c>
      <c r="F589" s="5">
        <f t="shared" si="9"/>
        <v>0.72893617021276591</v>
      </c>
      <c r="G589" t="s">
        <v>6</v>
      </c>
      <c r="H589">
        <v>156</v>
      </c>
      <c r="I589" t="s">
        <v>103</v>
      </c>
      <c r="J589" t="s">
        <v>104</v>
      </c>
      <c r="K589" s="4">
        <v>43484.25</v>
      </c>
      <c r="L589" s="4" t="s">
        <v>47</v>
      </c>
      <c r="M589" s="4" t="s">
        <v>121</v>
      </c>
      <c r="N589" s="4">
        <v>43536.208333333328</v>
      </c>
      <c r="O589" t="b">
        <v>0</v>
      </c>
      <c r="P589" t="b">
        <v>1</v>
      </c>
      <c r="Q589" t="s">
        <v>106</v>
      </c>
      <c r="R589" t="str" cm="1">
        <f t="array" ref="R589:S589">_xlfn.TEXTSPLIT(Q589, "/", , FALSE)</f>
        <v>food</v>
      </c>
      <c r="S589" t="str">
        <v>food trucks</v>
      </c>
    </row>
    <row r="590" spans="1:19" ht="17" x14ac:dyDescent="0.2">
      <c r="A590">
        <v>588</v>
      </c>
      <c r="B590" t="s">
        <v>1313</v>
      </c>
      <c r="C590" s="3" t="s">
        <v>1314</v>
      </c>
      <c r="D590">
        <v>157600</v>
      </c>
      <c r="E590">
        <v>124517</v>
      </c>
      <c r="F590" s="5">
        <f t="shared" si="9"/>
        <v>0.7900824873096447</v>
      </c>
      <c r="G590" t="s">
        <v>6</v>
      </c>
      <c r="H590">
        <v>1368</v>
      </c>
      <c r="I590" t="s">
        <v>132</v>
      </c>
      <c r="J590" t="s">
        <v>133</v>
      </c>
      <c r="K590" s="4">
        <v>40262.208333333336</v>
      </c>
      <c r="L590" s="4" t="s">
        <v>49</v>
      </c>
      <c r="M590" s="4" t="s">
        <v>140</v>
      </c>
      <c r="N590" s="4">
        <v>40293.208333333336</v>
      </c>
      <c r="O590" t="b">
        <v>0</v>
      </c>
      <c r="P590" t="b">
        <v>0</v>
      </c>
      <c r="Q590" t="s">
        <v>124</v>
      </c>
      <c r="R590" t="str" cm="1">
        <f t="array" ref="R590:S590">_xlfn.TEXTSPLIT(Q590, "/", , FALSE)</f>
        <v>theater</v>
      </c>
      <c r="S590" t="str">
        <v>plays</v>
      </c>
    </row>
    <row r="591" spans="1:19" ht="17" x14ac:dyDescent="0.2">
      <c r="A591">
        <v>589</v>
      </c>
      <c r="B591" t="s">
        <v>1315</v>
      </c>
      <c r="C591" s="3" t="s">
        <v>1316</v>
      </c>
      <c r="D591">
        <v>7900</v>
      </c>
      <c r="E591">
        <v>5113</v>
      </c>
      <c r="F591" s="5">
        <f t="shared" si="9"/>
        <v>0.64721518987341775</v>
      </c>
      <c r="G591" t="s">
        <v>6</v>
      </c>
      <c r="H591">
        <v>102</v>
      </c>
      <c r="I591" t="s">
        <v>109</v>
      </c>
      <c r="J591" t="s">
        <v>110</v>
      </c>
      <c r="K591" s="4">
        <v>42190.208333333328</v>
      </c>
      <c r="L591" s="4" t="s">
        <v>53</v>
      </c>
      <c r="M591" s="4" t="s">
        <v>105</v>
      </c>
      <c r="N591" s="4">
        <v>42197.208333333328</v>
      </c>
      <c r="O591" t="b">
        <v>0</v>
      </c>
      <c r="P591" t="b">
        <v>0</v>
      </c>
      <c r="Q591" t="s">
        <v>135</v>
      </c>
      <c r="R591" t="str" cm="1">
        <f t="array" ref="R591:S591">_xlfn.TEXTSPLIT(Q591, "/", , FALSE)</f>
        <v>film &amp; video</v>
      </c>
      <c r="S591" t="str">
        <v>documentary</v>
      </c>
    </row>
    <row r="592" spans="1:19" ht="34" x14ac:dyDescent="0.2">
      <c r="A592">
        <v>590</v>
      </c>
      <c r="B592" t="s">
        <v>1317</v>
      </c>
      <c r="C592" s="3" t="s">
        <v>1318</v>
      </c>
      <c r="D592">
        <v>7100</v>
      </c>
      <c r="E592">
        <v>5824</v>
      </c>
      <c r="F592" s="5">
        <f t="shared" si="9"/>
        <v>0.82028169014084507</v>
      </c>
      <c r="G592" t="s">
        <v>6</v>
      </c>
      <c r="H592">
        <v>86</v>
      </c>
      <c r="I592" t="s">
        <v>115</v>
      </c>
      <c r="J592" t="s">
        <v>116</v>
      </c>
      <c r="K592" s="4">
        <v>41994.25</v>
      </c>
      <c r="L592" s="4" t="s">
        <v>58</v>
      </c>
      <c r="M592" s="4" t="s">
        <v>111</v>
      </c>
      <c r="N592" s="4">
        <v>42005.25</v>
      </c>
      <c r="O592" t="b">
        <v>0</v>
      </c>
      <c r="P592" t="b">
        <v>0</v>
      </c>
      <c r="Q592" t="s">
        <v>228</v>
      </c>
      <c r="R592" t="str" cm="1">
        <f t="array" ref="R592:S592">_xlfn.TEXTSPLIT(Q592, "/", , FALSE)</f>
        <v>publishing</v>
      </c>
      <c r="S592" t="str">
        <v>radio &amp; podcasts</v>
      </c>
    </row>
    <row r="593" spans="1:19" ht="17" x14ac:dyDescent="0.2">
      <c r="A593">
        <v>591</v>
      </c>
      <c r="B593" t="s">
        <v>1319</v>
      </c>
      <c r="C593" s="3" t="s">
        <v>1320</v>
      </c>
      <c r="D593">
        <v>600</v>
      </c>
      <c r="E593">
        <v>6226</v>
      </c>
      <c r="F593" s="5">
        <f t="shared" si="9"/>
        <v>10.376666666666667</v>
      </c>
      <c r="G593" t="s">
        <v>8</v>
      </c>
      <c r="H593">
        <v>102</v>
      </c>
      <c r="I593" t="s">
        <v>109</v>
      </c>
      <c r="J593" t="s">
        <v>110</v>
      </c>
      <c r="K593" s="4">
        <v>40373.208333333336</v>
      </c>
      <c r="L593" s="4" t="s">
        <v>53</v>
      </c>
      <c r="M593" s="4" t="s">
        <v>140</v>
      </c>
      <c r="N593" s="4">
        <v>40383.208333333336</v>
      </c>
      <c r="O593" t="b">
        <v>0</v>
      </c>
      <c r="P593" t="b">
        <v>0</v>
      </c>
      <c r="Q593" t="s">
        <v>184</v>
      </c>
      <c r="R593" t="str" cm="1">
        <f t="array" ref="R593:S593">_xlfn.TEXTSPLIT(Q593, "/", , FALSE)</f>
        <v>games</v>
      </c>
      <c r="S593" t="str">
        <v>video games</v>
      </c>
    </row>
    <row r="594" spans="1:19" ht="34" x14ac:dyDescent="0.2">
      <c r="A594">
        <v>592</v>
      </c>
      <c r="B594" t="s">
        <v>1321</v>
      </c>
      <c r="C594" s="3" t="s">
        <v>1322</v>
      </c>
      <c r="D594">
        <v>156800</v>
      </c>
      <c r="E594">
        <v>20243</v>
      </c>
      <c r="F594" s="5">
        <f t="shared" si="9"/>
        <v>0.12910076530612244</v>
      </c>
      <c r="G594" t="s">
        <v>6</v>
      </c>
      <c r="H594">
        <v>253</v>
      </c>
      <c r="I594" t="s">
        <v>109</v>
      </c>
      <c r="J594" t="s">
        <v>110</v>
      </c>
      <c r="K594" s="4">
        <v>41789.208333333336</v>
      </c>
      <c r="L594" s="4" t="s">
        <v>51</v>
      </c>
      <c r="M594" s="4" t="s">
        <v>111</v>
      </c>
      <c r="N594" s="4">
        <v>41798.208333333336</v>
      </c>
      <c r="O594" t="b">
        <v>0</v>
      </c>
      <c r="P594" t="b">
        <v>0</v>
      </c>
      <c r="Q594" t="s">
        <v>124</v>
      </c>
      <c r="R594" t="str" cm="1">
        <f t="array" ref="R594:S594">_xlfn.TEXTSPLIT(Q594, "/", , FALSE)</f>
        <v>theater</v>
      </c>
      <c r="S594" t="str">
        <v>plays</v>
      </c>
    </row>
    <row r="595" spans="1:19" ht="17" x14ac:dyDescent="0.2">
      <c r="A595">
        <v>593</v>
      </c>
      <c r="B595" t="s">
        <v>1323</v>
      </c>
      <c r="C595" s="3" t="s">
        <v>1324</v>
      </c>
      <c r="D595">
        <v>121600</v>
      </c>
      <c r="E595">
        <v>188288</v>
      </c>
      <c r="F595" s="5">
        <f t="shared" si="9"/>
        <v>1.5484210526315789</v>
      </c>
      <c r="G595" t="s">
        <v>8</v>
      </c>
      <c r="H595">
        <v>4006</v>
      </c>
      <c r="I595" t="s">
        <v>109</v>
      </c>
      <c r="J595" t="s">
        <v>110</v>
      </c>
      <c r="K595" s="4">
        <v>41724.208333333336</v>
      </c>
      <c r="L595" s="4" t="s">
        <v>49</v>
      </c>
      <c r="M595" s="4" t="s">
        <v>111</v>
      </c>
      <c r="N595" s="4">
        <v>41737.208333333336</v>
      </c>
      <c r="O595" t="b">
        <v>0</v>
      </c>
      <c r="P595" t="b">
        <v>0</v>
      </c>
      <c r="Q595" t="s">
        <v>166</v>
      </c>
      <c r="R595" t="str" cm="1">
        <f t="array" ref="R595:S595">_xlfn.TEXTSPLIT(Q595, "/", , FALSE)</f>
        <v>film &amp; video</v>
      </c>
      <c r="S595" t="str">
        <v>animation</v>
      </c>
    </row>
    <row r="596" spans="1:19" ht="34" x14ac:dyDescent="0.2">
      <c r="A596">
        <v>594</v>
      </c>
      <c r="B596" t="s">
        <v>1325</v>
      </c>
      <c r="C596" s="3" t="s">
        <v>1326</v>
      </c>
      <c r="D596">
        <v>157300</v>
      </c>
      <c r="E596">
        <v>11167</v>
      </c>
      <c r="F596" s="5">
        <f t="shared" si="9"/>
        <v>7.0991735537190084E-2</v>
      </c>
      <c r="G596" t="s">
        <v>6</v>
      </c>
      <c r="H596">
        <v>157</v>
      </c>
      <c r="I596" t="s">
        <v>109</v>
      </c>
      <c r="J596" t="s">
        <v>110</v>
      </c>
      <c r="K596" s="4">
        <v>42548.208333333328</v>
      </c>
      <c r="L596" s="4" t="s">
        <v>52</v>
      </c>
      <c r="M596" s="4" t="s">
        <v>153</v>
      </c>
      <c r="N596" s="4">
        <v>42551.208333333328</v>
      </c>
      <c r="O596" t="b">
        <v>0</v>
      </c>
      <c r="P596" t="b">
        <v>1</v>
      </c>
      <c r="Q596" t="s">
        <v>124</v>
      </c>
      <c r="R596" t="str" cm="1">
        <f t="array" ref="R596:S596">_xlfn.TEXTSPLIT(Q596, "/", , FALSE)</f>
        <v>theater</v>
      </c>
      <c r="S596" t="str">
        <v>plays</v>
      </c>
    </row>
    <row r="597" spans="1:19" ht="34" x14ac:dyDescent="0.2">
      <c r="A597">
        <v>595</v>
      </c>
      <c r="B597" t="s">
        <v>1327</v>
      </c>
      <c r="C597" s="3" t="s">
        <v>1328</v>
      </c>
      <c r="D597">
        <v>70300</v>
      </c>
      <c r="E597">
        <v>146595</v>
      </c>
      <c r="F597" s="5">
        <f t="shared" si="9"/>
        <v>2.0852773826458035</v>
      </c>
      <c r="G597" t="s">
        <v>8</v>
      </c>
      <c r="H597">
        <v>1629</v>
      </c>
      <c r="I597" t="s">
        <v>109</v>
      </c>
      <c r="J597" t="s">
        <v>110</v>
      </c>
      <c r="K597" s="4">
        <v>40253.208333333336</v>
      </c>
      <c r="L597" s="4" t="s">
        <v>49</v>
      </c>
      <c r="M597" s="4" t="s">
        <v>140</v>
      </c>
      <c r="N597" s="4">
        <v>40274.208333333336</v>
      </c>
      <c r="O597" t="b">
        <v>0</v>
      </c>
      <c r="P597" t="b">
        <v>1</v>
      </c>
      <c r="Q597" t="s">
        <v>124</v>
      </c>
      <c r="R597" t="str" cm="1">
        <f t="array" ref="R597:S597">_xlfn.TEXTSPLIT(Q597, "/", , FALSE)</f>
        <v>theater</v>
      </c>
      <c r="S597" t="str">
        <v>plays</v>
      </c>
    </row>
    <row r="598" spans="1:19" ht="17" x14ac:dyDescent="0.2">
      <c r="A598">
        <v>596</v>
      </c>
      <c r="B598" t="s">
        <v>1329</v>
      </c>
      <c r="C598" s="3" t="s">
        <v>1330</v>
      </c>
      <c r="D598">
        <v>7900</v>
      </c>
      <c r="E598">
        <v>7875</v>
      </c>
      <c r="F598" s="5">
        <f t="shared" si="9"/>
        <v>0.99683544303797467</v>
      </c>
      <c r="G598" t="s">
        <v>6</v>
      </c>
      <c r="H598">
        <v>183</v>
      </c>
      <c r="I598" t="s">
        <v>109</v>
      </c>
      <c r="J598" t="s">
        <v>110</v>
      </c>
      <c r="K598" s="4">
        <v>42434.25</v>
      </c>
      <c r="L598" s="4" t="s">
        <v>49</v>
      </c>
      <c r="M598" s="4" t="s">
        <v>153</v>
      </c>
      <c r="N598" s="4">
        <v>42441.25</v>
      </c>
      <c r="O598" t="b">
        <v>0</v>
      </c>
      <c r="P598" t="b">
        <v>1</v>
      </c>
      <c r="Q598" t="s">
        <v>146</v>
      </c>
      <c r="R598" t="str" cm="1">
        <f t="array" ref="R598:S598">_xlfn.TEXTSPLIT(Q598, "/", , FALSE)</f>
        <v>film &amp; video</v>
      </c>
      <c r="S598" t="str">
        <v>drama</v>
      </c>
    </row>
    <row r="599" spans="1:19" ht="17" x14ac:dyDescent="0.2">
      <c r="A599">
        <v>597</v>
      </c>
      <c r="B599" t="s">
        <v>1331</v>
      </c>
      <c r="C599" s="3" t="s">
        <v>1332</v>
      </c>
      <c r="D599">
        <v>73800</v>
      </c>
      <c r="E599">
        <v>148779</v>
      </c>
      <c r="F599" s="5">
        <f t="shared" si="9"/>
        <v>2.0159756097560977</v>
      </c>
      <c r="G599" t="s">
        <v>8</v>
      </c>
      <c r="H599">
        <v>2188</v>
      </c>
      <c r="I599" t="s">
        <v>109</v>
      </c>
      <c r="J599" t="s">
        <v>110</v>
      </c>
      <c r="K599" s="4">
        <v>43786.25</v>
      </c>
      <c r="L599" s="4" t="s">
        <v>57</v>
      </c>
      <c r="M599" s="4" t="s">
        <v>121</v>
      </c>
      <c r="N599" s="4">
        <v>43804.25</v>
      </c>
      <c r="O599" t="b">
        <v>0</v>
      </c>
      <c r="P599" t="b">
        <v>0</v>
      </c>
      <c r="Q599" t="s">
        <v>124</v>
      </c>
      <c r="R599" t="str" cm="1">
        <f t="array" ref="R599:S599">_xlfn.TEXTSPLIT(Q599, "/", , FALSE)</f>
        <v>theater</v>
      </c>
      <c r="S599" t="str">
        <v>plays</v>
      </c>
    </row>
    <row r="600" spans="1:19" ht="17" x14ac:dyDescent="0.2">
      <c r="A600">
        <v>598</v>
      </c>
      <c r="B600" t="s">
        <v>1333</v>
      </c>
      <c r="C600" s="3" t="s">
        <v>1334</v>
      </c>
      <c r="D600">
        <v>108500</v>
      </c>
      <c r="E600">
        <v>175868</v>
      </c>
      <c r="F600" s="5">
        <f t="shared" si="9"/>
        <v>1.6209032258064515</v>
      </c>
      <c r="G600" t="s">
        <v>8</v>
      </c>
      <c r="H600">
        <v>2409</v>
      </c>
      <c r="I600" t="s">
        <v>202</v>
      </c>
      <c r="J600" t="s">
        <v>203</v>
      </c>
      <c r="K600" s="4">
        <v>40344.208333333336</v>
      </c>
      <c r="L600" s="4" t="s">
        <v>52</v>
      </c>
      <c r="M600" s="4" t="s">
        <v>140</v>
      </c>
      <c r="N600" s="4">
        <v>40373.208333333336</v>
      </c>
      <c r="O600" t="b">
        <v>0</v>
      </c>
      <c r="P600" t="b">
        <v>0</v>
      </c>
      <c r="Q600" t="s">
        <v>112</v>
      </c>
      <c r="R600" t="str" cm="1">
        <f t="array" ref="R600:S600">_xlfn.TEXTSPLIT(Q600, "/", , FALSE)</f>
        <v>music</v>
      </c>
      <c r="S600" t="str">
        <v>rock</v>
      </c>
    </row>
    <row r="601" spans="1:19" ht="34" x14ac:dyDescent="0.2">
      <c r="A601">
        <v>599</v>
      </c>
      <c r="B601" t="s">
        <v>1335</v>
      </c>
      <c r="C601" s="3" t="s">
        <v>1336</v>
      </c>
      <c r="D601">
        <v>140300</v>
      </c>
      <c r="E601">
        <v>5112</v>
      </c>
      <c r="F601" s="5">
        <f t="shared" si="9"/>
        <v>3.6436208125445471E-2</v>
      </c>
      <c r="G601" t="s">
        <v>6</v>
      </c>
      <c r="H601">
        <v>82</v>
      </c>
      <c r="I601" t="s">
        <v>127</v>
      </c>
      <c r="J601" t="s">
        <v>128</v>
      </c>
      <c r="K601" s="4">
        <v>42047.25</v>
      </c>
      <c r="L601" s="4" t="s">
        <v>48</v>
      </c>
      <c r="M601" s="4" t="s">
        <v>105</v>
      </c>
      <c r="N601" s="4">
        <v>42055.25</v>
      </c>
      <c r="O601" t="b">
        <v>0</v>
      </c>
      <c r="P601" t="b">
        <v>0</v>
      </c>
      <c r="Q601" t="s">
        <v>135</v>
      </c>
      <c r="R601" t="str" cm="1">
        <f t="array" ref="R601:S601">_xlfn.TEXTSPLIT(Q601, "/", , FALSE)</f>
        <v>film &amp; video</v>
      </c>
      <c r="S601" t="str">
        <v>documentary</v>
      </c>
    </row>
    <row r="602" spans="1:19" ht="17" x14ac:dyDescent="0.2">
      <c r="A602">
        <v>600</v>
      </c>
      <c r="B602" t="s">
        <v>1337</v>
      </c>
      <c r="C602" s="3" t="s">
        <v>1338</v>
      </c>
      <c r="D602">
        <v>100</v>
      </c>
      <c r="E602">
        <v>5</v>
      </c>
      <c r="F602" s="5">
        <f t="shared" si="9"/>
        <v>0.05</v>
      </c>
      <c r="G602" t="s">
        <v>6</v>
      </c>
      <c r="H602">
        <v>1</v>
      </c>
      <c r="I602" t="s">
        <v>132</v>
      </c>
      <c r="J602" t="s">
        <v>133</v>
      </c>
      <c r="K602" s="4">
        <v>41485.208333333336</v>
      </c>
      <c r="L602" s="4" t="s">
        <v>53</v>
      </c>
      <c r="M602" s="4" t="s">
        <v>117</v>
      </c>
      <c r="N602" s="4">
        <v>41497.208333333336</v>
      </c>
      <c r="O602" t="b">
        <v>0</v>
      </c>
      <c r="P602" t="b">
        <v>0</v>
      </c>
      <c r="Q602" t="s">
        <v>106</v>
      </c>
      <c r="R602" t="str" cm="1">
        <f t="array" ref="R602:S602">_xlfn.TEXTSPLIT(Q602, "/", , FALSE)</f>
        <v>food</v>
      </c>
      <c r="S602" t="str">
        <v>food trucks</v>
      </c>
    </row>
    <row r="603" spans="1:19" ht="17" x14ac:dyDescent="0.2">
      <c r="A603">
        <v>601</v>
      </c>
      <c r="B603" t="s">
        <v>1339</v>
      </c>
      <c r="C603" s="3" t="s">
        <v>1340</v>
      </c>
      <c r="D603">
        <v>6300</v>
      </c>
      <c r="E603">
        <v>13018</v>
      </c>
      <c r="F603" s="5">
        <f t="shared" si="9"/>
        <v>2.0663492063492064</v>
      </c>
      <c r="G603" t="s">
        <v>8</v>
      </c>
      <c r="H603">
        <v>194</v>
      </c>
      <c r="I603" t="s">
        <v>109</v>
      </c>
      <c r="J603" t="s">
        <v>110</v>
      </c>
      <c r="K603" s="4">
        <v>41789.208333333336</v>
      </c>
      <c r="L603" s="4" t="s">
        <v>51</v>
      </c>
      <c r="M603" s="4" t="s">
        <v>111</v>
      </c>
      <c r="N603" s="4">
        <v>41806.208333333336</v>
      </c>
      <c r="O603" t="b">
        <v>1</v>
      </c>
      <c r="P603" t="b">
        <v>0</v>
      </c>
      <c r="Q603" t="s">
        <v>159</v>
      </c>
      <c r="R603" t="str" cm="1">
        <f t="array" ref="R603:S603">_xlfn.TEXTSPLIT(Q603, "/", , FALSE)</f>
        <v>technology</v>
      </c>
      <c r="S603" t="str">
        <v>wearables</v>
      </c>
    </row>
    <row r="604" spans="1:19" ht="34" x14ac:dyDescent="0.2">
      <c r="A604">
        <v>602</v>
      </c>
      <c r="B604" t="s">
        <v>1341</v>
      </c>
      <c r="C604" s="3" t="s">
        <v>1342</v>
      </c>
      <c r="D604">
        <v>71100</v>
      </c>
      <c r="E604">
        <v>91176</v>
      </c>
      <c r="F604" s="5">
        <f t="shared" si="9"/>
        <v>1.2823628691983122</v>
      </c>
      <c r="G604" t="s">
        <v>8</v>
      </c>
      <c r="H604">
        <v>1140</v>
      </c>
      <c r="I604" t="s">
        <v>109</v>
      </c>
      <c r="J604" t="s">
        <v>110</v>
      </c>
      <c r="K604" s="4">
        <v>42160.208333333328</v>
      </c>
      <c r="L604" s="4" t="s">
        <v>52</v>
      </c>
      <c r="M604" s="4" t="s">
        <v>105</v>
      </c>
      <c r="N604" s="4">
        <v>42171.208333333328</v>
      </c>
      <c r="O604" t="b">
        <v>0</v>
      </c>
      <c r="P604" t="b">
        <v>0</v>
      </c>
      <c r="Q604" t="s">
        <v>124</v>
      </c>
      <c r="R604" t="str" cm="1">
        <f t="array" ref="R604:S604">_xlfn.TEXTSPLIT(Q604, "/", , FALSE)</f>
        <v>theater</v>
      </c>
      <c r="S604" t="str">
        <v>plays</v>
      </c>
    </row>
    <row r="605" spans="1:19" ht="17" x14ac:dyDescent="0.2">
      <c r="A605">
        <v>603</v>
      </c>
      <c r="B605" t="s">
        <v>1343</v>
      </c>
      <c r="C605" s="3" t="s">
        <v>1344</v>
      </c>
      <c r="D605">
        <v>5300</v>
      </c>
      <c r="E605">
        <v>6342</v>
      </c>
      <c r="F605" s="5">
        <f t="shared" si="9"/>
        <v>1.1966037735849056</v>
      </c>
      <c r="G605" t="s">
        <v>8</v>
      </c>
      <c r="H605">
        <v>102</v>
      </c>
      <c r="I605" t="s">
        <v>109</v>
      </c>
      <c r="J605" t="s">
        <v>110</v>
      </c>
      <c r="K605" s="4">
        <v>43573.208333333328</v>
      </c>
      <c r="L605" s="4" t="s">
        <v>50</v>
      </c>
      <c r="M605" s="4" t="s">
        <v>121</v>
      </c>
      <c r="N605" s="4">
        <v>43600.208333333328</v>
      </c>
      <c r="O605" t="b">
        <v>0</v>
      </c>
      <c r="P605" t="b">
        <v>0</v>
      </c>
      <c r="Q605" t="s">
        <v>124</v>
      </c>
      <c r="R605" t="str" cm="1">
        <f t="array" ref="R605:S605">_xlfn.TEXTSPLIT(Q605, "/", , FALSE)</f>
        <v>theater</v>
      </c>
      <c r="S605" t="str">
        <v>plays</v>
      </c>
    </row>
    <row r="606" spans="1:19" ht="17" x14ac:dyDescent="0.2">
      <c r="A606">
        <v>604</v>
      </c>
      <c r="B606" t="s">
        <v>1345</v>
      </c>
      <c r="C606" s="3" t="s">
        <v>1346</v>
      </c>
      <c r="D606">
        <v>88700</v>
      </c>
      <c r="E606">
        <v>151438</v>
      </c>
      <c r="F606" s="5">
        <f t="shared" si="9"/>
        <v>1.7073055242390078</v>
      </c>
      <c r="G606" t="s">
        <v>8</v>
      </c>
      <c r="H606">
        <v>2857</v>
      </c>
      <c r="I606" t="s">
        <v>109</v>
      </c>
      <c r="J606" t="s">
        <v>110</v>
      </c>
      <c r="K606" s="4">
        <v>40565.25</v>
      </c>
      <c r="L606" s="4" t="s">
        <v>47</v>
      </c>
      <c r="M606" s="4" t="s">
        <v>165</v>
      </c>
      <c r="N606" s="4">
        <v>40586.25</v>
      </c>
      <c r="O606" t="b">
        <v>0</v>
      </c>
      <c r="P606" t="b">
        <v>0</v>
      </c>
      <c r="Q606" t="s">
        <v>124</v>
      </c>
      <c r="R606" t="str" cm="1">
        <f t="array" ref="R606:S606">_xlfn.TEXTSPLIT(Q606, "/", , FALSE)</f>
        <v>theater</v>
      </c>
      <c r="S606" t="str">
        <v>plays</v>
      </c>
    </row>
    <row r="607" spans="1:19" ht="17" x14ac:dyDescent="0.2">
      <c r="A607">
        <v>605</v>
      </c>
      <c r="B607" t="s">
        <v>1347</v>
      </c>
      <c r="C607" s="3" t="s">
        <v>1348</v>
      </c>
      <c r="D607">
        <v>3300</v>
      </c>
      <c r="E607">
        <v>6178</v>
      </c>
      <c r="F607" s="5">
        <f t="shared" si="9"/>
        <v>1.8721212121212121</v>
      </c>
      <c r="G607" t="s">
        <v>8</v>
      </c>
      <c r="H607">
        <v>107</v>
      </c>
      <c r="I607" t="s">
        <v>109</v>
      </c>
      <c r="J607" t="s">
        <v>110</v>
      </c>
      <c r="K607" s="4">
        <v>42280.208333333328</v>
      </c>
      <c r="L607" s="4" t="s">
        <v>56</v>
      </c>
      <c r="M607" s="4" t="s">
        <v>105</v>
      </c>
      <c r="N607" s="4">
        <v>42321.25</v>
      </c>
      <c r="O607" t="b">
        <v>0</v>
      </c>
      <c r="P607" t="b">
        <v>0</v>
      </c>
      <c r="Q607" t="s">
        <v>162</v>
      </c>
      <c r="R607" t="str" cm="1">
        <f t="array" ref="R607:S607">_xlfn.TEXTSPLIT(Q607, "/", , FALSE)</f>
        <v>publishing</v>
      </c>
      <c r="S607" t="str">
        <v>nonfiction</v>
      </c>
    </row>
    <row r="608" spans="1:19" ht="17" x14ac:dyDescent="0.2">
      <c r="A608">
        <v>606</v>
      </c>
      <c r="B608" t="s">
        <v>1349</v>
      </c>
      <c r="C608" s="3" t="s">
        <v>1350</v>
      </c>
      <c r="D608">
        <v>3400</v>
      </c>
      <c r="E608">
        <v>6405</v>
      </c>
      <c r="F608" s="5">
        <f t="shared" si="9"/>
        <v>1.8838235294117647</v>
      </c>
      <c r="G608" t="s">
        <v>8</v>
      </c>
      <c r="H608">
        <v>160</v>
      </c>
      <c r="I608" t="s">
        <v>132</v>
      </c>
      <c r="J608" t="s">
        <v>133</v>
      </c>
      <c r="K608" s="4">
        <v>42436.25</v>
      </c>
      <c r="L608" s="4" t="s">
        <v>49</v>
      </c>
      <c r="M608" s="4" t="s">
        <v>153</v>
      </c>
      <c r="N608" s="4">
        <v>42447.208333333328</v>
      </c>
      <c r="O608" t="b">
        <v>0</v>
      </c>
      <c r="P608" t="b">
        <v>0</v>
      </c>
      <c r="Q608" t="s">
        <v>112</v>
      </c>
      <c r="R608" t="str" cm="1">
        <f t="array" ref="R608:S608">_xlfn.TEXTSPLIT(Q608, "/", , FALSE)</f>
        <v>music</v>
      </c>
      <c r="S608" t="str">
        <v>rock</v>
      </c>
    </row>
    <row r="609" spans="1:19" ht="17" x14ac:dyDescent="0.2">
      <c r="A609">
        <v>607</v>
      </c>
      <c r="B609" t="s">
        <v>1351</v>
      </c>
      <c r="C609" s="3" t="s">
        <v>1352</v>
      </c>
      <c r="D609">
        <v>137600</v>
      </c>
      <c r="E609">
        <v>180667</v>
      </c>
      <c r="F609" s="5">
        <f t="shared" si="9"/>
        <v>1.3129869186046512</v>
      </c>
      <c r="G609" t="s">
        <v>8</v>
      </c>
      <c r="H609">
        <v>2230</v>
      </c>
      <c r="I609" t="s">
        <v>109</v>
      </c>
      <c r="J609" t="s">
        <v>110</v>
      </c>
      <c r="K609" s="4">
        <v>41721.208333333336</v>
      </c>
      <c r="L609" s="4" t="s">
        <v>49</v>
      </c>
      <c r="M609" s="4" t="s">
        <v>111</v>
      </c>
      <c r="N609" s="4">
        <v>41723.208333333336</v>
      </c>
      <c r="O609" t="b">
        <v>0</v>
      </c>
      <c r="P609" t="b">
        <v>0</v>
      </c>
      <c r="Q609" t="s">
        <v>106</v>
      </c>
      <c r="R609" t="str" cm="1">
        <f t="array" ref="R609:S609">_xlfn.TEXTSPLIT(Q609, "/", , FALSE)</f>
        <v>food</v>
      </c>
      <c r="S609" t="str">
        <v>food trucks</v>
      </c>
    </row>
    <row r="610" spans="1:19" ht="17" x14ac:dyDescent="0.2">
      <c r="A610">
        <v>608</v>
      </c>
      <c r="B610" t="s">
        <v>1353</v>
      </c>
      <c r="C610" s="3" t="s">
        <v>1354</v>
      </c>
      <c r="D610">
        <v>3900</v>
      </c>
      <c r="E610">
        <v>11075</v>
      </c>
      <c r="F610" s="5">
        <f t="shared" si="9"/>
        <v>2.8397435897435899</v>
      </c>
      <c r="G610" t="s">
        <v>8</v>
      </c>
      <c r="H610">
        <v>316</v>
      </c>
      <c r="I610" t="s">
        <v>109</v>
      </c>
      <c r="J610" t="s">
        <v>110</v>
      </c>
      <c r="K610" s="4">
        <v>43530.25</v>
      </c>
      <c r="L610" s="4" t="s">
        <v>49</v>
      </c>
      <c r="M610" s="4" t="s">
        <v>121</v>
      </c>
      <c r="N610" s="4">
        <v>43534.25</v>
      </c>
      <c r="O610" t="b">
        <v>0</v>
      </c>
      <c r="P610" t="b">
        <v>1</v>
      </c>
      <c r="Q610" t="s">
        <v>254</v>
      </c>
      <c r="R610" t="str" cm="1">
        <f t="array" ref="R610:S610">_xlfn.TEXTSPLIT(Q610, "/", , FALSE)</f>
        <v>music</v>
      </c>
      <c r="S610" t="str">
        <v>jazz</v>
      </c>
    </row>
    <row r="611" spans="1:19" ht="17" x14ac:dyDescent="0.2">
      <c r="A611">
        <v>609</v>
      </c>
      <c r="B611" t="s">
        <v>1355</v>
      </c>
      <c r="C611" s="3" t="s">
        <v>1356</v>
      </c>
      <c r="D611">
        <v>10000</v>
      </c>
      <c r="E611">
        <v>12042</v>
      </c>
      <c r="F611" s="5">
        <f t="shared" si="9"/>
        <v>1.2041999999999999</v>
      </c>
      <c r="G611" t="s">
        <v>8</v>
      </c>
      <c r="H611">
        <v>117</v>
      </c>
      <c r="I611" t="s">
        <v>109</v>
      </c>
      <c r="J611" t="s">
        <v>110</v>
      </c>
      <c r="K611" s="4">
        <v>43481.25</v>
      </c>
      <c r="L611" s="4" t="s">
        <v>47</v>
      </c>
      <c r="M611" s="4" t="s">
        <v>121</v>
      </c>
      <c r="N611" s="4">
        <v>43498.25</v>
      </c>
      <c r="O611" t="b">
        <v>0</v>
      </c>
      <c r="P611" t="b">
        <v>0</v>
      </c>
      <c r="Q611" t="s">
        <v>569</v>
      </c>
      <c r="R611" t="str" cm="1">
        <f t="array" ref="R611:S611">_xlfn.TEXTSPLIT(Q611, "/", , FALSE)</f>
        <v>film &amp; video</v>
      </c>
      <c r="S611" t="str">
        <v>science fiction</v>
      </c>
    </row>
    <row r="612" spans="1:19" ht="34" x14ac:dyDescent="0.2">
      <c r="A612">
        <v>610</v>
      </c>
      <c r="B612" t="s">
        <v>1357</v>
      </c>
      <c r="C612" s="3" t="s">
        <v>1358</v>
      </c>
      <c r="D612">
        <v>42800</v>
      </c>
      <c r="E612">
        <v>179356</v>
      </c>
      <c r="F612" s="5">
        <f t="shared" si="9"/>
        <v>4.1905607476635511</v>
      </c>
      <c r="G612" t="s">
        <v>8</v>
      </c>
      <c r="H612">
        <v>6406</v>
      </c>
      <c r="I612" t="s">
        <v>109</v>
      </c>
      <c r="J612" t="s">
        <v>110</v>
      </c>
      <c r="K612" s="4">
        <v>41259.25</v>
      </c>
      <c r="L612" s="4" t="s">
        <v>58</v>
      </c>
      <c r="M612" s="4" t="s">
        <v>129</v>
      </c>
      <c r="N612" s="4">
        <v>41273.25</v>
      </c>
      <c r="O612" t="b">
        <v>0</v>
      </c>
      <c r="P612" t="b">
        <v>0</v>
      </c>
      <c r="Q612" t="s">
        <v>124</v>
      </c>
      <c r="R612" t="str" cm="1">
        <f t="array" ref="R612:S612">_xlfn.TEXTSPLIT(Q612, "/", , FALSE)</f>
        <v>theater</v>
      </c>
      <c r="S612" t="str">
        <v>plays</v>
      </c>
    </row>
    <row r="613" spans="1:19" ht="17" x14ac:dyDescent="0.2">
      <c r="A613">
        <v>611</v>
      </c>
      <c r="B613" t="s">
        <v>1359</v>
      </c>
      <c r="C613" s="3" t="s">
        <v>1360</v>
      </c>
      <c r="D613">
        <v>8200</v>
      </c>
      <c r="E613">
        <v>1136</v>
      </c>
      <c r="F613" s="5">
        <f t="shared" si="9"/>
        <v>0.13853658536585367</v>
      </c>
      <c r="G613" t="s">
        <v>5</v>
      </c>
      <c r="H613">
        <v>15</v>
      </c>
      <c r="I613" t="s">
        <v>109</v>
      </c>
      <c r="J613" t="s">
        <v>110</v>
      </c>
      <c r="K613" s="4">
        <v>41480.208333333336</v>
      </c>
      <c r="L613" s="4" t="s">
        <v>53</v>
      </c>
      <c r="M613" s="4" t="s">
        <v>117</v>
      </c>
      <c r="N613" s="4">
        <v>41492.208333333336</v>
      </c>
      <c r="O613" t="b">
        <v>0</v>
      </c>
      <c r="P613" t="b">
        <v>0</v>
      </c>
      <c r="Q613" t="s">
        <v>124</v>
      </c>
      <c r="R613" t="str" cm="1">
        <f t="array" ref="R613:S613">_xlfn.TEXTSPLIT(Q613, "/", , FALSE)</f>
        <v>theater</v>
      </c>
      <c r="S613" t="str">
        <v>plays</v>
      </c>
    </row>
    <row r="614" spans="1:19" ht="17" x14ac:dyDescent="0.2">
      <c r="A614">
        <v>612</v>
      </c>
      <c r="B614" t="s">
        <v>1361</v>
      </c>
      <c r="C614" s="3" t="s">
        <v>1362</v>
      </c>
      <c r="D614">
        <v>6200</v>
      </c>
      <c r="E614">
        <v>8645</v>
      </c>
      <c r="F614" s="5">
        <f t="shared" si="9"/>
        <v>1.3943548387096774</v>
      </c>
      <c r="G614" t="s">
        <v>8</v>
      </c>
      <c r="H614">
        <v>192</v>
      </c>
      <c r="I614" t="s">
        <v>109</v>
      </c>
      <c r="J614" t="s">
        <v>110</v>
      </c>
      <c r="K614" s="4">
        <v>40474.208333333336</v>
      </c>
      <c r="L614" s="4" t="s">
        <v>56</v>
      </c>
      <c r="M614" s="4" t="s">
        <v>140</v>
      </c>
      <c r="N614" s="4">
        <v>40497.25</v>
      </c>
      <c r="O614" t="b">
        <v>0</v>
      </c>
      <c r="P614" t="b">
        <v>0</v>
      </c>
      <c r="Q614" t="s">
        <v>143</v>
      </c>
      <c r="R614" t="str" cm="1">
        <f t="array" ref="R614:S614">_xlfn.TEXTSPLIT(Q614, "/", , FALSE)</f>
        <v>music</v>
      </c>
      <c r="S614" t="str">
        <v>electric music</v>
      </c>
    </row>
    <row r="615" spans="1:19" ht="34" x14ac:dyDescent="0.2">
      <c r="A615">
        <v>613</v>
      </c>
      <c r="B615" t="s">
        <v>1363</v>
      </c>
      <c r="C615" s="3" t="s">
        <v>1364</v>
      </c>
      <c r="D615">
        <v>1100</v>
      </c>
      <c r="E615">
        <v>1914</v>
      </c>
      <c r="F615" s="5">
        <f t="shared" si="9"/>
        <v>1.74</v>
      </c>
      <c r="G615" t="s">
        <v>8</v>
      </c>
      <c r="H615">
        <v>26</v>
      </c>
      <c r="I615" t="s">
        <v>103</v>
      </c>
      <c r="J615" t="s">
        <v>104</v>
      </c>
      <c r="K615" s="4">
        <v>42973.208333333328</v>
      </c>
      <c r="L615" s="4" t="s">
        <v>54</v>
      </c>
      <c r="M615" s="4" t="s">
        <v>134</v>
      </c>
      <c r="N615" s="4">
        <v>42982.208333333328</v>
      </c>
      <c r="O615" t="b">
        <v>0</v>
      </c>
      <c r="P615" t="b">
        <v>0</v>
      </c>
      <c r="Q615" t="s">
        <v>124</v>
      </c>
      <c r="R615" t="str" cm="1">
        <f t="array" ref="R615:S615">_xlfn.TEXTSPLIT(Q615, "/", , FALSE)</f>
        <v>theater</v>
      </c>
      <c r="S615" t="str">
        <v>plays</v>
      </c>
    </row>
    <row r="616" spans="1:19" ht="34" x14ac:dyDescent="0.2">
      <c r="A616">
        <v>614</v>
      </c>
      <c r="B616" t="s">
        <v>1365</v>
      </c>
      <c r="C616" s="3" t="s">
        <v>1366</v>
      </c>
      <c r="D616">
        <v>26500</v>
      </c>
      <c r="E616">
        <v>41205</v>
      </c>
      <c r="F616" s="5">
        <f t="shared" si="9"/>
        <v>1.5549056603773586</v>
      </c>
      <c r="G616" t="s">
        <v>8</v>
      </c>
      <c r="H616">
        <v>723</v>
      </c>
      <c r="I616" t="s">
        <v>109</v>
      </c>
      <c r="J616" t="s">
        <v>110</v>
      </c>
      <c r="K616" s="4">
        <v>42746.25</v>
      </c>
      <c r="L616" s="4" t="s">
        <v>47</v>
      </c>
      <c r="M616" s="4" t="s">
        <v>134</v>
      </c>
      <c r="N616" s="4">
        <v>42764.25</v>
      </c>
      <c r="O616" t="b">
        <v>0</v>
      </c>
      <c r="P616" t="b">
        <v>0</v>
      </c>
      <c r="Q616" t="s">
        <v>124</v>
      </c>
      <c r="R616" t="str" cm="1">
        <f t="array" ref="R616:S616">_xlfn.TEXTSPLIT(Q616, "/", , FALSE)</f>
        <v>theater</v>
      </c>
      <c r="S616" t="str">
        <v>plays</v>
      </c>
    </row>
    <row r="617" spans="1:19" ht="17" x14ac:dyDescent="0.2">
      <c r="A617">
        <v>615</v>
      </c>
      <c r="B617" t="s">
        <v>1367</v>
      </c>
      <c r="C617" s="3" t="s">
        <v>1368</v>
      </c>
      <c r="D617">
        <v>8500</v>
      </c>
      <c r="E617">
        <v>14488</v>
      </c>
      <c r="F617" s="5">
        <f t="shared" si="9"/>
        <v>1.7044705882352942</v>
      </c>
      <c r="G617" t="s">
        <v>8</v>
      </c>
      <c r="H617">
        <v>170</v>
      </c>
      <c r="I617" t="s">
        <v>202</v>
      </c>
      <c r="J617" t="s">
        <v>203</v>
      </c>
      <c r="K617" s="4">
        <v>42489.208333333328</v>
      </c>
      <c r="L617" s="4" t="s">
        <v>50</v>
      </c>
      <c r="M617" s="4" t="s">
        <v>153</v>
      </c>
      <c r="N617" s="4">
        <v>42499.208333333328</v>
      </c>
      <c r="O617" t="b">
        <v>0</v>
      </c>
      <c r="P617" t="b">
        <v>0</v>
      </c>
      <c r="Q617" t="s">
        <v>124</v>
      </c>
      <c r="R617" t="str" cm="1">
        <f t="array" ref="R617:S617">_xlfn.TEXTSPLIT(Q617, "/", , FALSE)</f>
        <v>theater</v>
      </c>
      <c r="S617" t="str">
        <v>plays</v>
      </c>
    </row>
    <row r="618" spans="1:19" ht="17" x14ac:dyDescent="0.2">
      <c r="A618">
        <v>616</v>
      </c>
      <c r="B618" t="s">
        <v>1369</v>
      </c>
      <c r="C618" s="3" t="s">
        <v>1370</v>
      </c>
      <c r="D618">
        <v>6400</v>
      </c>
      <c r="E618">
        <v>12129</v>
      </c>
      <c r="F618" s="5">
        <f t="shared" si="9"/>
        <v>1.8951562500000001</v>
      </c>
      <c r="G618" t="s">
        <v>8</v>
      </c>
      <c r="H618">
        <v>238</v>
      </c>
      <c r="I618" t="s">
        <v>132</v>
      </c>
      <c r="J618" t="s">
        <v>133</v>
      </c>
      <c r="K618" s="4">
        <v>41537.208333333336</v>
      </c>
      <c r="L618" s="4" t="s">
        <v>55</v>
      </c>
      <c r="M618" s="4" t="s">
        <v>117</v>
      </c>
      <c r="N618" s="4">
        <v>41538.208333333336</v>
      </c>
      <c r="O618" t="b">
        <v>0</v>
      </c>
      <c r="P618" t="b">
        <v>1</v>
      </c>
      <c r="Q618" t="s">
        <v>154</v>
      </c>
      <c r="R618" t="str" cm="1">
        <f t="array" ref="R618:S618">_xlfn.TEXTSPLIT(Q618, "/", , FALSE)</f>
        <v>music</v>
      </c>
      <c r="S618" t="str">
        <v>indie rock</v>
      </c>
    </row>
    <row r="619" spans="1:19" ht="17" x14ac:dyDescent="0.2">
      <c r="A619">
        <v>617</v>
      </c>
      <c r="B619" t="s">
        <v>1371</v>
      </c>
      <c r="C619" s="3" t="s">
        <v>1372</v>
      </c>
      <c r="D619">
        <v>1400</v>
      </c>
      <c r="E619">
        <v>3496</v>
      </c>
      <c r="F619" s="5">
        <f t="shared" si="9"/>
        <v>2.4971428571428573</v>
      </c>
      <c r="G619" t="s">
        <v>8</v>
      </c>
      <c r="H619">
        <v>55</v>
      </c>
      <c r="I619" t="s">
        <v>109</v>
      </c>
      <c r="J619" t="s">
        <v>110</v>
      </c>
      <c r="K619" s="4">
        <v>41794.208333333336</v>
      </c>
      <c r="L619" s="4" t="s">
        <v>52</v>
      </c>
      <c r="M619" s="4" t="s">
        <v>111</v>
      </c>
      <c r="N619" s="4">
        <v>41804.208333333336</v>
      </c>
      <c r="O619" t="b">
        <v>0</v>
      </c>
      <c r="P619" t="b">
        <v>0</v>
      </c>
      <c r="Q619" t="s">
        <v>124</v>
      </c>
      <c r="R619" t="str" cm="1">
        <f t="array" ref="R619:S619">_xlfn.TEXTSPLIT(Q619, "/", , FALSE)</f>
        <v>theater</v>
      </c>
      <c r="S619" t="str">
        <v>plays</v>
      </c>
    </row>
    <row r="620" spans="1:19" ht="17" x14ac:dyDescent="0.2">
      <c r="A620">
        <v>618</v>
      </c>
      <c r="B620" t="s">
        <v>1373</v>
      </c>
      <c r="C620" s="3" t="s">
        <v>1374</v>
      </c>
      <c r="D620">
        <v>198600</v>
      </c>
      <c r="E620">
        <v>97037</v>
      </c>
      <c r="F620" s="5">
        <f t="shared" si="9"/>
        <v>0.48860523665659616</v>
      </c>
      <c r="G620" t="s">
        <v>6</v>
      </c>
      <c r="H620">
        <v>1198</v>
      </c>
      <c r="I620" t="s">
        <v>109</v>
      </c>
      <c r="J620" t="s">
        <v>110</v>
      </c>
      <c r="K620" s="4">
        <v>41396.208333333336</v>
      </c>
      <c r="L620" s="4" t="s">
        <v>51</v>
      </c>
      <c r="M620" s="4" t="s">
        <v>117</v>
      </c>
      <c r="N620" s="4">
        <v>41417.208333333336</v>
      </c>
      <c r="O620" t="b">
        <v>0</v>
      </c>
      <c r="P620" t="b">
        <v>0</v>
      </c>
      <c r="Q620" t="s">
        <v>162</v>
      </c>
      <c r="R620" t="str" cm="1">
        <f t="array" ref="R620:S620">_xlfn.TEXTSPLIT(Q620, "/", , FALSE)</f>
        <v>publishing</v>
      </c>
      <c r="S620" t="str">
        <v>nonfiction</v>
      </c>
    </row>
    <row r="621" spans="1:19" ht="17" x14ac:dyDescent="0.2">
      <c r="A621">
        <v>619</v>
      </c>
      <c r="B621" t="s">
        <v>1375</v>
      </c>
      <c r="C621" s="3" t="s">
        <v>1376</v>
      </c>
      <c r="D621">
        <v>195900</v>
      </c>
      <c r="E621">
        <v>55757</v>
      </c>
      <c r="F621" s="5">
        <f t="shared" si="9"/>
        <v>0.28461970393057684</v>
      </c>
      <c r="G621" t="s">
        <v>6</v>
      </c>
      <c r="H621">
        <v>648</v>
      </c>
      <c r="I621" t="s">
        <v>109</v>
      </c>
      <c r="J621" t="s">
        <v>110</v>
      </c>
      <c r="K621" s="4">
        <v>40669.208333333336</v>
      </c>
      <c r="L621" s="4" t="s">
        <v>51</v>
      </c>
      <c r="M621" s="4" t="s">
        <v>165</v>
      </c>
      <c r="N621" s="4">
        <v>40670.208333333336</v>
      </c>
      <c r="O621" t="b">
        <v>1</v>
      </c>
      <c r="P621" t="b">
        <v>1</v>
      </c>
      <c r="Q621" t="s">
        <v>124</v>
      </c>
      <c r="R621" t="str" cm="1">
        <f t="array" ref="R621:S621">_xlfn.TEXTSPLIT(Q621, "/", , FALSE)</f>
        <v>theater</v>
      </c>
      <c r="S621" t="str">
        <v>plays</v>
      </c>
    </row>
    <row r="622" spans="1:19" ht="17" x14ac:dyDescent="0.2">
      <c r="A622">
        <v>620</v>
      </c>
      <c r="B622" t="s">
        <v>1377</v>
      </c>
      <c r="C622" s="3" t="s">
        <v>1378</v>
      </c>
      <c r="D622">
        <v>4300</v>
      </c>
      <c r="E622">
        <v>11525</v>
      </c>
      <c r="F622" s="5">
        <f t="shared" si="9"/>
        <v>2.6802325581395348</v>
      </c>
      <c r="G622" t="s">
        <v>8</v>
      </c>
      <c r="H622">
        <v>128</v>
      </c>
      <c r="I622" t="s">
        <v>115</v>
      </c>
      <c r="J622" t="s">
        <v>116</v>
      </c>
      <c r="K622" s="4">
        <v>42559.208333333328</v>
      </c>
      <c r="L622" s="4" t="s">
        <v>53</v>
      </c>
      <c r="M622" s="4" t="s">
        <v>153</v>
      </c>
      <c r="N622" s="4">
        <v>42563.208333333328</v>
      </c>
      <c r="O622" t="b">
        <v>0</v>
      </c>
      <c r="P622" t="b">
        <v>0</v>
      </c>
      <c r="Q622" t="s">
        <v>217</v>
      </c>
      <c r="R622" t="str" cm="1">
        <f t="array" ref="R622:S622">_xlfn.TEXTSPLIT(Q622, "/", , FALSE)</f>
        <v>photography</v>
      </c>
      <c r="S622" t="str">
        <v>photography books</v>
      </c>
    </row>
    <row r="623" spans="1:19" ht="17" x14ac:dyDescent="0.2">
      <c r="A623">
        <v>621</v>
      </c>
      <c r="B623" t="s">
        <v>1379</v>
      </c>
      <c r="C623" s="3" t="s">
        <v>1380</v>
      </c>
      <c r="D623">
        <v>25600</v>
      </c>
      <c r="E623">
        <v>158669</v>
      </c>
      <c r="F623" s="5">
        <f t="shared" si="9"/>
        <v>6.1980078125000002</v>
      </c>
      <c r="G623" t="s">
        <v>8</v>
      </c>
      <c r="H623">
        <v>2144</v>
      </c>
      <c r="I623" t="s">
        <v>109</v>
      </c>
      <c r="J623" t="s">
        <v>110</v>
      </c>
      <c r="K623" s="4">
        <v>42626.208333333328</v>
      </c>
      <c r="L623" s="4" t="s">
        <v>55</v>
      </c>
      <c r="M623" s="4" t="s">
        <v>153</v>
      </c>
      <c r="N623" s="4">
        <v>42631.208333333328</v>
      </c>
      <c r="O623" t="b">
        <v>0</v>
      </c>
      <c r="P623" t="b">
        <v>0</v>
      </c>
      <c r="Q623" t="s">
        <v>124</v>
      </c>
      <c r="R623" t="str" cm="1">
        <f t="array" ref="R623:S623">_xlfn.TEXTSPLIT(Q623, "/", , FALSE)</f>
        <v>theater</v>
      </c>
      <c r="S623" t="str">
        <v>plays</v>
      </c>
    </row>
    <row r="624" spans="1:19" ht="17" x14ac:dyDescent="0.2">
      <c r="A624">
        <v>622</v>
      </c>
      <c r="B624" t="s">
        <v>1381</v>
      </c>
      <c r="C624" s="3" t="s">
        <v>1382</v>
      </c>
      <c r="D624">
        <v>189000</v>
      </c>
      <c r="E624">
        <v>5916</v>
      </c>
      <c r="F624" s="5">
        <f t="shared" si="9"/>
        <v>3.1301587301587303E-2</v>
      </c>
      <c r="G624" t="s">
        <v>6</v>
      </c>
      <c r="H624">
        <v>64</v>
      </c>
      <c r="I624" t="s">
        <v>109</v>
      </c>
      <c r="J624" t="s">
        <v>110</v>
      </c>
      <c r="K624" s="4">
        <v>43205.208333333328</v>
      </c>
      <c r="L624" s="4" t="s">
        <v>50</v>
      </c>
      <c r="M624" s="4" t="s">
        <v>169</v>
      </c>
      <c r="N624" s="4">
        <v>43231.208333333328</v>
      </c>
      <c r="O624" t="b">
        <v>0</v>
      </c>
      <c r="P624" t="b">
        <v>0</v>
      </c>
      <c r="Q624" t="s">
        <v>154</v>
      </c>
      <c r="R624" t="str" cm="1">
        <f t="array" ref="R624:S624">_xlfn.TEXTSPLIT(Q624, "/", , FALSE)</f>
        <v>music</v>
      </c>
      <c r="S624" t="str">
        <v>indie rock</v>
      </c>
    </row>
    <row r="625" spans="1:19" ht="17" x14ac:dyDescent="0.2">
      <c r="A625">
        <v>623</v>
      </c>
      <c r="B625" t="s">
        <v>1383</v>
      </c>
      <c r="C625" s="3" t="s">
        <v>1384</v>
      </c>
      <c r="D625">
        <v>94300</v>
      </c>
      <c r="E625">
        <v>150806</v>
      </c>
      <c r="F625" s="5">
        <f t="shared" si="9"/>
        <v>1.5992152704135738</v>
      </c>
      <c r="G625" t="s">
        <v>8</v>
      </c>
      <c r="H625">
        <v>2693</v>
      </c>
      <c r="I625" t="s">
        <v>132</v>
      </c>
      <c r="J625" t="s">
        <v>133</v>
      </c>
      <c r="K625" s="4">
        <v>42201.208333333328</v>
      </c>
      <c r="L625" s="4" t="s">
        <v>53</v>
      </c>
      <c r="M625" s="4" t="s">
        <v>105</v>
      </c>
      <c r="N625" s="4">
        <v>42206.208333333328</v>
      </c>
      <c r="O625" t="b">
        <v>0</v>
      </c>
      <c r="P625" t="b">
        <v>0</v>
      </c>
      <c r="Q625" t="s">
        <v>124</v>
      </c>
      <c r="R625" t="str" cm="1">
        <f t="array" ref="R625:S625">_xlfn.TEXTSPLIT(Q625, "/", , FALSE)</f>
        <v>theater</v>
      </c>
      <c r="S625" t="str">
        <v>plays</v>
      </c>
    </row>
    <row r="626" spans="1:19" ht="17" x14ac:dyDescent="0.2">
      <c r="A626">
        <v>624</v>
      </c>
      <c r="B626" t="s">
        <v>1385</v>
      </c>
      <c r="C626" s="3" t="s">
        <v>1386</v>
      </c>
      <c r="D626">
        <v>5100</v>
      </c>
      <c r="E626">
        <v>14249</v>
      </c>
      <c r="F626" s="5">
        <f t="shared" si="9"/>
        <v>2.793921568627451</v>
      </c>
      <c r="G626" t="s">
        <v>8</v>
      </c>
      <c r="H626">
        <v>432</v>
      </c>
      <c r="I626" t="s">
        <v>109</v>
      </c>
      <c r="J626" t="s">
        <v>110</v>
      </c>
      <c r="K626" s="4">
        <v>42029.25</v>
      </c>
      <c r="L626" s="4" t="s">
        <v>47</v>
      </c>
      <c r="M626" s="4" t="s">
        <v>105</v>
      </c>
      <c r="N626" s="4">
        <v>42035.25</v>
      </c>
      <c r="O626" t="b">
        <v>0</v>
      </c>
      <c r="P626" t="b">
        <v>0</v>
      </c>
      <c r="Q626" t="s">
        <v>217</v>
      </c>
      <c r="R626" t="str" cm="1">
        <f t="array" ref="R626:S626">_xlfn.TEXTSPLIT(Q626, "/", , FALSE)</f>
        <v>photography</v>
      </c>
      <c r="S626" t="str">
        <v>photography books</v>
      </c>
    </row>
    <row r="627" spans="1:19" ht="34" x14ac:dyDescent="0.2">
      <c r="A627">
        <v>625</v>
      </c>
      <c r="B627" t="s">
        <v>1387</v>
      </c>
      <c r="C627" s="3" t="s">
        <v>1388</v>
      </c>
      <c r="D627">
        <v>7500</v>
      </c>
      <c r="E627">
        <v>5803</v>
      </c>
      <c r="F627" s="5">
        <f t="shared" si="9"/>
        <v>0.77373333333333338</v>
      </c>
      <c r="G627" t="s">
        <v>6</v>
      </c>
      <c r="H627">
        <v>62</v>
      </c>
      <c r="I627" t="s">
        <v>109</v>
      </c>
      <c r="J627" t="s">
        <v>110</v>
      </c>
      <c r="K627" s="4">
        <v>43857.25</v>
      </c>
      <c r="L627" s="4" t="s">
        <v>47</v>
      </c>
      <c r="M627" s="4" t="s">
        <v>1389</v>
      </c>
      <c r="N627" s="4">
        <v>43871.25</v>
      </c>
      <c r="O627" t="b">
        <v>0</v>
      </c>
      <c r="P627" t="b">
        <v>0</v>
      </c>
      <c r="Q627" t="s">
        <v>124</v>
      </c>
      <c r="R627" t="str" cm="1">
        <f t="array" ref="R627:S627">_xlfn.TEXTSPLIT(Q627, "/", , FALSE)</f>
        <v>theater</v>
      </c>
      <c r="S627" t="str">
        <v>plays</v>
      </c>
    </row>
    <row r="628" spans="1:19" ht="34" x14ac:dyDescent="0.2">
      <c r="A628">
        <v>626</v>
      </c>
      <c r="B628" t="s">
        <v>1390</v>
      </c>
      <c r="C628" s="3" t="s">
        <v>1391</v>
      </c>
      <c r="D628">
        <v>6400</v>
      </c>
      <c r="E628">
        <v>13205</v>
      </c>
      <c r="F628" s="5">
        <f t="shared" si="9"/>
        <v>2.0632812500000002</v>
      </c>
      <c r="G628" t="s">
        <v>8</v>
      </c>
      <c r="H628">
        <v>189</v>
      </c>
      <c r="I628" t="s">
        <v>109</v>
      </c>
      <c r="J628" t="s">
        <v>110</v>
      </c>
      <c r="K628" s="4">
        <v>40449.208333333336</v>
      </c>
      <c r="L628" s="4" t="s">
        <v>55</v>
      </c>
      <c r="M628" s="4" t="s">
        <v>140</v>
      </c>
      <c r="N628" s="4">
        <v>40458.208333333336</v>
      </c>
      <c r="O628" t="b">
        <v>0</v>
      </c>
      <c r="P628" t="b">
        <v>1</v>
      </c>
      <c r="Q628" t="s">
        <v>124</v>
      </c>
      <c r="R628" t="str" cm="1">
        <f t="array" ref="R628:S628">_xlfn.TEXTSPLIT(Q628, "/", , FALSE)</f>
        <v>theater</v>
      </c>
      <c r="S628" t="str">
        <v>plays</v>
      </c>
    </row>
    <row r="629" spans="1:19" ht="17" x14ac:dyDescent="0.2">
      <c r="A629">
        <v>627</v>
      </c>
      <c r="B629" t="s">
        <v>1392</v>
      </c>
      <c r="C629" s="3" t="s">
        <v>1393</v>
      </c>
      <c r="D629">
        <v>1600</v>
      </c>
      <c r="E629">
        <v>11108</v>
      </c>
      <c r="F629" s="5">
        <f t="shared" si="9"/>
        <v>6.9424999999999999</v>
      </c>
      <c r="G629" t="s">
        <v>8</v>
      </c>
      <c r="H629">
        <v>154</v>
      </c>
      <c r="I629" t="s">
        <v>132</v>
      </c>
      <c r="J629" t="s">
        <v>133</v>
      </c>
      <c r="K629" s="4">
        <v>40345.208333333336</v>
      </c>
      <c r="L629" s="4" t="s">
        <v>52</v>
      </c>
      <c r="M629" s="4" t="s">
        <v>140</v>
      </c>
      <c r="N629" s="4">
        <v>40369.208333333336</v>
      </c>
      <c r="O629" t="b">
        <v>1</v>
      </c>
      <c r="P629" t="b">
        <v>0</v>
      </c>
      <c r="Q629" t="s">
        <v>106</v>
      </c>
      <c r="R629" t="str" cm="1">
        <f t="array" ref="R629:S629">_xlfn.TEXTSPLIT(Q629, "/", , FALSE)</f>
        <v>food</v>
      </c>
      <c r="S629" t="str">
        <v>food trucks</v>
      </c>
    </row>
    <row r="630" spans="1:19" ht="17" x14ac:dyDescent="0.2">
      <c r="A630">
        <v>628</v>
      </c>
      <c r="B630" t="s">
        <v>1394</v>
      </c>
      <c r="C630" s="3" t="s">
        <v>1395</v>
      </c>
      <c r="D630">
        <v>1900</v>
      </c>
      <c r="E630">
        <v>2884</v>
      </c>
      <c r="F630" s="5">
        <f t="shared" si="9"/>
        <v>1.5178947368421052</v>
      </c>
      <c r="G630" t="s">
        <v>8</v>
      </c>
      <c r="H630">
        <v>96</v>
      </c>
      <c r="I630" t="s">
        <v>109</v>
      </c>
      <c r="J630" t="s">
        <v>110</v>
      </c>
      <c r="K630" s="4">
        <v>40455.208333333336</v>
      </c>
      <c r="L630" s="4" t="s">
        <v>56</v>
      </c>
      <c r="M630" s="4" t="s">
        <v>140</v>
      </c>
      <c r="N630" s="4">
        <v>40458.208333333336</v>
      </c>
      <c r="O630" t="b">
        <v>0</v>
      </c>
      <c r="P630" t="b">
        <v>0</v>
      </c>
      <c r="Q630" t="s">
        <v>154</v>
      </c>
      <c r="R630" t="str" cm="1">
        <f t="array" ref="R630:S630">_xlfn.TEXTSPLIT(Q630, "/", , FALSE)</f>
        <v>music</v>
      </c>
      <c r="S630" t="str">
        <v>indie rock</v>
      </c>
    </row>
    <row r="631" spans="1:19" ht="17" x14ac:dyDescent="0.2">
      <c r="A631">
        <v>629</v>
      </c>
      <c r="B631" t="s">
        <v>1396</v>
      </c>
      <c r="C631" s="3" t="s">
        <v>1397</v>
      </c>
      <c r="D631">
        <v>85900</v>
      </c>
      <c r="E631">
        <v>55476</v>
      </c>
      <c r="F631" s="5">
        <f t="shared" si="9"/>
        <v>0.64582072176949945</v>
      </c>
      <c r="G631" t="s">
        <v>6</v>
      </c>
      <c r="H631">
        <v>750</v>
      </c>
      <c r="I631" t="s">
        <v>109</v>
      </c>
      <c r="J631" t="s">
        <v>110</v>
      </c>
      <c r="K631" s="4">
        <v>42557.208333333328</v>
      </c>
      <c r="L631" s="4" t="s">
        <v>53</v>
      </c>
      <c r="M631" s="4" t="s">
        <v>153</v>
      </c>
      <c r="N631" s="4">
        <v>42559.208333333328</v>
      </c>
      <c r="O631" t="b">
        <v>0</v>
      </c>
      <c r="P631" t="b">
        <v>1</v>
      </c>
      <c r="Q631" t="s">
        <v>124</v>
      </c>
      <c r="R631" t="str" cm="1">
        <f t="array" ref="R631:S631">_xlfn.TEXTSPLIT(Q631, "/", , FALSE)</f>
        <v>theater</v>
      </c>
      <c r="S631" t="str">
        <v>plays</v>
      </c>
    </row>
    <row r="632" spans="1:19" ht="17" x14ac:dyDescent="0.2">
      <c r="A632">
        <v>630</v>
      </c>
      <c r="B632" t="s">
        <v>1398</v>
      </c>
      <c r="C632" s="3" t="s">
        <v>1399</v>
      </c>
      <c r="D632">
        <v>9500</v>
      </c>
      <c r="E632">
        <v>5973</v>
      </c>
      <c r="F632" s="5">
        <f t="shared" si="9"/>
        <v>0.62873684210526315</v>
      </c>
      <c r="G632" t="s">
        <v>5</v>
      </c>
      <c r="H632">
        <v>87</v>
      </c>
      <c r="I632" t="s">
        <v>109</v>
      </c>
      <c r="J632" t="s">
        <v>110</v>
      </c>
      <c r="K632" s="4">
        <v>43586.208333333328</v>
      </c>
      <c r="L632" s="4" t="s">
        <v>51</v>
      </c>
      <c r="M632" s="4" t="s">
        <v>121</v>
      </c>
      <c r="N632" s="4">
        <v>43597.208333333328</v>
      </c>
      <c r="O632" t="b">
        <v>0</v>
      </c>
      <c r="P632" t="b">
        <v>1</v>
      </c>
      <c r="Q632" t="s">
        <v>124</v>
      </c>
      <c r="R632" t="str" cm="1">
        <f t="array" ref="R632:S632">_xlfn.TEXTSPLIT(Q632, "/", , FALSE)</f>
        <v>theater</v>
      </c>
      <c r="S632" t="str">
        <v>plays</v>
      </c>
    </row>
    <row r="633" spans="1:19" ht="17" x14ac:dyDescent="0.2">
      <c r="A633">
        <v>631</v>
      </c>
      <c r="B633" t="s">
        <v>1400</v>
      </c>
      <c r="C633" s="3" t="s">
        <v>1401</v>
      </c>
      <c r="D633">
        <v>59200</v>
      </c>
      <c r="E633">
        <v>183756</v>
      </c>
      <c r="F633" s="5">
        <f t="shared" si="9"/>
        <v>3.1039864864864866</v>
      </c>
      <c r="G633" t="s">
        <v>8</v>
      </c>
      <c r="H633">
        <v>3063</v>
      </c>
      <c r="I633" t="s">
        <v>109</v>
      </c>
      <c r="J633" t="s">
        <v>110</v>
      </c>
      <c r="K633" s="4">
        <v>43550.208333333328</v>
      </c>
      <c r="L633" s="4" t="s">
        <v>49</v>
      </c>
      <c r="M633" s="4" t="s">
        <v>121</v>
      </c>
      <c r="N633" s="4">
        <v>43554.208333333328</v>
      </c>
      <c r="O633" t="b">
        <v>0</v>
      </c>
      <c r="P633" t="b">
        <v>0</v>
      </c>
      <c r="Q633" t="s">
        <v>124</v>
      </c>
      <c r="R633" t="str" cm="1">
        <f t="array" ref="R633:S633">_xlfn.TEXTSPLIT(Q633, "/", , FALSE)</f>
        <v>theater</v>
      </c>
      <c r="S633" t="str">
        <v>plays</v>
      </c>
    </row>
    <row r="634" spans="1:19" ht="17" x14ac:dyDescent="0.2">
      <c r="A634">
        <v>632</v>
      </c>
      <c r="B634" t="s">
        <v>1402</v>
      </c>
      <c r="C634" s="3" t="s">
        <v>1403</v>
      </c>
      <c r="D634">
        <v>72100</v>
      </c>
      <c r="E634">
        <v>30902</v>
      </c>
      <c r="F634" s="5">
        <f t="shared" si="9"/>
        <v>0.42859916782246882</v>
      </c>
      <c r="G634" t="s">
        <v>7</v>
      </c>
      <c r="H634">
        <v>278</v>
      </c>
      <c r="I634" t="s">
        <v>109</v>
      </c>
      <c r="J634" t="s">
        <v>110</v>
      </c>
      <c r="K634" s="4">
        <v>41945.208333333336</v>
      </c>
      <c r="L634" s="4" t="s">
        <v>57</v>
      </c>
      <c r="M634" s="4" t="s">
        <v>111</v>
      </c>
      <c r="N634" s="4">
        <v>41963.25</v>
      </c>
      <c r="O634" t="b">
        <v>0</v>
      </c>
      <c r="P634" t="b">
        <v>0</v>
      </c>
      <c r="Q634" t="s">
        <v>124</v>
      </c>
      <c r="R634" t="str" cm="1">
        <f t="array" ref="R634:S634">_xlfn.TEXTSPLIT(Q634, "/", , FALSE)</f>
        <v>theater</v>
      </c>
      <c r="S634" t="str">
        <v>plays</v>
      </c>
    </row>
    <row r="635" spans="1:19" ht="34" x14ac:dyDescent="0.2">
      <c r="A635">
        <v>633</v>
      </c>
      <c r="B635" t="s">
        <v>1404</v>
      </c>
      <c r="C635" s="3" t="s">
        <v>1405</v>
      </c>
      <c r="D635">
        <v>6700</v>
      </c>
      <c r="E635">
        <v>5569</v>
      </c>
      <c r="F635" s="5">
        <f t="shared" si="9"/>
        <v>0.83119402985074631</v>
      </c>
      <c r="G635" t="s">
        <v>6</v>
      </c>
      <c r="H635">
        <v>105</v>
      </c>
      <c r="I635" t="s">
        <v>109</v>
      </c>
      <c r="J635" t="s">
        <v>110</v>
      </c>
      <c r="K635" s="4">
        <v>42315.25</v>
      </c>
      <c r="L635" s="4" t="s">
        <v>57</v>
      </c>
      <c r="M635" s="4" t="s">
        <v>105</v>
      </c>
      <c r="N635" s="4">
        <v>42319.25</v>
      </c>
      <c r="O635" t="b">
        <v>0</v>
      </c>
      <c r="P635" t="b">
        <v>0</v>
      </c>
      <c r="Q635" t="s">
        <v>166</v>
      </c>
      <c r="R635" t="str" cm="1">
        <f t="array" ref="R635:S635">_xlfn.TEXTSPLIT(Q635, "/", , FALSE)</f>
        <v>film &amp; video</v>
      </c>
      <c r="S635" t="str">
        <v>animation</v>
      </c>
    </row>
    <row r="636" spans="1:19" ht="17" x14ac:dyDescent="0.2">
      <c r="A636">
        <v>634</v>
      </c>
      <c r="B636" t="s">
        <v>1406</v>
      </c>
      <c r="C636" s="3" t="s">
        <v>1407</v>
      </c>
      <c r="D636">
        <v>118200</v>
      </c>
      <c r="E636">
        <v>92824</v>
      </c>
      <c r="F636" s="5">
        <f t="shared" si="9"/>
        <v>0.78531302876480547</v>
      </c>
      <c r="G636" t="s">
        <v>5</v>
      </c>
      <c r="H636">
        <v>1658</v>
      </c>
      <c r="I636" t="s">
        <v>109</v>
      </c>
      <c r="J636" t="s">
        <v>110</v>
      </c>
      <c r="K636" s="4">
        <v>42819.208333333328</v>
      </c>
      <c r="L636" s="4" t="s">
        <v>49</v>
      </c>
      <c r="M636" s="4" t="s">
        <v>134</v>
      </c>
      <c r="N636" s="4">
        <v>42833.208333333328</v>
      </c>
      <c r="O636" t="b">
        <v>0</v>
      </c>
      <c r="P636" t="b">
        <v>0</v>
      </c>
      <c r="Q636" t="s">
        <v>364</v>
      </c>
      <c r="R636" t="str" cm="1">
        <f t="array" ref="R636:S636">_xlfn.TEXTSPLIT(Q636, "/", , FALSE)</f>
        <v>film &amp; video</v>
      </c>
      <c r="S636" t="str">
        <v>television</v>
      </c>
    </row>
    <row r="637" spans="1:19" ht="17" x14ac:dyDescent="0.2">
      <c r="A637">
        <v>635</v>
      </c>
      <c r="B637" t="s">
        <v>1408</v>
      </c>
      <c r="C637" s="3" t="s">
        <v>1409</v>
      </c>
      <c r="D637">
        <v>139000</v>
      </c>
      <c r="E637">
        <v>158590</v>
      </c>
      <c r="F637" s="5">
        <f t="shared" si="9"/>
        <v>1.1409352517985611</v>
      </c>
      <c r="G637" t="s">
        <v>8</v>
      </c>
      <c r="H637">
        <v>2266</v>
      </c>
      <c r="I637" t="s">
        <v>109</v>
      </c>
      <c r="J637" t="s">
        <v>110</v>
      </c>
      <c r="K637" s="4">
        <v>41314.25</v>
      </c>
      <c r="L637" s="4" t="s">
        <v>48</v>
      </c>
      <c r="M637" s="4" t="s">
        <v>117</v>
      </c>
      <c r="N637" s="4">
        <v>41346.208333333336</v>
      </c>
      <c r="O637" t="b">
        <v>0</v>
      </c>
      <c r="P637" t="b">
        <v>0</v>
      </c>
      <c r="Q637" t="s">
        <v>364</v>
      </c>
      <c r="R637" t="str" cm="1">
        <f t="array" ref="R637:S637">_xlfn.TEXTSPLIT(Q637, "/", , FALSE)</f>
        <v>film &amp; video</v>
      </c>
      <c r="S637" t="str">
        <v>television</v>
      </c>
    </row>
    <row r="638" spans="1:19" ht="17" x14ac:dyDescent="0.2">
      <c r="A638">
        <v>636</v>
      </c>
      <c r="B638" t="s">
        <v>1410</v>
      </c>
      <c r="C638" s="3" t="s">
        <v>1411</v>
      </c>
      <c r="D638">
        <v>197700</v>
      </c>
      <c r="E638">
        <v>127591</v>
      </c>
      <c r="F638" s="5">
        <f t="shared" si="9"/>
        <v>0.64537683358624176</v>
      </c>
      <c r="G638" t="s">
        <v>6</v>
      </c>
      <c r="H638">
        <v>2604</v>
      </c>
      <c r="I638" t="s">
        <v>127</v>
      </c>
      <c r="J638" t="s">
        <v>128</v>
      </c>
      <c r="K638" s="4">
        <v>40926.25</v>
      </c>
      <c r="L638" s="4" t="s">
        <v>47</v>
      </c>
      <c r="M638" s="4" t="s">
        <v>129</v>
      </c>
      <c r="N638" s="4">
        <v>40971.25</v>
      </c>
      <c r="O638" t="b">
        <v>0</v>
      </c>
      <c r="P638" t="b">
        <v>1</v>
      </c>
      <c r="Q638" t="s">
        <v>166</v>
      </c>
      <c r="R638" t="str" cm="1">
        <f t="array" ref="R638:S638">_xlfn.TEXTSPLIT(Q638, "/", , FALSE)</f>
        <v>film &amp; video</v>
      </c>
      <c r="S638" t="str">
        <v>animation</v>
      </c>
    </row>
    <row r="639" spans="1:19" ht="17" x14ac:dyDescent="0.2">
      <c r="A639">
        <v>637</v>
      </c>
      <c r="B639" t="s">
        <v>1412</v>
      </c>
      <c r="C639" s="3" t="s">
        <v>1413</v>
      </c>
      <c r="D639">
        <v>8500</v>
      </c>
      <c r="E639">
        <v>6750</v>
      </c>
      <c r="F639" s="5">
        <f t="shared" si="9"/>
        <v>0.79411764705882348</v>
      </c>
      <c r="G639" t="s">
        <v>6</v>
      </c>
      <c r="H639">
        <v>65</v>
      </c>
      <c r="I639" t="s">
        <v>109</v>
      </c>
      <c r="J639" t="s">
        <v>110</v>
      </c>
      <c r="K639" s="4">
        <v>42688.25</v>
      </c>
      <c r="L639" s="4" t="s">
        <v>57</v>
      </c>
      <c r="M639" s="4" t="s">
        <v>153</v>
      </c>
      <c r="N639" s="4">
        <v>42696.25</v>
      </c>
      <c r="O639" t="b">
        <v>0</v>
      </c>
      <c r="P639" t="b">
        <v>0</v>
      </c>
      <c r="Q639" t="s">
        <v>124</v>
      </c>
      <c r="R639" t="str" cm="1">
        <f t="array" ref="R639:S639">_xlfn.TEXTSPLIT(Q639, "/", , FALSE)</f>
        <v>theater</v>
      </c>
      <c r="S639" t="str">
        <v>plays</v>
      </c>
    </row>
    <row r="640" spans="1:19" ht="17" x14ac:dyDescent="0.2">
      <c r="A640">
        <v>638</v>
      </c>
      <c r="B640" t="s">
        <v>1414</v>
      </c>
      <c r="C640" s="3" t="s">
        <v>1415</v>
      </c>
      <c r="D640">
        <v>81600</v>
      </c>
      <c r="E640">
        <v>9318</v>
      </c>
      <c r="F640" s="5">
        <f t="shared" si="9"/>
        <v>0.11419117647058824</v>
      </c>
      <c r="G640" t="s">
        <v>6</v>
      </c>
      <c r="H640">
        <v>94</v>
      </c>
      <c r="I640" t="s">
        <v>109</v>
      </c>
      <c r="J640" t="s">
        <v>110</v>
      </c>
      <c r="K640" s="4">
        <v>40386.208333333336</v>
      </c>
      <c r="L640" s="4" t="s">
        <v>53</v>
      </c>
      <c r="M640" s="4" t="s">
        <v>140</v>
      </c>
      <c r="N640" s="4">
        <v>40398.208333333336</v>
      </c>
      <c r="O640" t="b">
        <v>0</v>
      </c>
      <c r="P640" t="b">
        <v>1</v>
      </c>
      <c r="Q640" t="s">
        <v>124</v>
      </c>
      <c r="R640" t="str" cm="1">
        <f t="array" ref="R640:S640">_xlfn.TEXTSPLIT(Q640, "/", , FALSE)</f>
        <v>theater</v>
      </c>
      <c r="S640" t="str">
        <v>plays</v>
      </c>
    </row>
    <row r="641" spans="1:19" ht="17" x14ac:dyDescent="0.2">
      <c r="A641">
        <v>639</v>
      </c>
      <c r="B641" t="s">
        <v>1416</v>
      </c>
      <c r="C641" s="3" t="s">
        <v>1417</v>
      </c>
      <c r="D641">
        <v>8600</v>
      </c>
      <c r="E641">
        <v>4832</v>
      </c>
      <c r="F641" s="5">
        <f t="shared" si="9"/>
        <v>0.56186046511627907</v>
      </c>
      <c r="G641" t="s">
        <v>7</v>
      </c>
      <c r="H641">
        <v>45</v>
      </c>
      <c r="I641" t="s">
        <v>109</v>
      </c>
      <c r="J641" t="s">
        <v>110</v>
      </c>
      <c r="K641" s="4">
        <v>43309.208333333328</v>
      </c>
      <c r="L641" s="4" t="s">
        <v>53</v>
      </c>
      <c r="M641" s="4" t="s">
        <v>169</v>
      </c>
      <c r="N641" s="4">
        <v>43309.208333333328</v>
      </c>
      <c r="O641" t="b">
        <v>0</v>
      </c>
      <c r="P641" t="b">
        <v>1</v>
      </c>
      <c r="Q641" t="s">
        <v>146</v>
      </c>
      <c r="R641" t="str" cm="1">
        <f t="array" ref="R641:S641">_xlfn.TEXTSPLIT(Q641, "/", , FALSE)</f>
        <v>film &amp; video</v>
      </c>
      <c r="S641" t="str">
        <v>drama</v>
      </c>
    </row>
    <row r="642" spans="1:19" ht="17" x14ac:dyDescent="0.2">
      <c r="A642">
        <v>640</v>
      </c>
      <c r="B642" t="s">
        <v>1418</v>
      </c>
      <c r="C642" s="3" t="s">
        <v>1419</v>
      </c>
      <c r="D642">
        <v>119800</v>
      </c>
      <c r="E642">
        <v>19769</v>
      </c>
      <c r="F642" s="5">
        <f t="shared" si="9"/>
        <v>0.16501669449081802</v>
      </c>
      <c r="G642" t="s">
        <v>6</v>
      </c>
      <c r="H642">
        <v>257</v>
      </c>
      <c r="I642" t="s">
        <v>109</v>
      </c>
      <c r="J642" t="s">
        <v>110</v>
      </c>
      <c r="K642" s="4">
        <v>42387.25</v>
      </c>
      <c r="L642" s="4" t="s">
        <v>47</v>
      </c>
      <c r="M642" s="4" t="s">
        <v>153</v>
      </c>
      <c r="N642" s="4">
        <v>42390.25</v>
      </c>
      <c r="O642" t="b">
        <v>0</v>
      </c>
      <c r="P642" t="b">
        <v>0</v>
      </c>
      <c r="Q642" t="s">
        <v>124</v>
      </c>
      <c r="R642" t="str" cm="1">
        <f t="array" ref="R642:S642">_xlfn.TEXTSPLIT(Q642, "/", , FALSE)</f>
        <v>theater</v>
      </c>
      <c r="S642" t="str">
        <v>plays</v>
      </c>
    </row>
    <row r="643" spans="1:19" ht="34" x14ac:dyDescent="0.2">
      <c r="A643">
        <v>641</v>
      </c>
      <c r="B643" t="s">
        <v>1420</v>
      </c>
      <c r="C643" s="3" t="s">
        <v>1421</v>
      </c>
      <c r="D643">
        <v>9400</v>
      </c>
      <c r="E643">
        <v>11277</v>
      </c>
      <c r="F643" s="5">
        <f t="shared" ref="F643:F706" si="10">E643/D643</f>
        <v>1.1996808510638297</v>
      </c>
      <c r="G643" t="s">
        <v>8</v>
      </c>
      <c r="H643">
        <v>194</v>
      </c>
      <c r="I643" t="s">
        <v>193</v>
      </c>
      <c r="J643" t="s">
        <v>194</v>
      </c>
      <c r="K643" s="4">
        <v>42786.25</v>
      </c>
      <c r="L643" s="4" t="s">
        <v>48</v>
      </c>
      <c r="M643" s="4" t="s">
        <v>134</v>
      </c>
      <c r="N643" s="4">
        <v>42814.208333333328</v>
      </c>
      <c r="O643" t="b">
        <v>0</v>
      </c>
      <c r="P643" t="b">
        <v>0</v>
      </c>
      <c r="Q643" t="s">
        <v>124</v>
      </c>
      <c r="R643" t="str" cm="1">
        <f t="array" ref="R643:S643">_xlfn.TEXTSPLIT(Q643, "/", , FALSE)</f>
        <v>theater</v>
      </c>
      <c r="S643" t="str">
        <v>plays</v>
      </c>
    </row>
    <row r="644" spans="1:19" ht="17" x14ac:dyDescent="0.2">
      <c r="A644">
        <v>642</v>
      </c>
      <c r="B644" t="s">
        <v>1422</v>
      </c>
      <c r="C644" s="3" t="s">
        <v>1423</v>
      </c>
      <c r="D644">
        <v>9200</v>
      </c>
      <c r="E644">
        <v>13382</v>
      </c>
      <c r="F644" s="5">
        <f t="shared" si="10"/>
        <v>1.4545652173913044</v>
      </c>
      <c r="G644" t="s">
        <v>8</v>
      </c>
      <c r="H644">
        <v>129</v>
      </c>
      <c r="I644" t="s">
        <v>103</v>
      </c>
      <c r="J644" t="s">
        <v>104</v>
      </c>
      <c r="K644" s="4">
        <v>43451.25</v>
      </c>
      <c r="L644" s="4" t="s">
        <v>58</v>
      </c>
      <c r="M644" s="4" t="s">
        <v>169</v>
      </c>
      <c r="N644" s="4">
        <v>43460.25</v>
      </c>
      <c r="O644" t="b">
        <v>0</v>
      </c>
      <c r="P644" t="b">
        <v>0</v>
      </c>
      <c r="Q644" t="s">
        <v>159</v>
      </c>
      <c r="R644" t="str" cm="1">
        <f t="array" ref="R644:S644">_xlfn.TEXTSPLIT(Q644, "/", , FALSE)</f>
        <v>technology</v>
      </c>
      <c r="S644" t="str">
        <v>wearables</v>
      </c>
    </row>
    <row r="645" spans="1:19" ht="17" x14ac:dyDescent="0.2">
      <c r="A645">
        <v>643</v>
      </c>
      <c r="B645" t="s">
        <v>1424</v>
      </c>
      <c r="C645" s="3" t="s">
        <v>1425</v>
      </c>
      <c r="D645">
        <v>14900</v>
      </c>
      <c r="E645">
        <v>32986</v>
      </c>
      <c r="F645" s="5">
        <f t="shared" si="10"/>
        <v>2.2138255033557046</v>
      </c>
      <c r="G645" t="s">
        <v>8</v>
      </c>
      <c r="H645">
        <v>375</v>
      </c>
      <c r="I645" t="s">
        <v>109</v>
      </c>
      <c r="J645" t="s">
        <v>110</v>
      </c>
      <c r="K645" s="4">
        <v>42795.25</v>
      </c>
      <c r="L645" s="4" t="s">
        <v>49</v>
      </c>
      <c r="M645" s="4" t="s">
        <v>134</v>
      </c>
      <c r="N645" s="4">
        <v>42813.208333333328</v>
      </c>
      <c r="O645" t="b">
        <v>0</v>
      </c>
      <c r="P645" t="b">
        <v>0</v>
      </c>
      <c r="Q645" t="s">
        <v>124</v>
      </c>
      <c r="R645" t="str" cm="1">
        <f t="array" ref="R645:S645">_xlfn.TEXTSPLIT(Q645, "/", , FALSE)</f>
        <v>theater</v>
      </c>
      <c r="S645" t="str">
        <v>plays</v>
      </c>
    </row>
    <row r="646" spans="1:19" ht="17" x14ac:dyDescent="0.2">
      <c r="A646">
        <v>644</v>
      </c>
      <c r="B646" t="s">
        <v>1426</v>
      </c>
      <c r="C646" s="3" t="s">
        <v>1427</v>
      </c>
      <c r="D646">
        <v>169400</v>
      </c>
      <c r="E646">
        <v>81984</v>
      </c>
      <c r="F646" s="5">
        <f t="shared" si="10"/>
        <v>0.48396694214876035</v>
      </c>
      <c r="G646" t="s">
        <v>6</v>
      </c>
      <c r="H646">
        <v>2928</v>
      </c>
      <c r="I646" t="s">
        <v>103</v>
      </c>
      <c r="J646" t="s">
        <v>104</v>
      </c>
      <c r="K646" s="4">
        <v>43452.25</v>
      </c>
      <c r="L646" s="4" t="s">
        <v>58</v>
      </c>
      <c r="M646" s="4" t="s">
        <v>169</v>
      </c>
      <c r="N646" s="4">
        <v>43468.25</v>
      </c>
      <c r="O646" t="b">
        <v>0</v>
      </c>
      <c r="P646" t="b">
        <v>0</v>
      </c>
      <c r="Q646" t="s">
        <v>124</v>
      </c>
      <c r="R646" t="str" cm="1">
        <f t="array" ref="R646:S646">_xlfn.TEXTSPLIT(Q646, "/", , FALSE)</f>
        <v>theater</v>
      </c>
      <c r="S646" t="str">
        <v>plays</v>
      </c>
    </row>
    <row r="647" spans="1:19" ht="17" x14ac:dyDescent="0.2">
      <c r="A647">
        <v>645</v>
      </c>
      <c r="B647" t="s">
        <v>1428</v>
      </c>
      <c r="C647" s="3" t="s">
        <v>1429</v>
      </c>
      <c r="D647">
        <v>192100</v>
      </c>
      <c r="E647">
        <v>178483</v>
      </c>
      <c r="F647" s="5">
        <f t="shared" si="10"/>
        <v>0.92911504424778757</v>
      </c>
      <c r="G647" t="s">
        <v>6</v>
      </c>
      <c r="H647">
        <v>4697</v>
      </c>
      <c r="I647" t="s">
        <v>109</v>
      </c>
      <c r="J647" t="s">
        <v>110</v>
      </c>
      <c r="K647" s="4">
        <v>43369.208333333328</v>
      </c>
      <c r="L647" s="4" t="s">
        <v>55</v>
      </c>
      <c r="M647" s="4" t="s">
        <v>169</v>
      </c>
      <c r="N647" s="4">
        <v>43390.208333333328</v>
      </c>
      <c r="O647" t="b">
        <v>0</v>
      </c>
      <c r="P647" t="b">
        <v>1</v>
      </c>
      <c r="Q647" t="s">
        <v>112</v>
      </c>
      <c r="R647" t="str" cm="1">
        <f t="array" ref="R647:S647">_xlfn.TEXTSPLIT(Q647, "/", , FALSE)</f>
        <v>music</v>
      </c>
      <c r="S647" t="str">
        <v>rock</v>
      </c>
    </row>
    <row r="648" spans="1:19" ht="17" x14ac:dyDescent="0.2">
      <c r="A648">
        <v>646</v>
      </c>
      <c r="B648" t="s">
        <v>1430</v>
      </c>
      <c r="C648" s="3" t="s">
        <v>1431</v>
      </c>
      <c r="D648">
        <v>98700</v>
      </c>
      <c r="E648">
        <v>87448</v>
      </c>
      <c r="F648" s="5">
        <f t="shared" si="10"/>
        <v>0.88599797365754818</v>
      </c>
      <c r="G648" t="s">
        <v>6</v>
      </c>
      <c r="H648">
        <v>2915</v>
      </c>
      <c r="I648" t="s">
        <v>109</v>
      </c>
      <c r="J648" t="s">
        <v>110</v>
      </c>
      <c r="K648" s="4">
        <v>41346.208333333336</v>
      </c>
      <c r="L648" s="4" t="s">
        <v>49</v>
      </c>
      <c r="M648" s="4" t="s">
        <v>117</v>
      </c>
      <c r="N648" s="4">
        <v>41357.208333333336</v>
      </c>
      <c r="O648" t="b">
        <v>0</v>
      </c>
      <c r="P648" t="b">
        <v>0</v>
      </c>
      <c r="Q648" t="s">
        <v>184</v>
      </c>
      <c r="R648" t="str" cm="1">
        <f t="array" ref="R648:S648">_xlfn.TEXTSPLIT(Q648, "/", , FALSE)</f>
        <v>games</v>
      </c>
      <c r="S648" t="str">
        <v>video games</v>
      </c>
    </row>
    <row r="649" spans="1:19" ht="17" x14ac:dyDescent="0.2">
      <c r="A649">
        <v>647</v>
      </c>
      <c r="B649" t="s">
        <v>1432</v>
      </c>
      <c r="C649" s="3" t="s">
        <v>1433</v>
      </c>
      <c r="D649">
        <v>4500</v>
      </c>
      <c r="E649">
        <v>1863</v>
      </c>
      <c r="F649" s="5">
        <f t="shared" si="10"/>
        <v>0.41399999999999998</v>
      </c>
      <c r="G649" t="s">
        <v>6</v>
      </c>
      <c r="H649">
        <v>18</v>
      </c>
      <c r="I649" t="s">
        <v>109</v>
      </c>
      <c r="J649" t="s">
        <v>110</v>
      </c>
      <c r="K649" s="4">
        <v>43199.208333333328</v>
      </c>
      <c r="L649" s="4" t="s">
        <v>50</v>
      </c>
      <c r="M649" s="4" t="s">
        <v>169</v>
      </c>
      <c r="N649" s="4">
        <v>43223.208333333328</v>
      </c>
      <c r="O649" t="b">
        <v>0</v>
      </c>
      <c r="P649" t="b">
        <v>0</v>
      </c>
      <c r="Q649" t="s">
        <v>301</v>
      </c>
      <c r="R649" t="str" cm="1">
        <f t="array" ref="R649:S649">_xlfn.TEXTSPLIT(Q649, "/", , FALSE)</f>
        <v>publishing</v>
      </c>
      <c r="S649" t="str">
        <v>translations</v>
      </c>
    </row>
    <row r="650" spans="1:19" ht="17" x14ac:dyDescent="0.2">
      <c r="A650">
        <v>648</v>
      </c>
      <c r="B650" t="s">
        <v>1434</v>
      </c>
      <c r="C650" s="3" t="s">
        <v>1435</v>
      </c>
      <c r="D650">
        <v>98600</v>
      </c>
      <c r="E650">
        <v>62174</v>
      </c>
      <c r="F650" s="5">
        <f t="shared" si="10"/>
        <v>0.63056795131845844</v>
      </c>
      <c r="G650" t="s">
        <v>5</v>
      </c>
      <c r="H650">
        <v>723</v>
      </c>
      <c r="I650" t="s">
        <v>109</v>
      </c>
      <c r="J650" t="s">
        <v>110</v>
      </c>
      <c r="K650" s="4">
        <v>42922.208333333328</v>
      </c>
      <c r="L650" s="4" t="s">
        <v>53</v>
      </c>
      <c r="M650" s="4" t="s">
        <v>134</v>
      </c>
      <c r="N650" s="4">
        <v>42940.208333333328</v>
      </c>
      <c r="O650" t="b">
        <v>1</v>
      </c>
      <c r="P650" t="b">
        <v>0</v>
      </c>
      <c r="Q650" t="s">
        <v>106</v>
      </c>
      <c r="R650" t="str" cm="1">
        <f t="array" ref="R650:S650">_xlfn.TEXTSPLIT(Q650, "/", , FALSE)</f>
        <v>food</v>
      </c>
      <c r="S650" t="str">
        <v>food trucks</v>
      </c>
    </row>
    <row r="651" spans="1:19" ht="17" x14ac:dyDescent="0.2">
      <c r="A651">
        <v>649</v>
      </c>
      <c r="B651" t="s">
        <v>1436</v>
      </c>
      <c r="C651" s="3" t="s">
        <v>1437</v>
      </c>
      <c r="D651">
        <v>121700</v>
      </c>
      <c r="E651">
        <v>59003</v>
      </c>
      <c r="F651" s="5">
        <f t="shared" si="10"/>
        <v>0.48482333607230893</v>
      </c>
      <c r="G651" t="s">
        <v>6</v>
      </c>
      <c r="H651">
        <v>602</v>
      </c>
      <c r="I651" t="s">
        <v>193</v>
      </c>
      <c r="J651" t="s">
        <v>194</v>
      </c>
      <c r="K651" s="4">
        <v>40471.208333333336</v>
      </c>
      <c r="L651" s="4" t="s">
        <v>56</v>
      </c>
      <c r="M651" s="4" t="s">
        <v>140</v>
      </c>
      <c r="N651" s="4">
        <v>40482.208333333336</v>
      </c>
      <c r="O651" t="b">
        <v>1</v>
      </c>
      <c r="P651" t="b">
        <v>1</v>
      </c>
      <c r="Q651" t="s">
        <v>124</v>
      </c>
      <c r="R651" t="str" cm="1">
        <f t="array" ref="R651:S651">_xlfn.TEXTSPLIT(Q651, "/", , FALSE)</f>
        <v>theater</v>
      </c>
      <c r="S651" t="str">
        <v>plays</v>
      </c>
    </row>
    <row r="652" spans="1:19" ht="17" x14ac:dyDescent="0.2">
      <c r="A652">
        <v>650</v>
      </c>
      <c r="B652" t="s">
        <v>1438</v>
      </c>
      <c r="C652" s="3" t="s">
        <v>1439</v>
      </c>
      <c r="D652">
        <v>100</v>
      </c>
      <c r="E652">
        <v>2</v>
      </c>
      <c r="F652" s="5">
        <f t="shared" si="10"/>
        <v>0.02</v>
      </c>
      <c r="G652" t="s">
        <v>6</v>
      </c>
      <c r="H652">
        <v>1</v>
      </c>
      <c r="I652" t="s">
        <v>109</v>
      </c>
      <c r="J652" t="s">
        <v>110</v>
      </c>
      <c r="K652" s="4">
        <v>41828.208333333336</v>
      </c>
      <c r="L652" s="4" t="s">
        <v>53</v>
      </c>
      <c r="M652" s="4" t="s">
        <v>111</v>
      </c>
      <c r="N652" s="4">
        <v>41855.208333333336</v>
      </c>
      <c r="O652" t="b">
        <v>0</v>
      </c>
      <c r="P652" t="b">
        <v>0</v>
      </c>
      <c r="Q652" t="s">
        <v>254</v>
      </c>
      <c r="R652" t="str" cm="1">
        <f t="array" ref="R652:S652">_xlfn.TEXTSPLIT(Q652, "/", , FALSE)</f>
        <v>music</v>
      </c>
      <c r="S652" t="str">
        <v>jazz</v>
      </c>
    </row>
    <row r="653" spans="1:19" ht="17" x14ac:dyDescent="0.2">
      <c r="A653">
        <v>651</v>
      </c>
      <c r="B653" t="s">
        <v>1440</v>
      </c>
      <c r="C653" s="3" t="s">
        <v>1441</v>
      </c>
      <c r="D653">
        <v>196700</v>
      </c>
      <c r="E653">
        <v>174039</v>
      </c>
      <c r="F653" s="5">
        <f t="shared" si="10"/>
        <v>0.88479410269445857</v>
      </c>
      <c r="G653" t="s">
        <v>6</v>
      </c>
      <c r="H653">
        <v>3868</v>
      </c>
      <c r="I653" t="s">
        <v>202</v>
      </c>
      <c r="J653" t="s">
        <v>203</v>
      </c>
      <c r="K653" s="4">
        <v>41692.25</v>
      </c>
      <c r="L653" s="4" t="s">
        <v>48</v>
      </c>
      <c r="M653" s="4" t="s">
        <v>111</v>
      </c>
      <c r="N653" s="4">
        <v>41707.25</v>
      </c>
      <c r="O653" t="b">
        <v>0</v>
      </c>
      <c r="P653" t="b">
        <v>0</v>
      </c>
      <c r="Q653" t="s">
        <v>195</v>
      </c>
      <c r="R653" t="str" cm="1">
        <f t="array" ref="R653:S653">_xlfn.TEXTSPLIT(Q653, "/", , FALSE)</f>
        <v>film &amp; video</v>
      </c>
      <c r="S653" t="str">
        <v>shorts</v>
      </c>
    </row>
    <row r="654" spans="1:19" ht="17" x14ac:dyDescent="0.2">
      <c r="A654">
        <v>652</v>
      </c>
      <c r="B654" t="s">
        <v>1442</v>
      </c>
      <c r="C654" s="3" t="s">
        <v>1443</v>
      </c>
      <c r="D654">
        <v>10000</v>
      </c>
      <c r="E654">
        <v>12684</v>
      </c>
      <c r="F654" s="5">
        <f t="shared" si="10"/>
        <v>1.2684</v>
      </c>
      <c r="G654" t="s">
        <v>8</v>
      </c>
      <c r="H654">
        <v>409</v>
      </c>
      <c r="I654" t="s">
        <v>109</v>
      </c>
      <c r="J654" t="s">
        <v>110</v>
      </c>
      <c r="K654" s="4">
        <v>42587.208333333328</v>
      </c>
      <c r="L654" s="4" t="s">
        <v>54</v>
      </c>
      <c r="M654" s="4" t="s">
        <v>153</v>
      </c>
      <c r="N654" s="4">
        <v>42630.208333333328</v>
      </c>
      <c r="O654" t="b">
        <v>0</v>
      </c>
      <c r="P654" t="b">
        <v>0</v>
      </c>
      <c r="Q654" t="s">
        <v>118</v>
      </c>
      <c r="R654" t="str" cm="1">
        <f t="array" ref="R654:S654">_xlfn.TEXTSPLIT(Q654, "/", , FALSE)</f>
        <v>technology</v>
      </c>
      <c r="S654" t="str">
        <v>web</v>
      </c>
    </row>
    <row r="655" spans="1:19" ht="17" x14ac:dyDescent="0.2">
      <c r="A655">
        <v>653</v>
      </c>
      <c r="B655" t="s">
        <v>1444</v>
      </c>
      <c r="C655" s="3" t="s">
        <v>1445</v>
      </c>
      <c r="D655">
        <v>600</v>
      </c>
      <c r="E655">
        <v>14033</v>
      </c>
      <c r="F655" s="5">
        <f t="shared" si="10"/>
        <v>23.388333333333332</v>
      </c>
      <c r="G655" t="s">
        <v>8</v>
      </c>
      <c r="H655">
        <v>234</v>
      </c>
      <c r="I655" t="s">
        <v>109</v>
      </c>
      <c r="J655" t="s">
        <v>110</v>
      </c>
      <c r="K655" s="4">
        <v>42468.208333333328</v>
      </c>
      <c r="L655" s="4" t="s">
        <v>50</v>
      </c>
      <c r="M655" s="4" t="s">
        <v>153</v>
      </c>
      <c r="N655" s="4">
        <v>42470.208333333328</v>
      </c>
      <c r="O655" t="b">
        <v>0</v>
      </c>
      <c r="P655" t="b">
        <v>0</v>
      </c>
      <c r="Q655" t="s">
        <v>118</v>
      </c>
      <c r="R655" t="str" cm="1">
        <f t="array" ref="R655:S655">_xlfn.TEXTSPLIT(Q655, "/", , FALSE)</f>
        <v>technology</v>
      </c>
      <c r="S655" t="str">
        <v>web</v>
      </c>
    </row>
    <row r="656" spans="1:19" ht="17" x14ac:dyDescent="0.2">
      <c r="A656">
        <v>654</v>
      </c>
      <c r="B656" t="s">
        <v>1446</v>
      </c>
      <c r="C656" s="3" t="s">
        <v>1447</v>
      </c>
      <c r="D656">
        <v>35000</v>
      </c>
      <c r="E656">
        <v>177936</v>
      </c>
      <c r="F656" s="5">
        <f t="shared" si="10"/>
        <v>5.0838857142857146</v>
      </c>
      <c r="G656" t="s">
        <v>8</v>
      </c>
      <c r="H656">
        <v>3016</v>
      </c>
      <c r="I656" t="s">
        <v>109</v>
      </c>
      <c r="J656" t="s">
        <v>110</v>
      </c>
      <c r="K656" s="4">
        <v>42240.208333333328</v>
      </c>
      <c r="L656" s="4" t="s">
        <v>54</v>
      </c>
      <c r="M656" s="4" t="s">
        <v>105</v>
      </c>
      <c r="N656" s="4">
        <v>42245.208333333328</v>
      </c>
      <c r="O656" t="b">
        <v>0</v>
      </c>
      <c r="P656" t="b">
        <v>0</v>
      </c>
      <c r="Q656" t="s">
        <v>243</v>
      </c>
      <c r="R656" t="str" cm="1">
        <f t="array" ref="R656:S656">_xlfn.TEXTSPLIT(Q656, "/", , FALSE)</f>
        <v>music</v>
      </c>
      <c r="S656" t="str">
        <v>metal</v>
      </c>
    </row>
    <row r="657" spans="1:19" ht="17" x14ac:dyDescent="0.2">
      <c r="A657">
        <v>655</v>
      </c>
      <c r="B657" t="s">
        <v>1448</v>
      </c>
      <c r="C657" s="3" t="s">
        <v>1449</v>
      </c>
      <c r="D657">
        <v>6900</v>
      </c>
      <c r="E657">
        <v>13212</v>
      </c>
      <c r="F657" s="5">
        <f t="shared" si="10"/>
        <v>1.9147826086956521</v>
      </c>
      <c r="G657" t="s">
        <v>8</v>
      </c>
      <c r="H657">
        <v>264</v>
      </c>
      <c r="I657" t="s">
        <v>109</v>
      </c>
      <c r="J657" t="s">
        <v>110</v>
      </c>
      <c r="K657" s="4">
        <v>42796.25</v>
      </c>
      <c r="L657" s="4" t="s">
        <v>49</v>
      </c>
      <c r="M657" s="4" t="s">
        <v>134</v>
      </c>
      <c r="N657" s="4">
        <v>42809.208333333328</v>
      </c>
      <c r="O657" t="b">
        <v>1</v>
      </c>
      <c r="P657" t="b">
        <v>0</v>
      </c>
      <c r="Q657" t="s">
        <v>217</v>
      </c>
      <c r="R657" t="str" cm="1">
        <f t="array" ref="R657:S657">_xlfn.TEXTSPLIT(Q657, "/", , FALSE)</f>
        <v>photography</v>
      </c>
      <c r="S657" t="str">
        <v>photography books</v>
      </c>
    </row>
    <row r="658" spans="1:19" ht="34" x14ac:dyDescent="0.2">
      <c r="A658">
        <v>656</v>
      </c>
      <c r="B658" t="s">
        <v>1450</v>
      </c>
      <c r="C658" s="3" t="s">
        <v>1451</v>
      </c>
      <c r="D658">
        <v>118400</v>
      </c>
      <c r="E658">
        <v>49879</v>
      </c>
      <c r="F658" s="5">
        <f t="shared" si="10"/>
        <v>0.42127533783783783</v>
      </c>
      <c r="G658" t="s">
        <v>6</v>
      </c>
      <c r="H658">
        <v>504</v>
      </c>
      <c r="I658" t="s">
        <v>115</v>
      </c>
      <c r="J658" t="s">
        <v>116</v>
      </c>
      <c r="K658" s="4">
        <v>43097.25</v>
      </c>
      <c r="L658" s="4" t="s">
        <v>58</v>
      </c>
      <c r="M658" s="4" t="s">
        <v>134</v>
      </c>
      <c r="N658" s="4">
        <v>43102.25</v>
      </c>
      <c r="O658" t="b">
        <v>0</v>
      </c>
      <c r="P658" t="b">
        <v>0</v>
      </c>
      <c r="Q658" t="s">
        <v>106</v>
      </c>
      <c r="R658" t="str" cm="1">
        <f t="array" ref="R658:S658">_xlfn.TEXTSPLIT(Q658, "/", , FALSE)</f>
        <v>food</v>
      </c>
      <c r="S658" t="str">
        <v>food trucks</v>
      </c>
    </row>
    <row r="659" spans="1:19" ht="17" x14ac:dyDescent="0.2">
      <c r="A659">
        <v>657</v>
      </c>
      <c r="B659" t="s">
        <v>1452</v>
      </c>
      <c r="C659" s="3" t="s">
        <v>1453</v>
      </c>
      <c r="D659">
        <v>10000</v>
      </c>
      <c r="E659">
        <v>824</v>
      </c>
      <c r="F659" s="5">
        <f t="shared" si="10"/>
        <v>8.2400000000000001E-2</v>
      </c>
      <c r="G659" t="s">
        <v>6</v>
      </c>
      <c r="H659">
        <v>14</v>
      </c>
      <c r="I659" t="s">
        <v>109</v>
      </c>
      <c r="J659" t="s">
        <v>110</v>
      </c>
      <c r="K659" s="4">
        <v>43096.25</v>
      </c>
      <c r="L659" s="4" t="s">
        <v>58</v>
      </c>
      <c r="M659" s="4" t="s">
        <v>134</v>
      </c>
      <c r="N659" s="4">
        <v>43112.25</v>
      </c>
      <c r="O659" t="b">
        <v>0</v>
      </c>
      <c r="P659" t="b">
        <v>0</v>
      </c>
      <c r="Q659" t="s">
        <v>569</v>
      </c>
      <c r="R659" t="str" cm="1">
        <f t="array" ref="R659:S659">_xlfn.TEXTSPLIT(Q659, "/", , FALSE)</f>
        <v>film &amp; video</v>
      </c>
      <c r="S659" t="str">
        <v>science fiction</v>
      </c>
    </row>
    <row r="660" spans="1:19" ht="17" x14ac:dyDescent="0.2">
      <c r="A660">
        <v>658</v>
      </c>
      <c r="B660" t="s">
        <v>1454</v>
      </c>
      <c r="C660" s="3" t="s">
        <v>1455</v>
      </c>
      <c r="D660">
        <v>52600</v>
      </c>
      <c r="E660">
        <v>31594</v>
      </c>
      <c r="F660" s="5">
        <f t="shared" si="10"/>
        <v>0.60064638783269964</v>
      </c>
      <c r="G660" t="s">
        <v>5</v>
      </c>
      <c r="H660">
        <v>390</v>
      </c>
      <c r="I660" t="s">
        <v>109</v>
      </c>
      <c r="J660" t="s">
        <v>110</v>
      </c>
      <c r="K660" s="4">
        <v>42246.208333333328</v>
      </c>
      <c r="L660" s="4" t="s">
        <v>54</v>
      </c>
      <c r="M660" s="4" t="s">
        <v>105</v>
      </c>
      <c r="N660" s="4">
        <v>42269.208333333328</v>
      </c>
      <c r="O660" t="b">
        <v>0</v>
      </c>
      <c r="P660" t="b">
        <v>0</v>
      </c>
      <c r="Q660" t="s">
        <v>112</v>
      </c>
      <c r="R660" t="str" cm="1">
        <f t="array" ref="R660:S660">_xlfn.TEXTSPLIT(Q660, "/", , FALSE)</f>
        <v>music</v>
      </c>
      <c r="S660" t="str">
        <v>rock</v>
      </c>
    </row>
    <row r="661" spans="1:19" ht="17" x14ac:dyDescent="0.2">
      <c r="A661">
        <v>659</v>
      </c>
      <c r="B661" t="s">
        <v>1456</v>
      </c>
      <c r="C661" s="3" t="s">
        <v>1457</v>
      </c>
      <c r="D661">
        <v>120700</v>
      </c>
      <c r="E661">
        <v>57010</v>
      </c>
      <c r="F661" s="5">
        <f t="shared" si="10"/>
        <v>0.47232808616404309</v>
      </c>
      <c r="G661" t="s">
        <v>6</v>
      </c>
      <c r="H661">
        <v>750</v>
      </c>
      <c r="I661" t="s">
        <v>132</v>
      </c>
      <c r="J661" t="s">
        <v>133</v>
      </c>
      <c r="K661" s="4">
        <v>40570.25</v>
      </c>
      <c r="L661" s="4" t="s">
        <v>47</v>
      </c>
      <c r="M661" s="4" t="s">
        <v>165</v>
      </c>
      <c r="N661" s="4">
        <v>40571.25</v>
      </c>
      <c r="O661" t="b">
        <v>0</v>
      </c>
      <c r="P661" t="b">
        <v>0</v>
      </c>
      <c r="Q661" t="s">
        <v>135</v>
      </c>
      <c r="R661" t="str" cm="1">
        <f t="array" ref="R661:S661">_xlfn.TEXTSPLIT(Q661, "/", , FALSE)</f>
        <v>film &amp; video</v>
      </c>
      <c r="S661" t="str">
        <v>documentary</v>
      </c>
    </row>
    <row r="662" spans="1:19" ht="17" x14ac:dyDescent="0.2">
      <c r="A662">
        <v>660</v>
      </c>
      <c r="B662" t="s">
        <v>1458</v>
      </c>
      <c r="C662" s="3" t="s">
        <v>1459</v>
      </c>
      <c r="D662">
        <v>9100</v>
      </c>
      <c r="E662">
        <v>7438</v>
      </c>
      <c r="F662" s="5">
        <f t="shared" si="10"/>
        <v>0.81736263736263737</v>
      </c>
      <c r="G662" t="s">
        <v>6</v>
      </c>
      <c r="H662">
        <v>77</v>
      </c>
      <c r="I662" t="s">
        <v>109</v>
      </c>
      <c r="J662" t="s">
        <v>110</v>
      </c>
      <c r="K662" s="4">
        <v>42237.208333333328</v>
      </c>
      <c r="L662" s="4" t="s">
        <v>54</v>
      </c>
      <c r="M662" s="4" t="s">
        <v>105</v>
      </c>
      <c r="N662" s="4">
        <v>42246.208333333328</v>
      </c>
      <c r="O662" t="b">
        <v>1</v>
      </c>
      <c r="P662" t="b">
        <v>0</v>
      </c>
      <c r="Q662" t="s">
        <v>124</v>
      </c>
      <c r="R662" t="str" cm="1">
        <f t="array" ref="R662:S662">_xlfn.TEXTSPLIT(Q662, "/", , FALSE)</f>
        <v>theater</v>
      </c>
      <c r="S662" t="str">
        <v>plays</v>
      </c>
    </row>
    <row r="663" spans="1:19" ht="17" x14ac:dyDescent="0.2">
      <c r="A663">
        <v>661</v>
      </c>
      <c r="B663" t="s">
        <v>1460</v>
      </c>
      <c r="C663" s="3" t="s">
        <v>1461</v>
      </c>
      <c r="D663">
        <v>106800</v>
      </c>
      <c r="E663">
        <v>57872</v>
      </c>
      <c r="F663" s="5">
        <f t="shared" si="10"/>
        <v>0.54187265917603</v>
      </c>
      <c r="G663" t="s">
        <v>6</v>
      </c>
      <c r="H663">
        <v>752</v>
      </c>
      <c r="I663" t="s">
        <v>127</v>
      </c>
      <c r="J663" t="s">
        <v>128</v>
      </c>
      <c r="K663" s="4">
        <v>40996.208333333336</v>
      </c>
      <c r="L663" s="4" t="s">
        <v>49</v>
      </c>
      <c r="M663" s="4" t="s">
        <v>129</v>
      </c>
      <c r="N663" s="4">
        <v>41026.208333333336</v>
      </c>
      <c r="O663" t="b">
        <v>0</v>
      </c>
      <c r="P663" t="b">
        <v>0</v>
      </c>
      <c r="Q663" t="s">
        <v>254</v>
      </c>
      <c r="R663" t="str" cm="1">
        <f t="array" ref="R663:S663">_xlfn.TEXTSPLIT(Q663, "/", , FALSE)</f>
        <v>music</v>
      </c>
      <c r="S663" t="str">
        <v>jazz</v>
      </c>
    </row>
    <row r="664" spans="1:19" ht="17" x14ac:dyDescent="0.2">
      <c r="A664">
        <v>662</v>
      </c>
      <c r="B664" t="s">
        <v>1462</v>
      </c>
      <c r="C664" s="3" t="s">
        <v>1463</v>
      </c>
      <c r="D664">
        <v>9100</v>
      </c>
      <c r="E664">
        <v>8906</v>
      </c>
      <c r="F664" s="5">
        <f t="shared" si="10"/>
        <v>0.97868131868131869</v>
      </c>
      <c r="G664" t="s">
        <v>6</v>
      </c>
      <c r="H664">
        <v>131</v>
      </c>
      <c r="I664" t="s">
        <v>109</v>
      </c>
      <c r="J664" t="s">
        <v>110</v>
      </c>
      <c r="K664" s="4">
        <v>43443.25</v>
      </c>
      <c r="L664" s="4" t="s">
        <v>58</v>
      </c>
      <c r="M664" s="4" t="s">
        <v>169</v>
      </c>
      <c r="N664" s="4">
        <v>43447.25</v>
      </c>
      <c r="O664" t="b">
        <v>0</v>
      </c>
      <c r="P664" t="b">
        <v>0</v>
      </c>
      <c r="Q664" t="s">
        <v>124</v>
      </c>
      <c r="R664" t="str" cm="1">
        <f t="array" ref="R664:S664">_xlfn.TEXTSPLIT(Q664, "/", , FALSE)</f>
        <v>theater</v>
      </c>
      <c r="S664" t="str">
        <v>plays</v>
      </c>
    </row>
    <row r="665" spans="1:19" ht="17" x14ac:dyDescent="0.2">
      <c r="A665">
        <v>663</v>
      </c>
      <c r="B665" t="s">
        <v>1464</v>
      </c>
      <c r="C665" s="3" t="s">
        <v>1465</v>
      </c>
      <c r="D665">
        <v>10000</v>
      </c>
      <c r="E665">
        <v>7724</v>
      </c>
      <c r="F665" s="5">
        <f t="shared" si="10"/>
        <v>0.77239999999999998</v>
      </c>
      <c r="G665" t="s">
        <v>6</v>
      </c>
      <c r="H665">
        <v>87</v>
      </c>
      <c r="I665" t="s">
        <v>109</v>
      </c>
      <c r="J665" t="s">
        <v>110</v>
      </c>
      <c r="K665" s="4">
        <v>40458.208333333336</v>
      </c>
      <c r="L665" s="4" t="s">
        <v>56</v>
      </c>
      <c r="M665" s="4" t="s">
        <v>140</v>
      </c>
      <c r="N665" s="4">
        <v>40481.208333333336</v>
      </c>
      <c r="O665" t="b">
        <v>0</v>
      </c>
      <c r="P665" t="b">
        <v>0</v>
      </c>
      <c r="Q665" t="s">
        <v>124</v>
      </c>
      <c r="R665" t="str" cm="1">
        <f t="array" ref="R665:S665">_xlfn.TEXTSPLIT(Q665, "/", , FALSE)</f>
        <v>theater</v>
      </c>
      <c r="S665" t="str">
        <v>plays</v>
      </c>
    </row>
    <row r="666" spans="1:19" ht="17" x14ac:dyDescent="0.2">
      <c r="A666">
        <v>664</v>
      </c>
      <c r="B666" t="s">
        <v>803</v>
      </c>
      <c r="C666" s="3" t="s">
        <v>1466</v>
      </c>
      <c r="D666">
        <v>79400</v>
      </c>
      <c r="E666">
        <v>26571</v>
      </c>
      <c r="F666" s="5">
        <f t="shared" si="10"/>
        <v>0.33464735516372796</v>
      </c>
      <c r="G666" t="s">
        <v>6</v>
      </c>
      <c r="H666">
        <v>1063</v>
      </c>
      <c r="I666" t="s">
        <v>109</v>
      </c>
      <c r="J666" t="s">
        <v>110</v>
      </c>
      <c r="K666" s="4">
        <v>40959.25</v>
      </c>
      <c r="L666" s="4" t="s">
        <v>48</v>
      </c>
      <c r="M666" s="4" t="s">
        <v>129</v>
      </c>
      <c r="N666" s="4">
        <v>40969.25</v>
      </c>
      <c r="O666" t="b">
        <v>0</v>
      </c>
      <c r="P666" t="b">
        <v>0</v>
      </c>
      <c r="Q666" t="s">
        <v>254</v>
      </c>
      <c r="R666" t="str" cm="1">
        <f t="array" ref="R666:S666">_xlfn.TEXTSPLIT(Q666, "/", , FALSE)</f>
        <v>music</v>
      </c>
      <c r="S666" t="str">
        <v>jazz</v>
      </c>
    </row>
    <row r="667" spans="1:19" ht="17" x14ac:dyDescent="0.2">
      <c r="A667">
        <v>665</v>
      </c>
      <c r="B667" t="s">
        <v>1467</v>
      </c>
      <c r="C667" s="3" t="s">
        <v>1468</v>
      </c>
      <c r="D667">
        <v>5100</v>
      </c>
      <c r="E667">
        <v>12219</v>
      </c>
      <c r="F667" s="5">
        <f t="shared" si="10"/>
        <v>2.3958823529411766</v>
      </c>
      <c r="G667" t="s">
        <v>8</v>
      </c>
      <c r="H667">
        <v>272</v>
      </c>
      <c r="I667" t="s">
        <v>109</v>
      </c>
      <c r="J667" t="s">
        <v>110</v>
      </c>
      <c r="K667" s="4">
        <v>40733.208333333336</v>
      </c>
      <c r="L667" s="4" t="s">
        <v>53</v>
      </c>
      <c r="M667" s="4" t="s">
        <v>165</v>
      </c>
      <c r="N667" s="4">
        <v>40747.208333333336</v>
      </c>
      <c r="O667" t="b">
        <v>0</v>
      </c>
      <c r="P667" t="b">
        <v>1</v>
      </c>
      <c r="Q667" t="s">
        <v>135</v>
      </c>
      <c r="R667" t="str" cm="1">
        <f t="array" ref="R667:S667">_xlfn.TEXTSPLIT(Q667, "/", , FALSE)</f>
        <v>film &amp; video</v>
      </c>
      <c r="S667" t="str">
        <v>documentary</v>
      </c>
    </row>
    <row r="668" spans="1:19" ht="17" x14ac:dyDescent="0.2">
      <c r="A668">
        <v>666</v>
      </c>
      <c r="B668" t="s">
        <v>1469</v>
      </c>
      <c r="C668" s="3" t="s">
        <v>1470</v>
      </c>
      <c r="D668">
        <v>3100</v>
      </c>
      <c r="E668">
        <v>1985</v>
      </c>
      <c r="F668" s="5">
        <f t="shared" si="10"/>
        <v>0.64032258064516134</v>
      </c>
      <c r="G668" t="s">
        <v>5</v>
      </c>
      <c r="H668">
        <v>25</v>
      </c>
      <c r="I668" t="s">
        <v>109</v>
      </c>
      <c r="J668" t="s">
        <v>110</v>
      </c>
      <c r="K668" s="4">
        <v>41516.208333333336</v>
      </c>
      <c r="L668" s="4" t="s">
        <v>54</v>
      </c>
      <c r="M668" s="4" t="s">
        <v>117</v>
      </c>
      <c r="N668" s="4">
        <v>41522.208333333336</v>
      </c>
      <c r="O668" t="b">
        <v>0</v>
      </c>
      <c r="P668" t="b">
        <v>1</v>
      </c>
      <c r="Q668" t="s">
        <v>124</v>
      </c>
      <c r="R668" t="str" cm="1">
        <f t="array" ref="R668:S668">_xlfn.TEXTSPLIT(Q668, "/", , FALSE)</f>
        <v>theater</v>
      </c>
      <c r="S668" t="str">
        <v>plays</v>
      </c>
    </row>
    <row r="669" spans="1:19" ht="34" x14ac:dyDescent="0.2">
      <c r="A669">
        <v>667</v>
      </c>
      <c r="B669" t="s">
        <v>1471</v>
      </c>
      <c r="C669" s="3" t="s">
        <v>1472</v>
      </c>
      <c r="D669">
        <v>6900</v>
      </c>
      <c r="E669">
        <v>12155</v>
      </c>
      <c r="F669" s="5">
        <f t="shared" si="10"/>
        <v>1.7615942028985507</v>
      </c>
      <c r="G669" t="s">
        <v>8</v>
      </c>
      <c r="H669">
        <v>419</v>
      </c>
      <c r="I669" t="s">
        <v>109</v>
      </c>
      <c r="J669" t="s">
        <v>110</v>
      </c>
      <c r="K669" s="4">
        <v>41892.208333333336</v>
      </c>
      <c r="L669" s="4" t="s">
        <v>55</v>
      </c>
      <c r="M669" s="4" t="s">
        <v>111</v>
      </c>
      <c r="N669" s="4">
        <v>41901.208333333336</v>
      </c>
      <c r="O669" t="b">
        <v>0</v>
      </c>
      <c r="P669" t="b">
        <v>0</v>
      </c>
      <c r="Q669" t="s">
        <v>1124</v>
      </c>
      <c r="R669" t="str" cm="1">
        <f t="array" ref="R669:S669">_xlfn.TEXTSPLIT(Q669, "/", , FALSE)</f>
        <v>journalism</v>
      </c>
      <c r="S669" t="str">
        <v>audio</v>
      </c>
    </row>
    <row r="670" spans="1:19" ht="34" x14ac:dyDescent="0.2">
      <c r="A670">
        <v>668</v>
      </c>
      <c r="B670" t="s">
        <v>1473</v>
      </c>
      <c r="C670" s="3" t="s">
        <v>1474</v>
      </c>
      <c r="D670">
        <v>27500</v>
      </c>
      <c r="E670">
        <v>5593</v>
      </c>
      <c r="F670" s="5">
        <f t="shared" si="10"/>
        <v>0.20338181818181819</v>
      </c>
      <c r="G670" t="s">
        <v>6</v>
      </c>
      <c r="H670">
        <v>76</v>
      </c>
      <c r="I670" t="s">
        <v>109</v>
      </c>
      <c r="J670" t="s">
        <v>110</v>
      </c>
      <c r="K670" s="4">
        <v>41122.208333333336</v>
      </c>
      <c r="L670" s="4" t="s">
        <v>54</v>
      </c>
      <c r="M670" s="4" t="s">
        <v>129</v>
      </c>
      <c r="N670" s="4">
        <v>41134.208333333336</v>
      </c>
      <c r="O670" t="b">
        <v>0</v>
      </c>
      <c r="P670" t="b">
        <v>0</v>
      </c>
      <c r="Q670" t="s">
        <v>124</v>
      </c>
      <c r="R670" t="str" cm="1">
        <f t="array" ref="R670:S670">_xlfn.TEXTSPLIT(Q670, "/", , FALSE)</f>
        <v>theater</v>
      </c>
      <c r="S670" t="str">
        <v>plays</v>
      </c>
    </row>
    <row r="671" spans="1:19" ht="17" x14ac:dyDescent="0.2">
      <c r="A671">
        <v>669</v>
      </c>
      <c r="B671" t="s">
        <v>1475</v>
      </c>
      <c r="C671" s="3" t="s">
        <v>1476</v>
      </c>
      <c r="D671">
        <v>48800</v>
      </c>
      <c r="E671">
        <v>175020</v>
      </c>
      <c r="F671" s="5">
        <f t="shared" si="10"/>
        <v>3.5864754098360656</v>
      </c>
      <c r="G671" t="s">
        <v>8</v>
      </c>
      <c r="H671">
        <v>1621</v>
      </c>
      <c r="I671" t="s">
        <v>202</v>
      </c>
      <c r="J671" t="s">
        <v>203</v>
      </c>
      <c r="K671" s="4">
        <v>42912.208333333328</v>
      </c>
      <c r="L671" s="4" t="s">
        <v>52</v>
      </c>
      <c r="M671" s="4" t="s">
        <v>134</v>
      </c>
      <c r="N671" s="4">
        <v>42921.208333333328</v>
      </c>
      <c r="O671" t="b">
        <v>0</v>
      </c>
      <c r="P671" t="b">
        <v>0</v>
      </c>
      <c r="Q671" t="s">
        <v>124</v>
      </c>
      <c r="R671" t="str" cm="1">
        <f t="array" ref="R671:S671">_xlfn.TEXTSPLIT(Q671, "/", , FALSE)</f>
        <v>theater</v>
      </c>
      <c r="S671" t="str">
        <v>plays</v>
      </c>
    </row>
    <row r="672" spans="1:19" ht="34" x14ac:dyDescent="0.2">
      <c r="A672">
        <v>670</v>
      </c>
      <c r="B672" t="s">
        <v>1430</v>
      </c>
      <c r="C672" s="3" t="s">
        <v>1477</v>
      </c>
      <c r="D672">
        <v>16200</v>
      </c>
      <c r="E672">
        <v>75955</v>
      </c>
      <c r="F672" s="5">
        <f t="shared" si="10"/>
        <v>4.6885802469135802</v>
      </c>
      <c r="G672" t="s">
        <v>8</v>
      </c>
      <c r="H672">
        <v>1101</v>
      </c>
      <c r="I672" t="s">
        <v>109</v>
      </c>
      <c r="J672" t="s">
        <v>110</v>
      </c>
      <c r="K672" s="4">
        <v>42425.25</v>
      </c>
      <c r="L672" s="4" t="s">
        <v>48</v>
      </c>
      <c r="M672" s="4" t="s">
        <v>153</v>
      </c>
      <c r="N672" s="4">
        <v>42437.25</v>
      </c>
      <c r="O672" t="b">
        <v>0</v>
      </c>
      <c r="P672" t="b">
        <v>0</v>
      </c>
      <c r="Q672" t="s">
        <v>154</v>
      </c>
      <c r="R672" t="str" cm="1">
        <f t="array" ref="R672:S672">_xlfn.TEXTSPLIT(Q672, "/", , FALSE)</f>
        <v>music</v>
      </c>
      <c r="S672" t="str">
        <v>indie rock</v>
      </c>
    </row>
    <row r="673" spans="1:19" ht="34" x14ac:dyDescent="0.2">
      <c r="A673">
        <v>671</v>
      </c>
      <c r="B673" t="s">
        <v>1478</v>
      </c>
      <c r="C673" s="3" t="s">
        <v>1479</v>
      </c>
      <c r="D673">
        <v>97600</v>
      </c>
      <c r="E673">
        <v>119127</v>
      </c>
      <c r="F673" s="5">
        <f t="shared" si="10"/>
        <v>1.220563524590164</v>
      </c>
      <c r="G673" t="s">
        <v>8</v>
      </c>
      <c r="H673">
        <v>1073</v>
      </c>
      <c r="I673" t="s">
        <v>109</v>
      </c>
      <c r="J673" t="s">
        <v>110</v>
      </c>
      <c r="K673" s="4">
        <v>40390.208333333336</v>
      </c>
      <c r="L673" s="4" t="s">
        <v>53</v>
      </c>
      <c r="M673" s="4" t="s">
        <v>140</v>
      </c>
      <c r="N673" s="4">
        <v>40394.208333333336</v>
      </c>
      <c r="O673" t="b">
        <v>0</v>
      </c>
      <c r="P673" t="b">
        <v>1</v>
      </c>
      <c r="Q673" t="s">
        <v>124</v>
      </c>
      <c r="R673" t="str" cm="1">
        <f t="array" ref="R673:S673">_xlfn.TEXTSPLIT(Q673, "/", , FALSE)</f>
        <v>theater</v>
      </c>
      <c r="S673" t="str">
        <v>plays</v>
      </c>
    </row>
    <row r="674" spans="1:19" ht="17" x14ac:dyDescent="0.2">
      <c r="A674">
        <v>672</v>
      </c>
      <c r="B674" t="s">
        <v>1480</v>
      </c>
      <c r="C674" s="3" t="s">
        <v>1481</v>
      </c>
      <c r="D674">
        <v>197900</v>
      </c>
      <c r="E674">
        <v>110689</v>
      </c>
      <c r="F674" s="5">
        <f t="shared" si="10"/>
        <v>0.55931783729156137</v>
      </c>
      <c r="G674" t="s">
        <v>6</v>
      </c>
      <c r="H674">
        <v>4428</v>
      </c>
      <c r="I674" t="s">
        <v>115</v>
      </c>
      <c r="J674" t="s">
        <v>116</v>
      </c>
      <c r="K674" s="4">
        <v>43180.208333333328</v>
      </c>
      <c r="L674" s="4" t="s">
        <v>49</v>
      </c>
      <c r="M674" s="4" t="s">
        <v>169</v>
      </c>
      <c r="N674" s="4">
        <v>43190.208333333328</v>
      </c>
      <c r="O674" t="b">
        <v>0</v>
      </c>
      <c r="P674" t="b">
        <v>0</v>
      </c>
      <c r="Q674" t="s">
        <v>124</v>
      </c>
      <c r="R674" t="str" cm="1">
        <f t="array" ref="R674:S674">_xlfn.TEXTSPLIT(Q674, "/", , FALSE)</f>
        <v>theater</v>
      </c>
      <c r="S674" t="str">
        <v>plays</v>
      </c>
    </row>
    <row r="675" spans="1:19" ht="17" x14ac:dyDescent="0.2">
      <c r="A675">
        <v>673</v>
      </c>
      <c r="B675" t="s">
        <v>1482</v>
      </c>
      <c r="C675" s="3" t="s">
        <v>1483</v>
      </c>
      <c r="D675">
        <v>5600</v>
      </c>
      <c r="E675">
        <v>2445</v>
      </c>
      <c r="F675" s="5">
        <f t="shared" si="10"/>
        <v>0.43660714285714286</v>
      </c>
      <c r="G675" t="s">
        <v>6</v>
      </c>
      <c r="H675">
        <v>58</v>
      </c>
      <c r="I675" t="s">
        <v>202</v>
      </c>
      <c r="J675" t="s">
        <v>203</v>
      </c>
      <c r="K675" s="4">
        <v>42475.208333333328</v>
      </c>
      <c r="L675" s="4" t="s">
        <v>50</v>
      </c>
      <c r="M675" s="4" t="s">
        <v>153</v>
      </c>
      <c r="N675" s="4">
        <v>42496.208333333328</v>
      </c>
      <c r="O675" t="b">
        <v>0</v>
      </c>
      <c r="P675" t="b">
        <v>0</v>
      </c>
      <c r="Q675" t="s">
        <v>154</v>
      </c>
      <c r="R675" t="str" cm="1">
        <f t="array" ref="R675:S675">_xlfn.TEXTSPLIT(Q675, "/", , FALSE)</f>
        <v>music</v>
      </c>
      <c r="S675" t="str">
        <v>indie rock</v>
      </c>
    </row>
    <row r="676" spans="1:19" ht="17" x14ac:dyDescent="0.2">
      <c r="A676">
        <v>674</v>
      </c>
      <c r="B676" t="s">
        <v>1484</v>
      </c>
      <c r="C676" s="3" t="s">
        <v>1485</v>
      </c>
      <c r="D676">
        <v>170700</v>
      </c>
      <c r="E676">
        <v>57250</v>
      </c>
      <c r="F676" s="5">
        <f t="shared" si="10"/>
        <v>0.33538371411833628</v>
      </c>
      <c r="G676" t="s">
        <v>5</v>
      </c>
      <c r="H676">
        <v>1218</v>
      </c>
      <c r="I676" t="s">
        <v>109</v>
      </c>
      <c r="J676" t="s">
        <v>110</v>
      </c>
      <c r="K676" s="4">
        <v>40774.208333333336</v>
      </c>
      <c r="L676" s="4" t="s">
        <v>54</v>
      </c>
      <c r="M676" s="4" t="s">
        <v>165</v>
      </c>
      <c r="N676" s="4">
        <v>40821.208333333336</v>
      </c>
      <c r="O676" t="b">
        <v>0</v>
      </c>
      <c r="P676" t="b">
        <v>0</v>
      </c>
      <c r="Q676" t="s">
        <v>217</v>
      </c>
      <c r="R676" t="str" cm="1">
        <f t="array" ref="R676:S676">_xlfn.TEXTSPLIT(Q676, "/", , FALSE)</f>
        <v>photography</v>
      </c>
      <c r="S676" t="str">
        <v>photography books</v>
      </c>
    </row>
    <row r="677" spans="1:19" ht="17" x14ac:dyDescent="0.2">
      <c r="A677">
        <v>675</v>
      </c>
      <c r="B677" t="s">
        <v>1486</v>
      </c>
      <c r="C677" s="3" t="s">
        <v>1487</v>
      </c>
      <c r="D677">
        <v>9700</v>
      </c>
      <c r="E677">
        <v>11929</v>
      </c>
      <c r="F677" s="5">
        <f t="shared" si="10"/>
        <v>1.2297938144329896</v>
      </c>
      <c r="G677" t="s">
        <v>8</v>
      </c>
      <c r="H677">
        <v>331</v>
      </c>
      <c r="I677" t="s">
        <v>109</v>
      </c>
      <c r="J677" t="s">
        <v>110</v>
      </c>
      <c r="K677" s="4">
        <v>43719.208333333328</v>
      </c>
      <c r="L677" s="4" t="s">
        <v>55</v>
      </c>
      <c r="M677" s="4" t="s">
        <v>121</v>
      </c>
      <c r="N677" s="4">
        <v>43726.208333333328</v>
      </c>
      <c r="O677" t="b">
        <v>0</v>
      </c>
      <c r="P677" t="b">
        <v>0</v>
      </c>
      <c r="Q677" t="s">
        <v>1124</v>
      </c>
      <c r="R677" t="str" cm="1">
        <f t="array" ref="R677:S677">_xlfn.TEXTSPLIT(Q677, "/", , FALSE)</f>
        <v>journalism</v>
      </c>
      <c r="S677" t="str">
        <v>audio</v>
      </c>
    </row>
    <row r="678" spans="1:19" ht="17" x14ac:dyDescent="0.2">
      <c r="A678">
        <v>676</v>
      </c>
      <c r="B678" t="s">
        <v>1488</v>
      </c>
      <c r="C678" s="3" t="s">
        <v>1489</v>
      </c>
      <c r="D678">
        <v>62300</v>
      </c>
      <c r="E678">
        <v>118214</v>
      </c>
      <c r="F678" s="5">
        <f t="shared" si="10"/>
        <v>1.8974959871589085</v>
      </c>
      <c r="G678" t="s">
        <v>8</v>
      </c>
      <c r="H678">
        <v>1170</v>
      </c>
      <c r="I678" t="s">
        <v>109</v>
      </c>
      <c r="J678" t="s">
        <v>110</v>
      </c>
      <c r="K678" s="4">
        <v>41178.208333333336</v>
      </c>
      <c r="L678" s="4" t="s">
        <v>55</v>
      </c>
      <c r="M678" s="4" t="s">
        <v>129</v>
      </c>
      <c r="N678" s="4">
        <v>41187.208333333336</v>
      </c>
      <c r="O678" t="b">
        <v>0</v>
      </c>
      <c r="P678" t="b">
        <v>0</v>
      </c>
      <c r="Q678" t="s">
        <v>217</v>
      </c>
      <c r="R678" t="str" cm="1">
        <f t="array" ref="R678:S678">_xlfn.TEXTSPLIT(Q678, "/", , FALSE)</f>
        <v>photography</v>
      </c>
      <c r="S678" t="str">
        <v>photography books</v>
      </c>
    </row>
    <row r="679" spans="1:19" ht="17" x14ac:dyDescent="0.2">
      <c r="A679">
        <v>677</v>
      </c>
      <c r="B679" t="s">
        <v>1490</v>
      </c>
      <c r="C679" s="3" t="s">
        <v>1491</v>
      </c>
      <c r="D679">
        <v>5300</v>
      </c>
      <c r="E679">
        <v>4432</v>
      </c>
      <c r="F679" s="5">
        <f t="shared" si="10"/>
        <v>0.83622641509433959</v>
      </c>
      <c r="G679" t="s">
        <v>6</v>
      </c>
      <c r="H679">
        <v>111</v>
      </c>
      <c r="I679" t="s">
        <v>109</v>
      </c>
      <c r="J679" t="s">
        <v>110</v>
      </c>
      <c r="K679" s="4">
        <v>42561.208333333328</v>
      </c>
      <c r="L679" s="4" t="s">
        <v>53</v>
      </c>
      <c r="M679" s="4" t="s">
        <v>153</v>
      </c>
      <c r="N679" s="4">
        <v>42611.208333333328</v>
      </c>
      <c r="O679" t="b">
        <v>0</v>
      </c>
      <c r="P679" t="b">
        <v>0</v>
      </c>
      <c r="Q679" t="s">
        <v>214</v>
      </c>
      <c r="R679" t="str" cm="1">
        <f t="array" ref="R679:S679">_xlfn.TEXTSPLIT(Q679, "/", , FALSE)</f>
        <v>publishing</v>
      </c>
      <c r="S679" t="str">
        <v>fiction</v>
      </c>
    </row>
    <row r="680" spans="1:19" ht="17" x14ac:dyDescent="0.2">
      <c r="A680">
        <v>678</v>
      </c>
      <c r="B680" t="s">
        <v>1492</v>
      </c>
      <c r="C680" s="3" t="s">
        <v>1493</v>
      </c>
      <c r="D680">
        <v>99500</v>
      </c>
      <c r="E680">
        <v>17879</v>
      </c>
      <c r="F680" s="5">
        <f t="shared" si="10"/>
        <v>0.17968844221105529</v>
      </c>
      <c r="G680" t="s">
        <v>5</v>
      </c>
      <c r="H680">
        <v>215</v>
      </c>
      <c r="I680" t="s">
        <v>109</v>
      </c>
      <c r="J680" t="s">
        <v>110</v>
      </c>
      <c r="K680" s="4">
        <v>43484.25</v>
      </c>
      <c r="L680" s="4" t="s">
        <v>47</v>
      </c>
      <c r="M680" s="4" t="s">
        <v>121</v>
      </c>
      <c r="N680" s="4">
        <v>43486.25</v>
      </c>
      <c r="O680" t="b">
        <v>0</v>
      </c>
      <c r="P680" t="b">
        <v>0</v>
      </c>
      <c r="Q680" t="s">
        <v>146</v>
      </c>
      <c r="R680" t="str" cm="1">
        <f t="array" ref="R680:S680">_xlfn.TEXTSPLIT(Q680, "/", , FALSE)</f>
        <v>film &amp; video</v>
      </c>
      <c r="S680" t="str">
        <v>drama</v>
      </c>
    </row>
    <row r="681" spans="1:19" ht="17" x14ac:dyDescent="0.2">
      <c r="A681">
        <v>679</v>
      </c>
      <c r="B681" t="s">
        <v>763</v>
      </c>
      <c r="C681" s="3" t="s">
        <v>1494</v>
      </c>
      <c r="D681">
        <v>1400</v>
      </c>
      <c r="E681">
        <v>14511</v>
      </c>
      <c r="F681" s="5">
        <f t="shared" si="10"/>
        <v>10.365</v>
      </c>
      <c r="G681" t="s">
        <v>8</v>
      </c>
      <c r="H681">
        <v>363</v>
      </c>
      <c r="I681" t="s">
        <v>109</v>
      </c>
      <c r="J681" t="s">
        <v>110</v>
      </c>
      <c r="K681" s="4">
        <v>43756.208333333328</v>
      </c>
      <c r="L681" s="4" t="s">
        <v>56</v>
      </c>
      <c r="M681" s="4" t="s">
        <v>121</v>
      </c>
      <c r="N681" s="4">
        <v>43761.208333333328</v>
      </c>
      <c r="O681" t="b">
        <v>0</v>
      </c>
      <c r="P681" t="b">
        <v>1</v>
      </c>
      <c r="Q681" t="s">
        <v>106</v>
      </c>
      <c r="R681" t="str" cm="1">
        <f t="array" ref="R681:S681">_xlfn.TEXTSPLIT(Q681, "/", , FALSE)</f>
        <v>food</v>
      </c>
      <c r="S681" t="str">
        <v>food trucks</v>
      </c>
    </row>
    <row r="682" spans="1:19" ht="34" x14ac:dyDescent="0.2">
      <c r="A682">
        <v>680</v>
      </c>
      <c r="B682" t="s">
        <v>1495</v>
      </c>
      <c r="C682" s="3" t="s">
        <v>1496</v>
      </c>
      <c r="D682">
        <v>145600</v>
      </c>
      <c r="E682">
        <v>141822</v>
      </c>
      <c r="F682" s="5">
        <f t="shared" si="10"/>
        <v>0.97405219780219776</v>
      </c>
      <c r="G682" t="s">
        <v>6</v>
      </c>
      <c r="H682">
        <v>2955</v>
      </c>
      <c r="I682" t="s">
        <v>109</v>
      </c>
      <c r="J682" t="s">
        <v>110</v>
      </c>
      <c r="K682" s="4">
        <v>43813.25</v>
      </c>
      <c r="L682" s="4" t="s">
        <v>58</v>
      </c>
      <c r="M682" s="4" t="s">
        <v>121</v>
      </c>
      <c r="N682" s="4">
        <v>43815.25</v>
      </c>
      <c r="O682" t="b">
        <v>0</v>
      </c>
      <c r="P682" t="b">
        <v>1</v>
      </c>
      <c r="Q682" t="s">
        <v>387</v>
      </c>
      <c r="R682" t="str" cm="1">
        <f t="array" ref="R682:S682">_xlfn.TEXTSPLIT(Q682, "/", , FALSE)</f>
        <v>games</v>
      </c>
      <c r="S682" t="str">
        <v>mobile games</v>
      </c>
    </row>
    <row r="683" spans="1:19" ht="34" x14ac:dyDescent="0.2">
      <c r="A683">
        <v>681</v>
      </c>
      <c r="B683" t="s">
        <v>1497</v>
      </c>
      <c r="C683" s="3" t="s">
        <v>1498</v>
      </c>
      <c r="D683">
        <v>184100</v>
      </c>
      <c r="E683">
        <v>159037</v>
      </c>
      <c r="F683" s="5">
        <f t="shared" si="10"/>
        <v>0.86386203150461705</v>
      </c>
      <c r="G683" t="s">
        <v>6</v>
      </c>
      <c r="H683">
        <v>1657</v>
      </c>
      <c r="I683" t="s">
        <v>109</v>
      </c>
      <c r="J683" t="s">
        <v>110</v>
      </c>
      <c r="K683" s="4">
        <v>40898.25</v>
      </c>
      <c r="L683" s="4" t="s">
        <v>58</v>
      </c>
      <c r="M683" s="4" t="s">
        <v>165</v>
      </c>
      <c r="N683" s="4">
        <v>40904.25</v>
      </c>
      <c r="O683" t="b">
        <v>0</v>
      </c>
      <c r="P683" t="b">
        <v>0</v>
      </c>
      <c r="Q683" t="s">
        <v>124</v>
      </c>
      <c r="R683" t="str" cm="1">
        <f t="array" ref="R683:S683">_xlfn.TEXTSPLIT(Q683, "/", , FALSE)</f>
        <v>theater</v>
      </c>
      <c r="S683" t="str">
        <v>plays</v>
      </c>
    </row>
    <row r="684" spans="1:19" ht="17" x14ac:dyDescent="0.2">
      <c r="A684">
        <v>682</v>
      </c>
      <c r="B684" t="s">
        <v>1499</v>
      </c>
      <c r="C684" s="3" t="s">
        <v>1500</v>
      </c>
      <c r="D684">
        <v>5400</v>
      </c>
      <c r="E684">
        <v>8109</v>
      </c>
      <c r="F684" s="5">
        <f t="shared" si="10"/>
        <v>1.5016666666666667</v>
      </c>
      <c r="G684" t="s">
        <v>8</v>
      </c>
      <c r="H684">
        <v>103</v>
      </c>
      <c r="I684" t="s">
        <v>109</v>
      </c>
      <c r="J684" t="s">
        <v>110</v>
      </c>
      <c r="K684" s="4">
        <v>41619.25</v>
      </c>
      <c r="L684" s="4" t="s">
        <v>58</v>
      </c>
      <c r="M684" s="4" t="s">
        <v>117</v>
      </c>
      <c r="N684" s="4">
        <v>41628.25</v>
      </c>
      <c r="O684" t="b">
        <v>0</v>
      </c>
      <c r="P684" t="b">
        <v>0</v>
      </c>
      <c r="Q684" t="s">
        <v>124</v>
      </c>
      <c r="R684" t="str" cm="1">
        <f t="array" ref="R684:S684">_xlfn.TEXTSPLIT(Q684, "/", , FALSE)</f>
        <v>theater</v>
      </c>
      <c r="S684" t="str">
        <v>plays</v>
      </c>
    </row>
    <row r="685" spans="1:19" ht="17" x14ac:dyDescent="0.2">
      <c r="A685">
        <v>683</v>
      </c>
      <c r="B685" t="s">
        <v>1501</v>
      </c>
      <c r="C685" s="3" t="s">
        <v>1502</v>
      </c>
      <c r="D685">
        <v>2300</v>
      </c>
      <c r="E685">
        <v>8244</v>
      </c>
      <c r="F685" s="5">
        <f t="shared" si="10"/>
        <v>3.5843478260869563</v>
      </c>
      <c r="G685" t="s">
        <v>8</v>
      </c>
      <c r="H685">
        <v>147</v>
      </c>
      <c r="I685" t="s">
        <v>109</v>
      </c>
      <c r="J685" t="s">
        <v>110</v>
      </c>
      <c r="K685" s="4">
        <v>43359.208333333328</v>
      </c>
      <c r="L685" s="4" t="s">
        <v>55</v>
      </c>
      <c r="M685" s="4" t="s">
        <v>169</v>
      </c>
      <c r="N685" s="4">
        <v>43361.208333333328</v>
      </c>
      <c r="O685" t="b">
        <v>0</v>
      </c>
      <c r="P685" t="b">
        <v>0</v>
      </c>
      <c r="Q685" t="s">
        <v>124</v>
      </c>
      <c r="R685" t="str" cm="1">
        <f t="array" ref="R685:S685">_xlfn.TEXTSPLIT(Q685, "/", , FALSE)</f>
        <v>theater</v>
      </c>
      <c r="S685" t="str">
        <v>plays</v>
      </c>
    </row>
    <row r="686" spans="1:19" ht="17" x14ac:dyDescent="0.2">
      <c r="A686">
        <v>684</v>
      </c>
      <c r="B686" t="s">
        <v>1503</v>
      </c>
      <c r="C686" s="3" t="s">
        <v>1504</v>
      </c>
      <c r="D686">
        <v>1400</v>
      </c>
      <c r="E686">
        <v>7600</v>
      </c>
      <c r="F686" s="5">
        <f t="shared" si="10"/>
        <v>5.4285714285714288</v>
      </c>
      <c r="G686" t="s">
        <v>8</v>
      </c>
      <c r="H686">
        <v>110</v>
      </c>
      <c r="I686" t="s">
        <v>103</v>
      </c>
      <c r="J686" t="s">
        <v>104</v>
      </c>
      <c r="K686" s="4">
        <v>40358.208333333336</v>
      </c>
      <c r="L686" s="4" t="s">
        <v>52</v>
      </c>
      <c r="M686" s="4" t="s">
        <v>140</v>
      </c>
      <c r="N686" s="4">
        <v>40378.208333333336</v>
      </c>
      <c r="O686" t="b">
        <v>0</v>
      </c>
      <c r="P686" t="b">
        <v>0</v>
      </c>
      <c r="Q686" t="s">
        <v>162</v>
      </c>
      <c r="R686" t="str" cm="1">
        <f t="array" ref="R686:S686">_xlfn.TEXTSPLIT(Q686, "/", , FALSE)</f>
        <v>publishing</v>
      </c>
      <c r="S686" t="str">
        <v>nonfiction</v>
      </c>
    </row>
    <row r="687" spans="1:19" ht="17" x14ac:dyDescent="0.2">
      <c r="A687">
        <v>685</v>
      </c>
      <c r="B687" t="s">
        <v>1505</v>
      </c>
      <c r="C687" s="3" t="s">
        <v>1506</v>
      </c>
      <c r="D687">
        <v>140000</v>
      </c>
      <c r="E687">
        <v>94501</v>
      </c>
      <c r="F687" s="5">
        <f t="shared" si="10"/>
        <v>0.67500714285714281</v>
      </c>
      <c r="G687" t="s">
        <v>6</v>
      </c>
      <c r="H687">
        <v>926</v>
      </c>
      <c r="I687" t="s">
        <v>103</v>
      </c>
      <c r="J687" t="s">
        <v>104</v>
      </c>
      <c r="K687" s="4">
        <v>42239.208333333328</v>
      </c>
      <c r="L687" s="4" t="s">
        <v>54</v>
      </c>
      <c r="M687" s="4" t="s">
        <v>105</v>
      </c>
      <c r="N687" s="4">
        <v>42263.208333333328</v>
      </c>
      <c r="O687" t="b">
        <v>0</v>
      </c>
      <c r="P687" t="b">
        <v>0</v>
      </c>
      <c r="Q687" t="s">
        <v>124</v>
      </c>
      <c r="R687" t="str" cm="1">
        <f t="array" ref="R687:S687">_xlfn.TEXTSPLIT(Q687, "/", , FALSE)</f>
        <v>theater</v>
      </c>
      <c r="S687" t="str">
        <v>plays</v>
      </c>
    </row>
    <row r="688" spans="1:19" ht="17" x14ac:dyDescent="0.2">
      <c r="A688">
        <v>686</v>
      </c>
      <c r="B688" t="s">
        <v>1507</v>
      </c>
      <c r="C688" s="3" t="s">
        <v>1508</v>
      </c>
      <c r="D688">
        <v>7500</v>
      </c>
      <c r="E688">
        <v>14381</v>
      </c>
      <c r="F688" s="5">
        <f t="shared" si="10"/>
        <v>1.9174666666666667</v>
      </c>
      <c r="G688" t="s">
        <v>8</v>
      </c>
      <c r="H688">
        <v>134</v>
      </c>
      <c r="I688" t="s">
        <v>109</v>
      </c>
      <c r="J688" t="s">
        <v>110</v>
      </c>
      <c r="K688" s="4">
        <v>43186.208333333328</v>
      </c>
      <c r="L688" s="4" t="s">
        <v>49</v>
      </c>
      <c r="M688" s="4" t="s">
        <v>169</v>
      </c>
      <c r="N688" s="4">
        <v>43197.208333333328</v>
      </c>
      <c r="O688" t="b">
        <v>0</v>
      </c>
      <c r="P688" t="b">
        <v>0</v>
      </c>
      <c r="Q688" t="s">
        <v>159</v>
      </c>
      <c r="R688" t="str" cm="1">
        <f t="array" ref="R688:S688">_xlfn.TEXTSPLIT(Q688, "/", , FALSE)</f>
        <v>technology</v>
      </c>
      <c r="S688" t="str">
        <v>wearables</v>
      </c>
    </row>
    <row r="689" spans="1:19" ht="17" x14ac:dyDescent="0.2">
      <c r="A689">
        <v>687</v>
      </c>
      <c r="B689" t="s">
        <v>1509</v>
      </c>
      <c r="C689" s="3" t="s">
        <v>1510</v>
      </c>
      <c r="D689">
        <v>1500</v>
      </c>
      <c r="E689">
        <v>13980</v>
      </c>
      <c r="F689" s="5">
        <f t="shared" si="10"/>
        <v>9.32</v>
      </c>
      <c r="G689" t="s">
        <v>8</v>
      </c>
      <c r="H689">
        <v>269</v>
      </c>
      <c r="I689" t="s">
        <v>109</v>
      </c>
      <c r="J689" t="s">
        <v>110</v>
      </c>
      <c r="K689" s="4">
        <v>42806.25</v>
      </c>
      <c r="L689" s="4" t="s">
        <v>49</v>
      </c>
      <c r="M689" s="4" t="s">
        <v>134</v>
      </c>
      <c r="N689" s="4">
        <v>42809.208333333328</v>
      </c>
      <c r="O689" t="b">
        <v>0</v>
      </c>
      <c r="P689" t="b">
        <v>0</v>
      </c>
      <c r="Q689" t="s">
        <v>124</v>
      </c>
      <c r="R689" t="str" cm="1">
        <f t="array" ref="R689:S689">_xlfn.TEXTSPLIT(Q689, "/", , FALSE)</f>
        <v>theater</v>
      </c>
      <c r="S689" t="str">
        <v>plays</v>
      </c>
    </row>
    <row r="690" spans="1:19" ht="17" x14ac:dyDescent="0.2">
      <c r="A690">
        <v>688</v>
      </c>
      <c r="B690" t="s">
        <v>1511</v>
      </c>
      <c r="C690" s="3" t="s">
        <v>1512</v>
      </c>
      <c r="D690">
        <v>2900</v>
      </c>
      <c r="E690">
        <v>12449</v>
      </c>
      <c r="F690" s="5">
        <f t="shared" si="10"/>
        <v>4.2927586206896553</v>
      </c>
      <c r="G690" t="s">
        <v>8</v>
      </c>
      <c r="H690">
        <v>175</v>
      </c>
      <c r="I690" t="s">
        <v>109</v>
      </c>
      <c r="J690" t="s">
        <v>110</v>
      </c>
      <c r="K690" s="4">
        <v>43475.25</v>
      </c>
      <c r="L690" s="4" t="s">
        <v>47</v>
      </c>
      <c r="M690" s="4" t="s">
        <v>121</v>
      </c>
      <c r="N690" s="4">
        <v>43491.25</v>
      </c>
      <c r="O690" t="b">
        <v>0</v>
      </c>
      <c r="P690" t="b">
        <v>1</v>
      </c>
      <c r="Q690" t="s">
        <v>364</v>
      </c>
      <c r="R690" t="str" cm="1">
        <f t="array" ref="R690:S690">_xlfn.TEXTSPLIT(Q690, "/", , FALSE)</f>
        <v>film &amp; video</v>
      </c>
      <c r="S690" t="str">
        <v>television</v>
      </c>
    </row>
    <row r="691" spans="1:19" ht="17" x14ac:dyDescent="0.2">
      <c r="A691">
        <v>689</v>
      </c>
      <c r="B691" t="s">
        <v>1513</v>
      </c>
      <c r="C691" s="3" t="s">
        <v>1514</v>
      </c>
      <c r="D691">
        <v>7300</v>
      </c>
      <c r="E691">
        <v>7348</v>
      </c>
      <c r="F691" s="5">
        <f t="shared" si="10"/>
        <v>1.0065753424657535</v>
      </c>
      <c r="G691" t="s">
        <v>8</v>
      </c>
      <c r="H691">
        <v>69</v>
      </c>
      <c r="I691" t="s">
        <v>109</v>
      </c>
      <c r="J691" t="s">
        <v>110</v>
      </c>
      <c r="K691" s="4">
        <v>41576.208333333336</v>
      </c>
      <c r="L691" s="4" t="s">
        <v>56</v>
      </c>
      <c r="M691" s="4" t="s">
        <v>117</v>
      </c>
      <c r="N691" s="4">
        <v>41588.25</v>
      </c>
      <c r="O691" t="b">
        <v>0</v>
      </c>
      <c r="P691" t="b">
        <v>0</v>
      </c>
      <c r="Q691" t="s">
        <v>118</v>
      </c>
      <c r="R691" t="str" cm="1">
        <f t="array" ref="R691:S691">_xlfn.TEXTSPLIT(Q691, "/", , FALSE)</f>
        <v>technology</v>
      </c>
      <c r="S691" t="str">
        <v>web</v>
      </c>
    </row>
    <row r="692" spans="1:19" ht="17" x14ac:dyDescent="0.2">
      <c r="A692">
        <v>690</v>
      </c>
      <c r="B692" t="s">
        <v>1515</v>
      </c>
      <c r="C692" s="3" t="s">
        <v>1516</v>
      </c>
      <c r="D692">
        <v>3600</v>
      </c>
      <c r="E692">
        <v>8158</v>
      </c>
      <c r="F692" s="5">
        <f t="shared" si="10"/>
        <v>2.266111111111111</v>
      </c>
      <c r="G692" t="s">
        <v>8</v>
      </c>
      <c r="H692">
        <v>190</v>
      </c>
      <c r="I692" t="s">
        <v>109</v>
      </c>
      <c r="J692" t="s">
        <v>110</v>
      </c>
      <c r="K692" s="4">
        <v>40874.25</v>
      </c>
      <c r="L692" s="4" t="s">
        <v>57</v>
      </c>
      <c r="M692" s="4" t="s">
        <v>165</v>
      </c>
      <c r="N692" s="4">
        <v>40880.25</v>
      </c>
      <c r="O692" t="b">
        <v>0</v>
      </c>
      <c r="P692" t="b">
        <v>1</v>
      </c>
      <c r="Q692" t="s">
        <v>135</v>
      </c>
      <c r="R692" t="str" cm="1">
        <f t="array" ref="R692:S692">_xlfn.TEXTSPLIT(Q692, "/", , FALSE)</f>
        <v>film &amp; video</v>
      </c>
      <c r="S692" t="str">
        <v>documentary</v>
      </c>
    </row>
    <row r="693" spans="1:19" ht="17" x14ac:dyDescent="0.2">
      <c r="A693">
        <v>691</v>
      </c>
      <c r="B693" t="s">
        <v>1517</v>
      </c>
      <c r="C693" s="3" t="s">
        <v>1518</v>
      </c>
      <c r="D693">
        <v>5000</v>
      </c>
      <c r="E693">
        <v>7119</v>
      </c>
      <c r="F693" s="5">
        <f t="shared" si="10"/>
        <v>1.4238</v>
      </c>
      <c r="G693" t="s">
        <v>8</v>
      </c>
      <c r="H693">
        <v>237</v>
      </c>
      <c r="I693" t="s">
        <v>109</v>
      </c>
      <c r="J693" t="s">
        <v>110</v>
      </c>
      <c r="K693" s="4">
        <v>41185.208333333336</v>
      </c>
      <c r="L693" s="4" t="s">
        <v>56</v>
      </c>
      <c r="M693" s="4" t="s">
        <v>129</v>
      </c>
      <c r="N693" s="4">
        <v>41202.208333333336</v>
      </c>
      <c r="O693" t="b">
        <v>1</v>
      </c>
      <c r="P693" t="b">
        <v>1</v>
      </c>
      <c r="Q693" t="s">
        <v>135</v>
      </c>
      <c r="R693" t="str" cm="1">
        <f t="array" ref="R693:S693">_xlfn.TEXTSPLIT(Q693, "/", , FALSE)</f>
        <v>film &amp; video</v>
      </c>
      <c r="S693" t="str">
        <v>documentary</v>
      </c>
    </row>
    <row r="694" spans="1:19" ht="17" x14ac:dyDescent="0.2">
      <c r="A694">
        <v>692</v>
      </c>
      <c r="B694" t="s">
        <v>1519</v>
      </c>
      <c r="C694" s="3" t="s">
        <v>1520</v>
      </c>
      <c r="D694">
        <v>6000</v>
      </c>
      <c r="E694">
        <v>5438</v>
      </c>
      <c r="F694" s="5">
        <f t="shared" si="10"/>
        <v>0.90633333333333332</v>
      </c>
      <c r="G694" t="s">
        <v>6</v>
      </c>
      <c r="H694">
        <v>77</v>
      </c>
      <c r="I694" t="s">
        <v>132</v>
      </c>
      <c r="J694" t="s">
        <v>133</v>
      </c>
      <c r="K694" s="4">
        <v>43655.208333333328</v>
      </c>
      <c r="L694" s="4" t="s">
        <v>53</v>
      </c>
      <c r="M694" s="4" t="s">
        <v>121</v>
      </c>
      <c r="N694" s="4">
        <v>43673.208333333328</v>
      </c>
      <c r="O694" t="b">
        <v>0</v>
      </c>
      <c r="P694" t="b">
        <v>0</v>
      </c>
      <c r="Q694" t="s">
        <v>112</v>
      </c>
      <c r="R694" t="str" cm="1">
        <f t="array" ref="R694:S694">_xlfn.TEXTSPLIT(Q694, "/", , FALSE)</f>
        <v>music</v>
      </c>
      <c r="S694" t="str">
        <v>rock</v>
      </c>
    </row>
    <row r="695" spans="1:19" ht="34" x14ac:dyDescent="0.2">
      <c r="A695">
        <v>693</v>
      </c>
      <c r="B695" t="s">
        <v>1521</v>
      </c>
      <c r="C695" s="3" t="s">
        <v>1522</v>
      </c>
      <c r="D695">
        <v>180400</v>
      </c>
      <c r="E695">
        <v>115396</v>
      </c>
      <c r="F695" s="5">
        <f t="shared" si="10"/>
        <v>0.63966740576496672</v>
      </c>
      <c r="G695" t="s">
        <v>6</v>
      </c>
      <c r="H695">
        <v>1748</v>
      </c>
      <c r="I695" t="s">
        <v>109</v>
      </c>
      <c r="J695" t="s">
        <v>110</v>
      </c>
      <c r="K695" s="4">
        <v>43025.208333333328</v>
      </c>
      <c r="L695" s="4" t="s">
        <v>56</v>
      </c>
      <c r="M695" s="4" t="s">
        <v>134</v>
      </c>
      <c r="N695" s="4">
        <v>43042.208333333328</v>
      </c>
      <c r="O695" t="b">
        <v>0</v>
      </c>
      <c r="P695" t="b">
        <v>0</v>
      </c>
      <c r="Q695" t="s">
        <v>124</v>
      </c>
      <c r="R695" t="str" cm="1">
        <f t="array" ref="R695:S695">_xlfn.TEXTSPLIT(Q695, "/", , FALSE)</f>
        <v>theater</v>
      </c>
      <c r="S695" t="str">
        <v>plays</v>
      </c>
    </row>
    <row r="696" spans="1:19" ht="17" x14ac:dyDescent="0.2">
      <c r="A696">
        <v>694</v>
      </c>
      <c r="B696" t="s">
        <v>1523</v>
      </c>
      <c r="C696" s="3" t="s">
        <v>1524</v>
      </c>
      <c r="D696">
        <v>9100</v>
      </c>
      <c r="E696">
        <v>7656</v>
      </c>
      <c r="F696" s="5">
        <f t="shared" si="10"/>
        <v>0.84131868131868137</v>
      </c>
      <c r="G696" t="s">
        <v>6</v>
      </c>
      <c r="H696">
        <v>79</v>
      </c>
      <c r="I696" t="s">
        <v>109</v>
      </c>
      <c r="J696" t="s">
        <v>110</v>
      </c>
      <c r="K696" s="4">
        <v>43066.25</v>
      </c>
      <c r="L696" s="4" t="s">
        <v>57</v>
      </c>
      <c r="M696" s="4" t="s">
        <v>134</v>
      </c>
      <c r="N696" s="4">
        <v>43103.25</v>
      </c>
      <c r="O696" t="b">
        <v>0</v>
      </c>
      <c r="P696" t="b">
        <v>0</v>
      </c>
      <c r="Q696" t="s">
        <v>124</v>
      </c>
      <c r="R696" t="str" cm="1">
        <f t="array" ref="R696:S696">_xlfn.TEXTSPLIT(Q696, "/", , FALSE)</f>
        <v>theater</v>
      </c>
      <c r="S696" t="str">
        <v>plays</v>
      </c>
    </row>
    <row r="697" spans="1:19" ht="17" x14ac:dyDescent="0.2">
      <c r="A697">
        <v>695</v>
      </c>
      <c r="B697" t="s">
        <v>1525</v>
      </c>
      <c r="C697" s="3" t="s">
        <v>1526</v>
      </c>
      <c r="D697">
        <v>9200</v>
      </c>
      <c r="E697">
        <v>12322</v>
      </c>
      <c r="F697" s="5">
        <f t="shared" si="10"/>
        <v>1.3393478260869565</v>
      </c>
      <c r="G697" t="s">
        <v>8</v>
      </c>
      <c r="H697">
        <v>196</v>
      </c>
      <c r="I697" t="s">
        <v>202</v>
      </c>
      <c r="J697" t="s">
        <v>203</v>
      </c>
      <c r="K697" s="4">
        <v>42322.25</v>
      </c>
      <c r="L697" s="4" t="s">
        <v>57</v>
      </c>
      <c r="M697" s="4" t="s">
        <v>105</v>
      </c>
      <c r="N697" s="4">
        <v>42338.25</v>
      </c>
      <c r="O697" t="b">
        <v>1</v>
      </c>
      <c r="P697" t="b">
        <v>0</v>
      </c>
      <c r="Q697" t="s">
        <v>112</v>
      </c>
      <c r="R697" t="str" cm="1">
        <f t="array" ref="R697:S697">_xlfn.TEXTSPLIT(Q697, "/", , FALSE)</f>
        <v>music</v>
      </c>
      <c r="S697" t="str">
        <v>rock</v>
      </c>
    </row>
    <row r="698" spans="1:19" ht="17" x14ac:dyDescent="0.2">
      <c r="A698">
        <v>696</v>
      </c>
      <c r="B698" t="s">
        <v>1527</v>
      </c>
      <c r="C698" s="3" t="s">
        <v>1528</v>
      </c>
      <c r="D698">
        <v>164100</v>
      </c>
      <c r="E698">
        <v>96888</v>
      </c>
      <c r="F698" s="5">
        <f t="shared" si="10"/>
        <v>0.59042047531992692</v>
      </c>
      <c r="G698" t="s">
        <v>6</v>
      </c>
      <c r="H698">
        <v>889</v>
      </c>
      <c r="I698" t="s">
        <v>109</v>
      </c>
      <c r="J698" t="s">
        <v>110</v>
      </c>
      <c r="K698" s="4">
        <v>42114.208333333328</v>
      </c>
      <c r="L698" s="4" t="s">
        <v>50</v>
      </c>
      <c r="M698" s="4" t="s">
        <v>105</v>
      </c>
      <c r="N698" s="4">
        <v>42115.208333333328</v>
      </c>
      <c r="O698" t="b">
        <v>0</v>
      </c>
      <c r="P698" t="b">
        <v>1</v>
      </c>
      <c r="Q698" t="s">
        <v>124</v>
      </c>
      <c r="R698" t="str" cm="1">
        <f t="array" ref="R698:S698">_xlfn.TEXTSPLIT(Q698, "/", , FALSE)</f>
        <v>theater</v>
      </c>
      <c r="S698" t="str">
        <v>plays</v>
      </c>
    </row>
    <row r="699" spans="1:19" ht="34" x14ac:dyDescent="0.2">
      <c r="A699">
        <v>697</v>
      </c>
      <c r="B699" t="s">
        <v>1529</v>
      </c>
      <c r="C699" s="3" t="s">
        <v>1530</v>
      </c>
      <c r="D699">
        <v>128900</v>
      </c>
      <c r="E699">
        <v>196960</v>
      </c>
      <c r="F699" s="5">
        <f t="shared" si="10"/>
        <v>1.5280062063615205</v>
      </c>
      <c r="G699" t="s">
        <v>8</v>
      </c>
      <c r="H699">
        <v>7295</v>
      </c>
      <c r="I699" t="s">
        <v>109</v>
      </c>
      <c r="J699" t="s">
        <v>110</v>
      </c>
      <c r="K699" s="4">
        <v>43190.208333333328</v>
      </c>
      <c r="L699" s="4" t="s">
        <v>49</v>
      </c>
      <c r="M699" s="4" t="s">
        <v>169</v>
      </c>
      <c r="N699" s="4">
        <v>43192.208333333328</v>
      </c>
      <c r="O699" t="b">
        <v>0</v>
      </c>
      <c r="P699" t="b">
        <v>0</v>
      </c>
      <c r="Q699" t="s">
        <v>143</v>
      </c>
      <c r="R699" t="str" cm="1">
        <f t="array" ref="R699:S699">_xlfn.TEXTSPLIT(Q699, "/", , FALSE)</f>
        <v>music</v>
      </c>
      <c r="S699" t="str">
        <v>electric music</v>
      </c>
    </row>
    <row r="700" spans="1:19" ht="17" x14ac:dyDescent="0.2">
      <c r="A700">
        <v>698</v>
      </c>
      <c r="B700" t="s">
        <v>1531</v>
      </c>
      <c r="C700" s="3" t="s">
        <v>1532</v>
      </c>
      <c r="D700">
        <v>42100</v>
      </c>
      <c r="E700">
        <v>188057</v>
      </c>
      <c r="F700" s="5">
        <f t="shared" si="10"/>
        <v>4.466912114014252</v>
      </c>
      <c r="G700" t="s">
        <v>8</v>
      </c>
      <c r="H700">
        <v>2893</v>
      </c>
      <c r="I700" t="s">
        <v>103</v>
      </c>
      <c r="J700" t="s">
        <v>104</v>
      </c>
      <c r="K700" s="4">
        <v>40871.25</v>
      </c>
      <c r="L700" s="4" t="s">
        <v>57</v>
      </c>
      <c r="M700" s="4" t="s">
        <v>165</v>
      </c>
      <c r="N700" s="4">
        <v>40885.25</v>
      </c>
      <c r="O700" t="b">
        <v>0</v>
      </c>
      <c r="P700" t="b">
        <v>0</v>
      </c>
      <c r="Q700" t="s">
        <v>159</v>
      </c>
      <c r="R700" t="str" cm="1">
        <f t="array" ref="R700:S700">_xlfn.TEXTSPLIT(Q700, "/", , FALSE)</f>
        <v>technology</v>
      </c>
      <c r="S700" t="str">
        <v>wearables</v>
      </c>
    </row>
    <row r="701" spans="1:19" ht="17" x14ac:dyDescent="0.2">
      <c r="A701">
        <v>699</v>
      </c>
      <c r="B701" t="s">
        <v>539</v>
      </c>
      <c r="C701" s="3" t="s">
        <v>1533</v>
      </c>
      <c r="D701">
        <v>7400</v>
      </c>
      <c r="E701">
        <v>6245</v>
      </c>
      <c r="F701" s="5">
        <f t="shared" si="10"/>
        <v>0.8439189189189189</v>
      </c>
      <c r="G701" t="s">
        <v>6</v>
      </c>
      <c r="H701">
        <v>56</v>
      </c>
      <c r="I701" t="s">
        <v>109</v>
      </c>
      <c r="J701" t="s">
        <v>110</v>
      </c>
      <c r="K701" s="4">
        <v>43641.208333333328</v>
      </c>
      <c r="L701" s="4" t="s">
        <v>52</v>
      </c>
      <c r="M701" s="4" t="s">
        <v>121</v>
      </c>
      <c r="N701" s="4">
        <v>43642.208333333328</v>
      </c>
      <c r="O701" t="b">
        <v>0</v>
      </c>
      <c r="P701" t="b">
        <v>0</v>
      </c>
      <c r="Q701" t="s">
        <v>146</v>
      </c>
      <c r="R701" t="str" cm="1">
        <f t="array" ref="R701:S701">_xlfn.TEXTSPLIT(Q701, "/", , FALSE)</f>
        <v>film &amp; video</v>
      </c>
      <c r="S701" t="str">
        <v>drama</v>
      </c>
    </row>
    <row r="702" spans="1:19" ht="34" x14ac:dyDescent="0.2">
      <c r="A702">
        <v>700</v>
      </c>
      <c r="B702" t="s">
        <v>1534</v>
      </c>
      <c r="C702" s="3" t="s">
        <v>1535</v>
      </c>
      <c r="D702">
        <v>100</v>
      </c>
      <c r="E702">
        <v>3</v>
      </c>
      <c r="F702" s="5">
        <f t="shared" si="10"/>
        <v>0.03</v>
      </c>
      <c r="G702" t="s">
        <v>6</v>
      </c>
      <c r="H702">
        <v>1</v>
      </c>
      <c r="I702" t="s">
        <v>109</v>
      </c>
      <c r="J702" t="s">
        <v>110</v>
      </c>
      <c r="K702" s="4">
        <v>40203.25</v>
      </c>
      <c r="L702" s="4" t="s">
        <v>47</v>
      </c>
      <c r="M702" s="4" t="s">
        <v>140</v>
      </c>
      <c r="N702" s="4">
        <v>40218.25</v>
      </c>
      <c r="O702" t="b">
        <v>0</v>
      </c>
      <c r="P702" t="b">
        <v>0</v>
      </c>
      <c r="Q702" t="s">
        <v>159</v>
      </c>
      <c r="R702" t="str" cm="1">
        <f t="array" ref="R702:S702">_xlfn.TEXTSPLIT(Q702, "/", , FALSE)</f>
        <v>technology</v>
      </c>
      <c r="S702" t="str">
        <v>wearables</v>
      </c>
    </row>
    <row r="703" spans="1:19" ht="34" x14ac:dyDescent="0.2">
      <c r="A703">
        <v>701</v>
      </c>
      <c r="B703" t="s">
        <v>1536</v>
      </c>
      <c r="C703" s="3" t="s">
        <v>1537</v>
      </c>
      <c r="D703">
        <v>52000</v>
      </c>
      <c r="E703">
        <v>91014</v>
      </c>
      <c r="F703" s="5">
        <f t="shared" si="10"/>
        <v>1.7502692307692307</v>
      </c>
      <c r="G703" t="s">
        <v>8</v>
      </c>
      <c r="H703">
        <v>820</v>
      </c>
      <c r="I703" t="s">
        <v>109</v>
      </c>
      <c r="J703" t="s">
        <v>110</v>
      </c>
      <c r="K703" s="4">
        <v>40629.208333333336</v>
      </c>
      <c r="L703" s="4" t="s">
        <v>49</v>
      </c>
      <c r="M703" s="4" t="s">
        <v>165</v>
      </c>
      <c r="N703" s="4">
        <v>40636.208333333336</v>
      </c>
      <c r="O703" t="b">
        <v>1</v>
      </c>
      <c r="P703" t="b">
        <v>0</v>
      </c>
      <c r="Q703" t="s">
        <v>124</v>
      </c>
      <c r="R703" t="str" cm="1">
        <f t="array" ref="R703:S703">_xlfn.TEXTSPLIT(Q703, "/", , FALSE)</f>
        <v>theater</v>
      </c>
      <c r="S703" t="str">
        <v>plays</v>
      </c>
    </row>
    <row r="704" spans="1:19" ht="34" x14ac:dyDescent="0.2">
      <c r="A704">
        <v>702</v>
      </c>
      <c r="B704" t="s">
        <v>1538</v>
      </c>
      <c r="C704" s="3" t="s">
        <v>1539</v>
      </c>
      <c r="D704">
        <v>8700</v>
      </c>
      <c r="E704">
        <v>4710</v>
      </c>
      <c r="F704" s="5">
        <f t="shared" si="10"/>
        <v>0.54137931034482756</v>
      </c>
      <c r="G704" t="s">
        <v>6</v>
      </c>
      <c r="H704">
        <v>83</v>
      </c>
      <c r="I704" t="s">
        <v>109</v>
      </c>
      <c r="J704" t="s">
        <v>110</v>
      </c>
      <c r="K704" s="4">
        <v>41477.208333333336</v>
      </c>
      <c r="L704" s="4" t="s">
        <v>53</v>
      </c>
      <c r="M704" s="4" t="s">
        <v>117</v>
      </c>
      <c r="N704" s="4">
        <v>41482.208333333336</v>
      </c>
      <c r="O704" t="b">
        <v>0</v>
      </c>
      <c r="P704" t="b">
        <v>0</v>
      </c>
      <c r="Q704" t="s">
        <v>159</v>
      </c>
      <c r="R704" t="str" cm="1">
        <f t="array" ref="R704:S704">_xlfn.TEXTSPLIT(Q704, "/", , FALSE)</f>
        <v>technology</v>
      </c>
      <c r="S704" t="str">
        <v>wearables</v>
      </c>
    </row>
    <row r="705" spans="1:19" ht="17" x14ac:dyDescent="0.2">
      <c r="A705">
        <v>703</v>
      </c>
      <c r="B705" t="s">
        <v>1540</v>
      </c>
      <c r="C705" s="3" t="s">
        <v>1541</v>
      </c>
      <c r="D705">
        <v>63400</v>
      </c>
      <c r="E705">
        <v>197728</v>
      </c>
      <c r="F705" s="5">
        <f t="shared" si="10"/>
        <v>3.1187381703470032</v>
      </c>
      <c r="G705" t="s">
        <v>8</v>
      </c>
      <c r="H705">
        <v>2038</v>
      </c>
      <c r="I705" t="s">
        <v>109</v>
      </c>
      <c r="J705" t="s">
        <v>110</v>
      </c>
      <c r="K705" s="4">
        <v>41020.208333333336</v>
      </c>
      <c r="L705" s="4" t="s">
        <v>50</v>
      </c>
      <c r="M705" s="4" t="s">
        <v>129</v>
      </c>
      <c r="N705" s="4">
        <v>41037.208333333336</v>
      </c>
      <c r="O705" t="b">
        <v>1</v>
      </c>
      <c r="P705" t="b">
        <v>1</v>
      </c>
      <c r="Q705" t="s">
        <v>301</v>
      </c>
      <c r="R705" t="str" cm="1">
        <f t="array" ref="R705:S705">_xlfn.TEXTSPLIT(Q705, "/", , FALSE)</f>
        <v>publishing</v>
      </c>
      <c r="S705" t="str">
        <v>translations</v>
      </c>
    </row>
    <row r="706" spans="1:19" ht="34" x14ac:dyDescent="0.2">
      <c r="A706">
        <v>704</v>
      </c>
      <c r="B706" t="s">
        <v>1542</v>
      </c>
      <c r="C706" s="3" t="s">
        <v>1543</v>
      </c>
      <c r="D706">
        <v>8700</v>
      </c>
      <c r="E706">
        <v>10682</v>
      </c>
      <c r="F706" s="5">
        <f t="shared" si="10"/>
        <v>1.2278160919540231</v>
      </c>
      <c r="G706" t="s">
        <v>8</v>
      </c>
      <c r="H706">
        <v>116</v>
      </c>
      <c r="I706" t="s">
        <v>109</v>
      </c>
      <c r="J706" t="s">
        <v>110</v>
      </c>
      <c r="K706" s="4">
        <v>42555.208333333328</v>
      </c>
      <c r="L706" s="4" t="s">
        <v>53</v>
      </c>
      <c r="M706" s="4" t="s">
        <v>153</v>
      </c>
      <c r="N706" s="4">
        <v>42570.208333333328</v>
      </c>
      <c r="O706" t="b">
        <v>0</v>
      </c>
      <c r="P706" t="b">
        <v>0</v>
      </c>
      <c r="Q706" t="s">
        <v>166</v>
      </c>
      <c r="R706" t="str" cm="1">
        <f t="array" ref="R706:S706">_xlfn.TEXTSPLIT(Q706, "/", , FALSE)</f>
        <v>film &amp; video</v>
      </c>
      <c r="S706" t="str">
        <v>animation</v>
      </c>
    </row>
    <row r="707" spans="1:19" ht="17" x14ac:dyDescent="0.2">
      <c r="A707">
        <v>705</v>
      </c>
      <c r="B707" t="s">
        <v>1544</v>
      </c>
      <c r="C707" s="3" t="s">
        <v>1545</v>
      </c>
      <c r="D707">
        <v>169700</v>
      </c>
      <c r="E707">
        <v>168048</v>
      </c>
      <c r="F707" s="5">
        <f t="shared" ref="F707:F770" si="11">E707/D707</f>
        <v>0.99026517383618151</v>
      </c>
      <c r="G707" t="s">
        <v>6</v>
      </c>
      <c r="H707">
        <v>2025</v>
      </c>
      <c r="I707" t="s">
        <v>132</v>
      </c>
      <c r="J707" t="s">
        <v>133</v>
      </c>
      <c r="K707" s="4">
        <v>41619.25</v>
      </c>
      <c r="L707" s="4" t="s">
        <v>58</v>
      </c>
      <c r="M707" s="4" t="s">
        <v>117</v>
      </c>
      <c r="N707" s="4">
        <v>41623.25</v>
      </c>
      <c r="O707" t="b">
        <v>0</v>
      </c>
      <c r="P707" t="b">
        <v>0</v>
      </c>
      <c r="Q707" t="s">
        <v>162</v>
      </c>
      <c r="R707" t="str" cm="1">
        <f t="array" ref="R707:S707">_xlfn.TEXTSPLIT(Q707, "/", , FALSE)</f>
        <v>publishing</v>
      </c>
      <c r="S707" t="str">
        <v>nonfiction</v>
      </c>
    </row>
    <row r="708" spans="1:19" ht="34" x14ac:dyDescent="0.2">
      <c r="A708">
        <v>706</v>
      </c>
      <c r="B708" t="s">
        <v>1546</v>
      </c>
      <c r="C708" s="3" t="s">
        <v>1547</v>
      </c>
      <c r="D708">
        <v>108400</v>
      </c>
      <c r="E708">
        <v>138586</v>
      </c>
      <c r="F708" s="5">
        <f t="shared" si="11"/>
        <v>1.278468634686347</v>
      </c>
      <c r="G708" t="s">
        <v>8</v>
      </c>
      <c r="H708">
        <v>1345</v>
      </c>
      <c r="I708" t="s">
        <v>115</v>
      </c>
      <c r="J708" t="s">
        <v>116</v>
      </c>
      <c r="K708" s="4">
        <v>43471.25</v>
      </c>
      <c r="L708" s="4" t="s">
        <v>47</v>
      </c>
      <c r="M708" s="4" t="s">
        <v>121</v>
      </c>
      <c r="N708" s="4">
        <v>43479.25</v>
      </c>
      <c r="O708" t="b">
        <v>0</v>
      </c>
      <c r="P708" t="b">
        <v>1</v>
      </c>
      <c r="Q708" t="s">
        <v>118</v>
      </c>
      <c r="R708" t="str" cm="1">
        <f t="array" ref="R708:S708">_xlfn.TEXTSPLIT(Q708, "/", , FALSE)</f>
        <v>technology</v>
      </c>
      <c r="S708" t="str">
        <v>web</v>
      </c>
    </row>
    <row r="709" spans="1:19" ht="34" x14ac:dyDescent="0.2">
      <c r="A709">
        <v>707</v>
      </c>
      <c r="B709" t="s">
        <v>1548</v>
      </c>
      <c r="C709" s="3" t="s">
        <v>1549</v>
      </c>
      <c r="D709">
        <v>7300</v>
      </c>
      <c r="E709">
        <v>11579</v>
      </c>
      <c r="F709" s="5">
        <f t="shared" si="11"/>
        <v>1.5861643835616439</v>
      </c>
      <c r="G709" t="s">
        <v>8</v>
      </c>
      <c r="H709">
        <v>168</v>
      </c>
      <c r="I709" t="s">
        <v>109</v>
      </c>
      <c r="J709" t="s">
        <v>110</v>
      </c>
      <c r="K709" s="4">
        <v>43442.25</v>
      </c>
      <c r="L709" s="4" t="s">
        <v>58</v>
      </c>
      <c r="M709" s="4" t="s">
        <v>169</v>
      </c>
      <c r="N709" s="4">
        <v>43478.25</v>
      </c>
      <c r="O709" t="b">
        <v>0</v>
      </c>
      <c r="P709" t="b">
        <v>0</v>
      </c>
      <c r="Q709" t="s">
        <v>146</v>
      </c>
      <c r="R709" t="str" cm="1">
        <f t="array" ref="R709:S709">_xlfn.TEXTSPLIT(Q709, "/", , FALSE)</f>
        <v>film &amp; video</v>
      </c>
      <c r="S709" t="str">
        <v>drama</v>
      </c>
    </row>
    <row r="710" spans="1:19" ht="17" x14ac:dyDescent="0.2">
      <c r="A710">
        <v>708</v>
      </c>
      <c r="B710" t="s">
        <v>1550</v>
      </c>
      <c r="C710" s="3" t="s">
        <v>1551</v>
      </c>
      <c r="D710">
        <v>1700</v>
      </c>
      <c r="E710">
        <v>12020</v>
      </c>
      <c r="F710" s="5">
        <f t="shared" si="11"/>
        <v>7.0705882352941174</v>
      </c>
      <c r="G710" t="s">
        <v>8</v>
      </c>
      <c r="H710">
        <v>137</v>
      </c>
      <c r="I710" t="s">
        <v>193</v>
      </c>
      <c r="J710" t="s">
        <v>194</v>
      </c>
      <c r="K710" s="4">
        <v>42877.208333333328</v>
      </c>
      <c r="L710" s="4" t="s">
        <v>51</v>
      </c>
      <c r="M710" s="4" t="s">
        <v>134</v>
      </c>
      <c r="N710" s="4">
        <v>42887.208333333328</v>
      </c>
      <c r="O710" t="b">
        <v>0</v>
      </c>
      <c r="P710" t="b">
        <v>0</v>
      </c>
      <c r="Q710" t="s">
        <v>124</v>
      </c>
      <c r="R710" t="str" cm="1">
        <f t="array" ref="R710:S710">_xlfn.TEXTSPLIT(Q710, "/", , FALSE)</f>
        <v>theater</v>
      </c>
      <c r="S710" t="str">
        <v>plays</v>
      </c>
    </row>
    <row r="711" spans="1:19" ht="17" x14ac:dyDescent="0.2">
      <c r="A711">
        <v>709</v>
      </c>
      <c r="B711" t="s">
        <v>1552</v>
      </c>
      <c r="C711" s="3" t="s">
        <v>1553</v>
      </c>
      <c r="D711">
        <v>9800</v>
      </c>
      <c r="E711">
        <v>13954</v>
      </c>
      <c r="F711" s="5">
        <f t="shared" si="11"/>
        <v>1.4238775510204082</v>
      </c>
      <c r="G711" t="s">
        <v>8</v>
      </c>
      <c r="H711">
        <v>186</v>
      </c>
      <c r="I711" t="s">
        <v>202</v>
      </c>
      <c r="J711" t="s">
        <v>203</v>
      </c>
      <c r="K711" s="4">
        <v>41018.208333333336</v>
      </c>
      <c r="L711" s="4" t="s">
        <v>50</v>
      </c>
      <c r="M711" s="4" t="s">
        <v>129</v>
      </c>
      <c r="N711" s="4">
        <v>41025.208333333336</v>
      </c>
      <c r="O711" t="b">
        <v>0</v>
      </c>
      <c r="P711" t="b">
        <v>0</v>
      </c>
      <c r="Q711" t="s">
        <v>124</v>
      </c>
      <c r="R711" t="str" cm="1">
        <f t="array" ref="R711:S711">_xlfn.TEXTSPLIT(Q711, "/", , FALSE)</f>
        <v>theater</v>
      </c>
      <c r="S711" t="str">
        <v>plays</v>
      </c>
    </row>
    <row r="712" spans="1:19" ht="34" x14ac:dyDescent="0.2">
      <c r="A712">
        <v>710</v>
      </c>
      <c r="B712" t="s">
        <v>1554</v>
      </c>
      <c r="C712" s="3" t="s">
        <v>1555</v>
      </c>
      <c r="D712">
        <v>4300</v>
      </c>
      <c r="E712">
        <v>6358</v>
      </c>
      <c r="F712" s="5">
        <f t="shared" si="11"/>
        <v>1.4786046511627906</v>
      </c>
      <c r="G712" t="s">
        <v>8</v>
      </c>
      <c r="H712">
        <v>125</v>
      </c>
      <c r="I712" t="s">
        <v>109</v>
      </c>
      <c r="J712" t="s">
        <v>110</v>
      </c>
      <c r="K712" s="4">
        <v>43295.208333333328</v>
      </c>
      <c r="L712" s="4" t="s">
        <v>53</v>
      </c>
      <c r="M712" s="4" t="s">
        <v>169</v>
      </c>
      <c r="N712" s="4">
        <v>43302.208333333328</v>
      </c>
      <c r="O712" t="b">
        <v>0</v>
      </c>
      <c r="P712" t="b">
        <v>1</v>
      </c>
      <c r="Q712" t="s">
        <v>124</v>
      </c>
      <c r="R712" t="str" cm="1">
        <f t="array" ref="R712:S712">_xlfn.TEXTSPLIT(Q712, "/", , FALSE)</f>
        <v>theater</v>
      </c>
      <c r="S712" t="str">
        <v>plays</v>
      </c>
    </row>
    <row r="713" spans="1:19" ht="34" x14ac:dyDescent="0.2">
      <c r="A713">
        <v>711</v>
      </c>
      <c r="B713" t="s">
        <v>1556</v>
      </c>
      <c r="C713" s="3" t="s">
        <v>1557</v>
      </c>
      <c r="D713">
        <v>6200</v>
      </c>
      <c r="E713">
        <v>1260</v>
      </c>
      <c r="F713" s="5">
        <f t="shared" si="11"/>
        <v>0.20322580645161289</v>
      </c>
      <c r="G713" t="s">
        <v>6</v>
      </c>
      <c r="H713">
        <v>14</v>
      </c>
      <c r="I713" t="s">
        <v>202</v>
      </c>
      <c r="J713" t="s">
        <v>203</v>
      </c>
      <c r="K713" s="4">
        <v>42393.25</v>
      </c>
      <c r="L713" s="4" t="s">
        <v>47</v>
      </c>
      <c r="M713" s="4" t="s">
        <v>153</v>
      </c>
      <c r="N713" s="4">
        <v>42395.25</v>
      </c>
      <c r="O713" t="b">
        <v>1</v>
      </c>
      <c r="P713" t="b">
        <v>1</v>
      </c>
      <c r="Q713" t="s">
        <v>124</v>
      </c>
      <c r="R713" t="str" cm="1">
        <f t="array" ref="R713:S713">_xlfn.TEXTSPLIT(Q713, "/", , FALSE)</f>
        <v>theater</v>
      </c>
      <c r="S713" t="str">
        <v>plays</v>
      </c>
    </row>
    <row r="714" spans="1:19" ht="34" x14ac:dyDescent="0.2">
      <c r="A714">
        <v>712</v>
      </c>
      <c r="B714" t="s">
        <v>1558</v>
      </c>
      <c r="C714" s="3" t="s">
        <v>1559</v>
      </c>
      <c r="D714">
        <v>800</v>
      </c>
      <c r="E714">
        <v>14725</v>
      </c>
      <c r="F714" s="5">
        <f t="shared" si="11"/>
        <v>18.40625</v>
      </c>
      <c r="G714" t="s">
        <v>8</v>
      </c>
      <c r="H714">
        <v>202</v>
      </c>
      <c r="I714" t="s">
        <v>109</v>
      </c>
      <c r="J714" t="s">
        <v>110</v>
      </c>
      <c r="K714" s="4">
        <v>42559.208333333328</v>
      </c>
      <c r="L714" s="4" t="s">
        <v>53</v>
      </c>
      <c r="M714" s="4" t="s">
        <v>153</v>
      </c>
      <c r="N714" s="4">
        <v>42600.208333333328</v>
      </c>
      <c r="O714" t="b">
        <v>0</v>
      </c>
      <c r="P714" t="b">
        <v>0</v>
      </c>
      <c r="Q714" t="s">
        <v>124</v>
      </c>
      <c r="R714" t="str" cm="1">
        <f t="array" ref="R714:S714">_xlfn.TEXTSPLIT(Q714, "/", , FALSE)</f>
        <v>theater</v>
      </c>
      <c r="S714" t="str">
        <v>plays</v>
      </c>
    </row>
    <row r="715" spans="1:19" ht="17" x14ac:dyDescent="0.2">
      <c r="A715">
        <v>713</v>
      </c>
      <c r="B715" t="s">
        <v>1560</v>
      </c>
      <c r="C715" s="3" t="s">
        <v>1561</v>
      </c>
      <c r="D715">
        <v>6900</v>
      </c>
      <c r="E715">
        <v>11174</v>
      </c>
      <c r="F715" s="5">
        <f t="shared" si="11"/>
        <v>1.6194202898550725</v>
      </c>
      <c r="G715" t="s">
        <v>8</v>
      </c>
      <c r="H715">
        <v>103</v>
      </c>
      <c r="I715" t="s">
        <v>109</v>
      </c>
      <c r="J715" t="s">
        <v>110</v>
      </c>
      <c r="K715" s="4">
        <v>42604.208333333328</v>
      </c>
      <c r="L715" s="4" t="s">
        <v>54</v>
      </c>
      <c r="M715" s="4" t="s">
        <v>153</v>
      </c>
      <c r="N715" s="4">
        <v>42616.208333333328</v>
      </c>
      <c r="O715" t="b">
        <v>0</v>
      </c>
      <c r="P715" t="b">
        <v>0</v>
      </c>
      <c r="Q715" t="s">
        <v>228</v>
      </c>
      <c r="R715" t="str" cm="1">
        <f t="array" ref="R715:S715">_xlfn.TEXTSPLIT(Q715, "/", , FALSE)</f>
        <v>publishing</v>
      </c>
      <c r="S715" t="str">
        <v>radio &amp; podcasts</v>
      </c>
    </row>
    <row r="716" spans="1:19" ht="17" x14ac:dyDescent="0.2">
      <c r="A716">
        <v>714</v>
      </c>
      <c r="B716" t="s">
        <v>1562</v>
      </c>
      <c r="C716" s="3" t="s">
        <v>1563</v>
      </c>
      <c r="D716">
        <v>38500</v>
      </c>
      <c r="E716">
        <v>182036</v>
      </c>
      <c r="F716" s="5">
        <f t="shared" si="11"/>
        <v>4.7282077922077921</v>
      </c>
      <c r="G716" t="s">
        <v>8</v>
      </c>
      <c r="H716">
        <v>1785</v>
      </c>
      <c r="I716" t="s">
        <v>109</v>
      </c>
      <c r="J716" t="s">
        <v>110</v>
      </c>
      <c r="K716" s="4">
        <v>41870.208333333336</v>
      </c>
      <c r="L716" s="4" t="s">
        <v>54</v>
      </c>
      <c r="M716" s="4" t="s">
        <v>111</v>
      </c>
      <c r="N716" s="4">
        <v>41871.208333333336</v>
      </c>
      <c r="O716" t="b">
        <v>0</v>
      </c>
      <c r="P716" t="b">
        <v>0</v>
      </c>
      <c r="Q716" t="s">
        <v>112</v>
      </c>
      <c r="R716" t="str" cm="1">
        <f t="array" ref="R716:S716">_xlfn.TEXTSPLIT(Q716, "/", , FALSE)</f>
        <v>music</v>
      </c>
      <c r="S716" t="str">
        <v>rock</v>
      </c>
    </row>
    <row r="717" spans="1:19" ht="17" x14ac:dyDescent="0.2">
      <c r="A717">
        <v>715</v>
      </c>
      <c r="B717" t="s">
        <v>1564</v>
      </c>
      <c r="C717" s="3" t="s">
        <v>1565</v>
      </c>
      <c r="D717">
        <v>118000</v>
      </c>
      <c r="E717">
        <v>28870</v>
      </c>
      <c r="F717" s="5">
        <f t="shared" si="11"/>
        <v>0.24466101694915254</v>
      </c>
      <c r="G717" t="s">
        <v>6</v>
      </c>
      <c r="H717">
        <v>656</v>
      </c>
      <c r="I717" t="s">
        <v>109</v>
      </c>
      <c r="J717" t="s">
        <v>110</v>
      </c>
      <c r="K717" s="4">
        <v>40397.208333333336</v>
      </c>
      <c r="L717" s="4" t="s">
        <v>54</v>
      </c>
      <c r="M717" s="4" t="s">
        <v>140</v>
      </c>
      <c r="N717" s="4">
        <v>40402.208333333336</v>
      </c>
      <c r="O717" t="b">
        <v>0</v>
      </c>
      <c r="P717" t="b">
        <v>0</v>
      </c>
      <c r="Q717" t="s">
        <v>387</v>
      </c>
      <c r="R717" t="str" cm="1">
        <f t="array" ref="R717:S717">_xlfn.TEXTSPLIT(Q717, "/", , FALSE)</f>
        <v>games</v>
      </c>
      <c r="S717" t="str">
        <v>mobile games</v>
      </c>
    </row>
    <row r="718" spans="1:19" ht="17" x14ac:dyDescent="0.2">
      <c r="A718">
        <v>716</v>
      </c>
      <c r="B718" t="s">
        <v>1566</v>
      </c>
      <c r="C718" s="3" t="s">
        <v>1567</v>
      </c>
      <c r="D718">
        <v>2000</v>
      </c>
      <c r="E718">
        <v>10353</v>
      </c>
      <c r="F718" s="5">
        <f t="shared" si="11"/>
        <v>5.1764999999999999</v>
      </c>
      <c r="G718" t="s">
        <v>8</v>
      </c>
      <c r="H718">
        <v>157</v>
      </c>
      <c r="I718" t="s">
        <v>109</v>
      </c>
      <c r="J718" t="s">
        <v>110</v>
      </c>
      <c r="K718" s="4">
        <v>41465.208333333336</v>
      </c>
      <c r="L718" s="4" t="s">
        <v>53</v>
      </c>
      <c r="M718" s="4" t="s">
        <v>117</v>
      </c>
      <c r="N718" s="4">
        <v>41493.208333333336</v>
      </c>
      <c r="O718" t="b">
        <v>0</v>
      </c>
      <c r="P718" t="b">
        <v>1</v>
      </c>
      <c r="Q718" t="s">
        <v>124</v>
      </c>
      <c r="R718" t="str" cm="1">
        <f t="array" ref="R718:S718">_xlfn.TEXTSPLIT(Q718, "/", , FALSE)</f>
        <v>theater</v>
      </c>
      <c r="S718" t="str">
        <v>plays</v>
      </c>
    </row>
    <row r="719" spans="1:19" ht="34" x14ac:dyDescent="0.2">
      <c r="A719">
        <v>717</v>
      </c>
      <c r="B719" t="s">
        <v>1568</v>
      </c>
      <c r="C719" s="3" t="s">
        <v>1569</v>
      </c>
      <c r="D719">
        <v>5600</v>
      </c>
      <c r="E719">
        <v>13868</v>
      </c>
      <c r="F719" s="5">
        <f t="shared" si="11"/>
        <v>2.4764285714285714</v>
      </c>
      <c r="G719" t="s">
        <v>8</v>
      </c>
      <c r="H719">
        <v>555</v>
      </c>
      <c r="I719" t="s">
        <v>109</v>
      </c>
      <c r="J719" t="s">
        <v>110</v>
      </c>
      <c r="K719" s="4">
        <v>40777.208333333336</v>
      </c>
      <c r="L719" s="4" t="s">
        <v>54</v>
      </c>
      <c r="M719" s="4" t="s">
        <v>165</v>
      </c>
      <c r="N719" s="4">
        <v>40798.208333333336</v>
      </c>
      <c r="O719" t="b">
        <v>0</v>
      </c>
      <c r="P719" t="b">
        <v>0</v>
      </c>
      <c r="Q719" t="s">
        <v>135</v>
      </c>
      <c r="R719" t="str" cm="1">
        <f t="array" ref="R719:S719">_xlfn.TEXTSPLIT(Q719, "/", , FALSE)</f>
        <v>film &amp; video</v>
      </c>
      <c r="S719" t="str">
        <v>documentary</v>
      </c>
    </row>
    <row r="720" spans="1:19" ht="17" x14ac:dyDescent="0.2">
      <c r="A720">
        <v>718</v>
      </c>
      <c r="B720" t="s">
        <v>1570</v>
      </c>
      <c r="C720" s="3" t="s">
        <v>1571</v>
      </c>
      <c r="D720">
        <v>8300</v>
      </c>
      <c r="E720">
        <v>8317</v>
      </c>
      <c r="F720" s="5">
        <f t="shared" si="11"/>
        <v>1.0020481927710843</v>
      </c>
      <c r="G720" t="s">
        <v>8</v>
      </c>
      <c r="H720">
        <v>297</v>
      </c>
      <c r="I720" t="s">
        <v>109</v>
      </c>
      <c r="J720" t="s">
        <v>110</v>
      </c>
      <c r="K720" s="4">
        <v>41442.208333333336</v>
      </c>
      <c r="L720" s="4" t="s">
        <v>52</v>
      </c>
      <c r="M720" s="4" t="s">
        <v>117</v>
      </c>
      <c r="N720" s="4">
        <v>41468.208333333336</v>
      </c>
      <c r="O720" t="b">
        <v>0</v>
      </c>
      <c r="P720" t="b">
        <v>0</v>
      </c>
      <c r="Q720" t="s">
        <v>159</v>
      </c>
      <c r="R720" t="str" cm="1">
        <f t="array" ref="R720:S720">_xlfn.TEXTSPLIT(Q720, "/", , FALSE)</f>
        <v>technology</v>
      </c>
      <c r="S720" t="str">
        <v>wearables</v>
      </c>
    </row>
    <row r="721" spans="1:19" ht="17" x14ac:dyDescent="0.2">
      <c r="A721">
        <v>719</v>
      </c>
      <c r="B721" t="s">
        <v>1572</v>
      </c>
      <c r="C721" s="3" t="s">
        <v>1573</v>
      </c>
      <c r="D721">
        <v>6900</v>
      </c>
      <c r="E721">
        <v>10557</v>
      </c>
      <c r="F721" s="5">
        <f t="shared" si="11"/>
        <v>1.53</v>
      </c>
      <c r="G721" t="s">
        <v>8</v>
      </c>
      <c r="H721">
        <v>123</v>
      </c>
      <c r="I721" t="s">
        <v>109</v>
      </c>
      <c r="J721" t="s">
        <v>110</v>
      </c>
      <c r="K721" s="4">
        <v>41058.208333333336</v>
      </c>
      <c r="L721" s="4" t="s">
        <v>51</v>
      </c>
      <c r="M721" s="4" t="s">
        <v>129</v>
      </c>
      <c r="N721" s="4">
        <v>41069.208333333336</v>
      </c>
      <c r="O721" t="b">
        <v>0</v>
      </c>
      <c r="P721" t="b">
        <v>0</v>
      </c>
      <c r="Q721" t="s">
        <v>214</v>
      </c>
      <c r="R721" t="str" cm="1">
        <f t="array" ref="R721:S721">_xlfn.TEXTSPLIT(Q721, "/", , FALSE)</f>
        <v>publishing</v>
      </c>
      <c r="S721" t="str">
        <v>fiction</v>
      </c>
    </row>
    <row r="722" spans="1:19" ht="34" x14ac:dyDescent="0.2">
      <c r="A722">
        <v>720</v>
      </c>
      <c r="B722" t="s">
        <v>1574</v>
      </c>
      <c r="C722" s="3" t="s">
        <v>1575</v>
      </c>
      <c r="D722">
        <v>8700</v>
      </c>
      <c r="E722">
        <v>3227</v>
      </c>
      <c r="F722" s="5">
        <f t="shared" si="11"/>
        <v>0.37091954022988505</v>
      </c>
      <c r="G722" t="s">
        <v>5</v>
      </c>
      <c r="H722">
        <v>38</v>
      </c>
      <c r="I722" t="s">
        <v>127</v>
      </c>
      <c r="J722" t="s">
        <v>128</v>
      </c>
      <c r="K722" s="4">
        <v>43152.25</v>
      </c>
      <c r="L722" s="4" t="s">
        <v>48</v>
      </c>
      <c r="M722" s="4" t="s">
        <v>169</v>
      </c>
      <c r="N722" s="4">
        <v>43166.25</v>
      </c>
      <c r="O722" t="b">
        <v>0</v>
      </c>
      <c r="P722" t="b">
        <v>1</v>
      </c>
      <c r="Q722" t="s">
        <v>124</v>
      </c>
      <c r="R722" t="str" cm="1">
        <f t="array" ref="R722:S722">_xlfn.TEXTSPLIT(Q722, "/", , FALSE)</f>
        <v>theater</v>
      </c>
      <c r="S722" t="str">
        <v>plays</v>
      </c>
    </row>
    <row r="723" spans="1:19" ht="17" x14ac:dyDescent="0.2">
      <c r="A723">
        <v>721</v>
      </c>
      <c r="B723" t="s">
        <v>1576</v>
      </c>
      <c r="C723" s="3" t="s">
        <v>1577</v>
      </c>
      <c r="D723">
        <v>123600</v>
      </c>
      <c r="E723">
        <v>5429</v>
      </c>
      <c r="F723" s="5">
        <f t="shared" si="11"/>
        <v>4.3923948220064728E-2</v>
      </c>
      <c r="G723" t="s">
        <v>5</v>
      </c>
      <c r="H723">
        <v>60</v>
      </c>
      <c r="I723" t="s">
        <v>109</v>
      </c>
      <c r="J723" t="s">
        <v>110</v>
      </c>
      <c r="K723" s="4">
        <v>43194.208333333328</v>
      </c>
      <c r="L723" s="4" t="s">
        <v>50</v>
      </c>
      <c r="M723" s="4" t="s">
        <v>169</v>
      </c>
      <c r="N723" s="4">
        <v>43200.208333333328</v>
      </c>
      <c r="O723" t="b">
        <v>0</v>
      </c>
      <c r="P723" t="b">
        <v>0</v>
      </c>
      <c r="Q723" t="s">
        <v>112</v>
      </c>
      <c r="R723" t="str" cm="1">
        <f t="array" ref="R723:S723">_xlfn.TEXTSPLIT(Q723, "/", , FALSE)</f>
        <v>music</v>
      </c>
      <c r="S723" t="str">
        <v>rock</v>
      </c>
    </row>
    <row r="724" spans="1:19" ht="17" x14ac:dyDescent="0.2">
      <c r="A724">
        <v>722</v>
      </c>
      <c r="B724" t="s">
        <v>1578</v>
      </c>
      <c r="C724" s="3" t="s">
        <v>1579</v>
      </c>
      <c r="D724">
        <v>48500</v>
      </c>
      <c r="E724">
        <v>75906</v>
      </c>
      <c r="F724" s="5">
        <f t="shared" si="11"/>
        <v>1.5650721649484536</v>
      </c>
      <c r="G724" t="s">
        <v>8</v>
      </c>
      <c r="H724">
        <v>3036</v>
      </c>
      <c r="I724" t="s">
        <v>109</v>
      </c>
      <c r="J724" t="s">
        <v>110</v>
      </c>
      <c r="K724" s="4">
        <v>43045.25</v>
      </c>
      <c r="L724" s="4" t="s">
        <v>57</v>
      </c>
      <c r="M724" s="4" t="s">
        <v>134</v>
      </c>
      <c r="N724" s="4">
        <v>43072.25</v>
      </c>
      <c r="O724" t="b">
        <v>0</v>
      </c>
      <c r="P724" t="b">
        <v>0</v>
      </c>
      <c r="Q724" t="s">
        <v>135</v>
      </c>
      <c r="R724" t="str" cm="1">
        <f t="array" ref="R724:S724">_xlfn.TEXTSPLIT(Q724, "/", , FALSE)</f>
        <v>film &amp; video</v>
      </c>
      <c r="S724" t="str">
        <v>documentary</v>
      </c>
    </row>
    <row r="725" spans="1:19" ht="17" x14ac:dyDescent="0.2">
      <c r="A725">
        <v>723</v>
      </c>
      <c r="B725" t="s">
        <v>1580</v>
      </c>
      <c r="C725" s="3" t="s">
        <v>1581</v>
      </c>
      <c r="D725">
        <v>4900</v>
      </c>
      <c r="E725">
        <v>13250</v>
      </c>
      <c r="F725" s="5">
        <f t="shared" si="11"/>
        <v>2.704081632653061</v>
      </c>
      <c r="G725" t="s">
        <v>8</v>
      </c>
      <c r="H725">
        <v>144</v>
      </c>
      <c r="I725" t="s">
        <v>115</v>
      </c>
      <c r="J725" t="s">
        <v>116</v>
      </c>
      <c r="K725" s="4">
        <v>42431.25</v>
      </c>
      <c r="L725" s="4" t="s">
        <v>49</v>
      </c>
      <c r="M725" s="4" t="s">
        <v>153</v>
      </c>
      <c r="N725" s="4">
        <v>42452.208333333328</v>
      </c>
      <c r="O725" t="b">
        <v>0</v>
      </c>
      <c r="P725" t="b">
        <v>0</v>
      </c>
      <c r="Q725" t="s">
        <v>124</v>
      </c>
      <c r="R725" t="str" cm="1">
        <f t="array" ref="R725:S725">_xlfn.TEXTSPLIT(Q725, "/", , FALSE)</f>
        <v>theater</v>
      </c>
      <c r="S725" t="str">
        <v>plays</v>
      </c>
    </row>
    <row r="726" spans="1:19" ht="34" x14ac:dyDescent="0.2">
      <c r="A726">
        <v>724</v>
      </c>
      <c r="B726" t="s">
        <v>1582</v>
      </c>
      <c r="C726" s="3" t="s">
        <v>1583</v>
      </c>
      <c r="D726">
        <v>8400</v>
      </c>
      <c r="E726">
        <v>11261</v>
      </c>
      <c r="F726" s="5">
        <f t="shared" si="11"/>
        <v>1.3405952380952382</v>
      </c>
      <c r="G726" t="s">
        <v>8</v>
      </c>
      <c r="H726">
        <v>121</v>
      </c>
      <c r="I726" t="s">
        <v>132</v>
      </c>
      <c r="J726" t="s">
        <v>133</v>
      </c>
      <c r="K726" s="4">
        <v>41934.208333333336</v>
      </c>
      <c r="L726" s="4" t="s">
        <v>56</v>
      </c>
      <c r="M726" s="4" t="s">
        <v>111</v>
      </c>
      <c r="N726" s="4">
        <v>41936.208333333336</v>
      </c>
      <c r="O726" t="b">
        <v>0</v>
      </c>
      <c r="P726" t="b">
        <v>1</v>
      </c>
      <c r="Q726" t="s">
        <v>124</v>
      </c>
      <c r="R726" t="str" cm="1">
        <f t="array" ref="R726:S726">_xlfn.TEXTSPLIT(Q726, "/", , FALSE)</f>
        <v>theater</v>
      </c>
      <c r="S726" t="str">
        <v>plays</v>
      </c>
    </row>
    <row r="727" spans="1:19" ht="17" x14ac:dyDescent="0.2">
      <c r="A727">
        <v>725</v>
      </c>
      <c r="B727" t="s">
        <v>1584</v>
      </c>
      <c r="C727" s="3" t="s">
        <v>1585</v>
      </c>
      <c r="D727">
        <v>193200</v>
      </c>
      <c r="E727">
        <v>97369</v>
      </c>
      <c r="F727" s="5">
        <f t="shared" si="11"/>
        <v>0.50398033126293995</v>
      </c>
      <c r="G727" t="s">
        <v>6</v>
      </c>
      <c r="H727">
        <v>1596</v>
      </c>
      <c r="I727" t="s">
        <v>109</v>
      </c>
      <c r="J727" t="s">
        <v>110</v>
      </c>
      <c r="K727" s="4">
        <v>41958.25</v>
      </c>
      <c r="L727" s="4" t="s">
        <v>57</v>
      </c>
      <c r="M727" s="4" t="s">
        <v>111</v>
      </c>
      <c r="N727" s="4">
        <v>41960.25</v>
      </c>
      <c r="O727" t="b">
        <v>0</v>
      </c>
      <c r="P727" t="b">
        <v>0</v>
      </c>
      <c r="Q727" t="s">
        <v>387</v>
      </c>
      <c r="R727" t="str" cm="1">
        <f t="array" ref="R727:S727">_xlfn.TEXTSPLIT(Q727, "/", , FALSE)</f>
        <v>games</v>
      </c>
      <c r="S727" t="str">
        <v>mobile games</v>
      </c>
    </row>
    <row r="728" spans="1:19" ht="17" x14ac:dyDescent="0.2">
      <c r="A728">
        <v>726</v>
      </c>
      <c r="B728" t="s">
        <v>1586</v>
      </c>
      <c r="C728" s="3" t="s">
        <v>1587</v>
      </c>
      <c r="D728">
        <v>54300</v>
      </c>
      <c r="E728">
        <v>48227</v>
      </c>
      <c r="F728" s="5">
        <f t="shared" si="11"/>
        <v>0.88815837937384901</v>
      </c>
      <c r="G728" t="s">
        <v>5</v>
      </c>
      <c r="H728">
        <v>524</v>
      </c>
      <c r="I728" t="s">
        <v>109</v>
      </c>
      <c r="J728" t="s">
        <v>110</v>
      </c>
      <c r="K728" s="4">
        <v>40476.208333333336</v>
      </c>
      <c r="L728" s="4" t="s">
        <v>56</v>
      </c>
      <c r="M728" s="4" t="s">
        <v>140</v>
      </c>
      <c r="N728" s="4">
        <v>40482.208333333336</v>
      </c>
      <c r="O728" t="b">
        <v>0</v>
      </c>
      <c r="P728" t="b">
        <v>1</v>
      </c>
      <c r="Q728" t="s">
        <v>124</v>
      </c>
      <c r="R728" t="str" cm="1">
        <f t="array" ref="R728:S728">_xlfn.TEXTSPLIT(Q728, "/", , FALSE)</f>
        <v>theater</v>
      </c>
      <c r="S728" t="str">
        <v>plays</v>
      </c>
    </row>
    <row r="729" spans="1:19" ht="17" x14ac:dyDescent="0.2">
      <c r="A729">
        <v>727</v>
      </c>
      <c r="B729" t="s">
        <v>1588</v>
      </c>
      <c r="C729" s="3" t="s">
        <v>1589</v>
      </c>
      <c r="D729">
        <v>8900</v>
      </c>
      <c r="E729">
        <v>14685</v>
      </c>
      <c r="F729" s="5">
        <f t="shared" si="11"/>
        <v>1.65</v>
      </c>
      <c r="G729" t="s">
        <v>8</v>
      </c>
      <c r="H729">
        <v>181</v>
      </c>
      <c r="I729" t="s">
        <v>109</v>
      </c>
      <c r="J729" t="s">
        <v>110</v>
      </c>
      <c r="K729" s="4">
        <v>43485.25</v>
      </c>
      <c r="L729" s="4" t="s">
        <v>47</v>
      </c>
      <c r="M729" s="4" t="s">
        <v>121</v>
      </c>
      <c r="N729" s="4">
        <v>43543.208333333328</v>
      </c>
      <c r="O729" t="b">
        <v>0</v>
      </c>
      <c r="P729" t="b">
        <v>0</v>
      </c>
      <c r="Q729" t="s">
        <v>118</v>
      </c>
      <c r="R729" t="str" cm="1">
        <f t="array" ref="R729:S729">_xlfn.TEXTSPLIT(Q729, "/", , FALSE)</f>
        <v>technology</v>
      </c>
      <c r="S729" t="str">
        <v>web</v>
      </c>
    </row>
    <row r="730" spans="1:19" ht="34" x14ac:dyDescent="0.2">
      <c r="A730">
        <v>728</v>
      </c>
      <c r="B730" t="s">
        <v>1590</v>
      </c>
      <c r="C730" s="3" t="s">
        <v>1591</v>
      </c>
      <c r="D730">
        <v>4200</v>
      </c>
      <c r="E730">
        <v>735</v>
      </c>
      <c r="F730" s="5">
        <f t="shared" si="11"/>
        <v>0.17499999999999999</v>
      </c>
      <c r="G730" t="s">
        <v>6</v>
      </c>
      <c r="H730">
        <v>10</v>
      </c>
      <c r="I730" t="s">
        <v>109</v>
      </c>
      <c r="J730" t="s">
        <v>110</v>
      </c>
      <c r="K730" s="4">
        <v>42515.208333333328</v>
      </c>
      <c r="L730" s="4" t="s">
        <v>51</v>
      </c>
      <c r="M730" s="4" t="s">
        <v>153</v>
      </c>
      <c r="N730" s="4">
        <v>42526.208333333328</v>
      </c>
      <c r="O730" t="b">
        <v>0</v>
      </c>
      <c r="P730" t="b">
        <v>0</v>
      </c>
      <c r="Q730" t="s">
        <v>124</v>
      </c>
      <c r="R730" t="str" cm="1">
        <f t="array" ref="R730:S730">_xlfn.TEXTSPLIT(Q730, "/", , FALSE)</f>
        <v>theater</v>
      </c>
      <c r="S730" t="str">
        <v>plays</v>
      </c>
    </row>
    <row r="731" spans="1:19" ht="34" x14ac:dyDescent="0.2">
      <c r="A731">
        <v>729</v>
      </c>
      <c r="B731" t="s">
        <v>1592</v>
      </c>
      <c r="C731" s="3" t="s">
        <v>1593</v>
      </c>
      <c r="D731">
        <v>5600</v>
      </c>
      <c r="E731">
        <v>10397</v>
      </c>
      <c r="F731" s="5">
        <f t="shared" si="11"/>
        <v>1.8566071428571429</v>
      </c>
      <c r="G731" t="s">
        <v>8</v>
      </c>
      <c r="H731">
        <v>122</v>
      </c>
      <c r="I731" t="s">
        <v>109</v>
      </c>
      <c r="J731" t="s">
        <v>110</v>
      </c>
      <c r="K731" s="4">
        <v>41309.25</v>
      </c>
      <c r="L731" s="4" t="s">
        <v>48</v>
      </c>
      <c r="M731" s="4" t="s">
        <v>117</v>
      </c>
      <c r="N731" s="4">
        <v>41311.25</v>
      </c>
      <c r="O731" t="b">
        <v>0</v>
      </c>
      <c r="P731" t="b">
        <v>0</v>
      </c>
      <c r="Q731" t="s">
        <v>146</v>
      </c>
      <c r="R731" t="str" cm="1">
        <f t="array" ref="R731:S731">_xlfn.TEXTSPLIT(Q731, "/", , FALSE)</f>
        <v>film &amp; video</v>
      </c>
      <c r="S731" t="str">
        <v>drama</v>
      </c>
    </row>
    <row r="732" spans="1:19" ht="17" x14ac:dyDescent="0.2">
      <c r="A732">
        <v>730</v>
      </c>
      <c r="B732" t="s">
        <v>1594</v>
      </c>
      <c r="C732" s="3" t="s">
        <v>1595</v>
      </c>
      <c r="D732">
        <v>28800</v>
      </c>
      <c r="E732">
        <v>118847</v>
      </c>
      <c r="F732" s="5">
        <f t="shared" si="11"/>
        <v>4.1266319444444441</v>
      </c>
      <c r="G732" t="s">
        <v>8</v>
      </c>
      <c r="H732">
        <v>1071</v>
      </c>
      <c r="I732" t="s">
        <v>103</v>
      </c>
      <c r="J732" t="s">
        <v>104</v>
      </c>
      <c r="K732" s="4">
        <v>42147.208333333328</v>
      </c>
      <c r="L732" s="4" t="s">
        <v>51</v>
      </c>
      <c r="M732" s="4" t="s">
        <v>105</v>
      </c>
      <c r="N732" s="4">
        <v>42153.208333333328</v>
      </c>
      <c r="O732" t="b">
        <v>0</v>
      </c>
      <c r="P732" t="b">
        <v>0</v>
      </c>
      <c r="Q732" t="s">
        <v>159</v>
      </c>
      <c r="R732" t="str" cm="1">
        <f t="array" ref="R732:S732">_xlfn.TEXTSPLIT(Q732, "/", , FALSE)</f>
        <v>technology</v>
      </c>
      <c r="S732" t="str">
        <v>wearables</v>
      </c>
    </row>
    <row r="733" spans="1:19" ht="17" x14ac:dyDescent="0.2">
      <c r="A733">
        <v>731</v>
      </c>
      <c r="B733" t="s">
        <v>1596</v>
      </c>
      <c r="C733" s="3" t="s">
        <v>1597</v>
      </c>
      <c r="D733">
        <v>8000</v>
      </c>
      <c r="E733">
        <v>7220</v>
      </c>
      <c r="F733" s="5">
        <f t="shared" si="11"/>
        <v>0.90249999999999997</v>
      </c>
      <c r="G733" t="s">
        <v>5</v>
      </c>
      <c r="H733">
        <v>219</v>
      </c>
      <c r="I733" t="s">
        <v>109</v>
      </c>
      <c r="J733" t="s">
        <v>110</v>
      </c>
      <c r="K733" s="4">
        <v>42939.208333333328</v>
      </c>
      <c r="L733" s="4" t="s">
        <v>53</v>
      </c>
      <c r="M733" s="4" t="s">
        <v>134</v>
      </c>
      <c r="N733" s="4">
        <v>42940.208333333328</v>
      </c>
      <c r="O733" t="b">
        <v>0</v>
      </c>
      <c r="P733" t="b">
        <v>0</v>
      </c>
      <c r="Q733" t="s">
        <v>118</v>
      </c>
      <c r="R733" t="str" cm="1">
        <f t="array" ref="R733:S733">_xlfn.TEXTSPLIT(Q733, "/", , FALSE)</f>
        <v>technology</v>
      </c>
      <c r="S733" t="str">
        <v>web</v>
      </c>
    </row>
    <row r="734" spans="1:19" ht="17" x14ac:dyDescent="0.2">
      <c r="A734">
        <v>732</v>
      </c>
      <c r="B734" t="s">
        <v>1598</v>
      </c>
      <c r="C734" s="3" t="s">
        <v>1599</v>
      </c>
      <c r="D734">
        <v>117000</v>
      </c>
      <c r="E734">
        <v>107622</v>
      </c>
      <c r="F734" s="5">
        <f t="shared" si="11"/>
        <v>0.91984615384615387</v>
      </c>
      <c r="G734" t="s">
        <v>6</v>
      </c>
      <c r="H734">
        <v>1121</v>
      </c>
      <c r="I734" t="s">
        <v>109</v>
      </c>
      <c r="J734" t="s">
        <v>110</v>
      </c>
      <c r="K734" s="4">
        <v>42816.208333333328</v>
      </c>
      <c r="L734" s="4" t="s">
        <v>49</v>
      </c>
      <c r="M734" s="4" t="s">
        <v>134</v>
      </c>
      <c r="N734" s="4">
        <v>42839.208333333328</v>
      </c>
      <c r="O734" t="b">
        <v>0</v>
      </c>
      <c r="P734" t="b">
        <v>1</v>
      </c>
      <c r="Q734" t="s">
        <v>112</v>
      </c>
      <c r="R734" t="str" cm="1">
        <f t="array" ref="R734:S734">_xlfn.TEXTSPLIT(Q734, "/", , FALSE)</f>
        <v>music</v>
      </c>
      <c r="S734" t="str">
        <v>rock</v>
      </c>
    </row>
    <row r="735" spans="1:19" ht="17" x14ac:dyDescent="0.2">
      <c r="A735">
        <v>733</v>
      </c>
      <c r="B735" t="s">
        <v>1600</v>
      </c>
      <c r="C735" s="3" t="s">
        <v>1601</v>
      </c>
      <c r="D735">
        <v>15800</v>
      </c>
      <c r="E735">
        <v>83267</v>
      </c>
      <c r="F735" s="5">
        <f t="shared" si="11"/>
        <v>5.2700632911392402</v>
      </c>
      <c r="G735" t="s">
        <v>8</v>
      </c>
      <c r="H735">
        <v>980</v>
      </c>
      <c r="I735" t="s">
        <v>109</v>
      </c>
      <c r="J735" t="s">
        <v>110</v>
      </c>
      <c r="K735" s="4">
        <v>41844.208333333336</v>
      </c>
      <c r="L735" s="4" t="s">
        <v>53</v>
      </c>
      <c r="M735" s="4" t="s">
        <v>111</v>
      </c>
      <c r="N735" s="4">
        <v>41857.208333333336</v>
      </c>
      <c r="O735" t="b">
        <v>0</v>
      </c>
      <c r="P735" t="b">
        <v>0</v>
      </c>
      <c r="Q735" t="s">
        <v>243</v>
      </c>
      <c r="R735" t="str" cm="1">
        <f t="array" ref="R735:S735">_xlfn.TEXTSPLIT(Q735, "/", , FALSE)</f>
        <v>music</v>
      </c>
      <c r="S735" t="str">
        <v>metal</v>
      </c>
    </row>
    <row r="736" spans="1:19" ht="17" x14ac:dyDescent="0.2">
      <c r="A736">
        <v>734</v>
      </c>
      <c r="B736" t="s">
        <v>1602</v>
      </c>
      <c r="C736" s="3" t="s">
        <v>1603</v>
      </c>
      <c r="D736">
        <v>4200</v>
      </c>
      <c r="E736">
        <v>13404</v>
      </c>
      <c r="F736" s="5">
        <f t="shared" si="11"/>
        <v>3.1914285714285713</v>
      </c>
      <c r="G736" t="s">
        <v>8</v>
      </c>
      <c r="H736">
        <v>536</v>
      </c>
      <c r="I736" t="s">
        <v>109</v>
      </c>
      <c r="J736" t="s">
        <v>110</v>
      </c>
      <c r="K736" s="4">
        <v>42763.25</v>
      </c>
      <c r="L736" s="4" t="s">
        <v>47</v>
      </c>
      <c r="M736" s="4" t="s">
        <v>134</v>
      </c>
      <c r="N736" s="4">
        <v>42775.25</v>
      </c>
      <c r="O736" t="b">
        <v>0</v>
      </c>
      <c r="P736" t="b">
        <v>1</v>
      </c>
      <c r="Q736" t="s">
        <v>124</v>
      </c>
      <c r="R736" t="str" cm="1">
        <f t="array" ref="R736:S736">_xlfn.TEXTSPLIT(Q736, "/", , FALSE)</f>
        <v>theater</v>
      </c>
      <c r="S736" t="str">
        <v>plays</v>
      </c>
    </row>
    <row r="737" spans="1:19" ht="34" x14ac:dyDescent="0.2">
      <c r="A737">
        <v>735</v>
      </c>
      <c r="B737" t="s">
        <v>1604</v>
      </c>
      <c r="C737" s="3" t="s">
        <v>1605</v>
      </c>
      <c r="D737">
        <v>37100</v>
      </c>
      <c r="E737">
        <v>131404</v>
      </c>
      <c r="F737" s="5">
        <f t="shared" si="11"/>
        <v>3.5418867924528303</v>
      </c>
      <c r="G737" t="s">
        <v>8</v>
      </c>
      <c r="H737">
        <v>1991</v>
      </c>
      <c r="I737" t="s">
        <v>109</v>
      </c>
      <c r="J737" t="s">
        <v>110</v>
      </c>
      <c r="K737" s="4">
        <v>42459.208333333328</v>
      </c>
      <c r="L737" s="4" t="s">
        <v>49</v>
      </c>
      <c r="M737" s="4" t="s">
        <v>153</v>
      </c>
      <c r="N737" s="4">
        <v>42466.208333333328</v>
      </c>
      <c r="O737" t="b">
        <v>0</v>
      </c>
      <c r="P737" t="b">
        <v>0</v>
      </c>
      <c r="Q737" t="s">
        <v>217</v>
      </c>
      <c r="R737" t="str" cm="1">
        <f t="array" ref="R737:S737">_xlfn.TEXTSPLIT(Q737, "/", , FALSE)</f>
        <v>photography</v>
      </c>
      <c r="S737" t="str">
        <v>photography books</v>
      </c>
    </row>
    <row r="738" spans="1:19" ht="17" x14ac:dyDescent="0.2">
      <c r="A738">
        <v>736</v>
      </c>
      <c r="B738" t="s">
        <v>1606</v>
      </c>
      <c r="C738" s="3" t="s">
        <v>1607</v>
      </c>
      <c r="D738">
        <v>7700</v>
      </c>
      <c r="E738">
        <v>2533</v>
      </c>
      <c r="F738" s="5">
        <f t="shared" si="11"/>
        <v>0.32896103896103895</v>
      </c>
      <c r="G738" t="s">
        <v>5</v>
      </c>
      <c r="H738">
        <v>29</v>
      </c>
      <c r="I738" t="s">
        <v>109</v>
      </c>
      <c r="J738" t="s">
        <v>110</v>
      </c>
      <c r="K738" s="4">
        <v>42055.25</v>
      </c>
      <c r="L738" s="4" t="s">
        <v>48</v>
      </c>
      <c r="M738" s="4" t="s">
        <v>105</v>
      </c>
      <c r="N738" s="4">
        <v>42059.25</v>
      </c>
      <c r="O738" t="b">
        <v>0</v>
      </c>
      <c r="P738" t="b">
        <v>0</v>
      </c>
      <c r="Q738" t="s">
        <v>162</v>
      </c>
      <c r="R738" t="str" cm="1">
        <f t="array" ref="R738:S738">_xlfn.TEXTSPLIT(Q738, "/", , FALSE)</f>
        <v>publishing</v>
      </c>
      <c r="S738" t="str">
        <v>nonfiction</v>
      </c>
    </row>
    <row r="739" spans="1:19" ht="34" x14ac:dyDescent="0.2">
      <c r="A739">
        <v>737</v>
      </c>
      <c r="B739" t="s">
        <v>1608</v>
      </c>
      <c r="C739" s="3" t="s">
        <v>1609</v>
      </c>
      <c r="D739">
        <v>3700</v>
      </c>
      <c r="E739">
        <v>5028</v>
      </c>
      <c r="F739" s="5">
        <f t="shared" si="11"/>
        <v>1.358918918918919</v>
      </c>
      <c r="G739" t="s">
        <v>8</v>
      </c>
      <c r="H739">
        <v>180</v>
      </c>
      <c r="I739" t="s">
        <v>109</v>
      </c>
      <c r="J739" t="s">
        <v>110</v>
      </c>
      <c r="K739" s="4">
        <v>42685.25</v>
      </c>
      <c r="L739" s="4" t="s">
        <v>57</v>
      </c>
      <c r="M739" s="4" t="s">
        <v>153</v>
      </c>
      <c r="N739" s="4">
        <v>42697.25</v>
      </c>
      <c r="O739" t="b">
        <v>0</v>
      </c>
      <c r="P739" t="b">
        <v>0</v>
      </c>
      <c r="Q739" t="s">
        <v>154</v>
      </c>
      <c r="R739" t="str" cm="1">
        <f t="array" ref="R739:S739">_xlfn.TEXTSPLIT(Q739, "/", , FALSE)</f>
        <v>music</v>
      </c>
      <c r="S739" t="str">
        <v>indie rock</v>
      </c>
    </row>
    <row r="740" spans="1:19" ht="34" x14ac:dyDescent="0.2">
      <c r="A740">
        <v>738</v>
      </c>
      <c r="B740" t="s">
        <v>1127</v>
      </c>
      <c r="C740" s="3" t="s">
        <v>1610</v>
      </c>
      <c r="D740">
        <v>74700</v>
      </c>
      <c r="E740">
        <v>1557</v>
      </c>
      <c r="F740" s="5">
        <f t="shared" si="11"/>
        <v>2.0843373493975904E-2</v>
      </c>
      <c r="G740" t="s">
        <v>6</v>
      </c>
      <c r="H740">
        <v>15</v>
      </c>
      <c r="I740" t="s">
        <v>109</v>
      </c>
      <c r="J740" t="s">
        <v>110</v>
      </c>
      <c r="K740" s="4">
        <v>41959.25</v>
      </c>
      <c r="L740" s="4" t="s">
        <v>57</v>
      </c>
      <c r="M740" s="4" t="s">
        <v>111</v>
      </c>
      <c r="N740" s="4">
        <v>41981.25</v>
      </c>
      <c r="O740" t="b">
        <v>0</v>
      </c>
      <c r="P740" t="b">
        <v>1</v>
      </c>
      <c r="Q740" t="s">
        <v>124</v>
      </c>
      <c r="R740" t="str" cm="1">
        <f t="array" ref="R740:S740">_xlfn.TEXTSPLIT(Q740, "/", , FALSE)</f>
        <v>theater</v>
      </c>
      <c r="S740" t="str">
        <v>plays</v>
      </c>
    </row>
    <row r="741" spans="1:19" ht="17" x14ac:dyDescent="0.2">
      <c r="A741">
        <v>739</v>
      </c>
      <c r="B741" t="s">
        <v>1611</v>
      </c>
      <c r="C741" s="3" t="s">
        <v>1612</v>
      </c>
      <c r="D741">
        <v>10000</v>
      </c>
      <c r="E741">
        <v>6100</v>
      </c>
      <c r="F741" s="5">
        <f t="shared" si="11"/>
        <v>0.61</v>
      </c>
      <c r="G741" t="s">
        <v>6</v>
      </c>
      <c r="H741">
        <v>191</v>
      </c>
      <c r="I741" t="s">
        <v>109</v>
      </c>
      <c r="J741" t="s">
        <v>110</v>
      </c>
      <c r="K741" s="4">
        <v>41089.208333333336</v>
      </c>
      <c r="L741" s="4" t="s">
        <v>52</v>
      </c>
      <c r="M741" s="4" t="s">
        <v>129</v>
      </c>
      <c r="N741" s="4">
        <v>41090.208333333336</v>
      </c>
      <c r="O741" t="b">
        <v>0</v>
      </c>
      <c r="P741" t="b">
        <v>0</v>
      </c>
      <c r="Q741" t="s">
        <v>154</v>
      </c>
      <c r="R741" t="str" cm="1">
        <f t="array" ref="R741:S741">_xlfn.TEXTSPLIT(Q741, "/", , FALSE)</f>
        <v>music</v>
      </c>
      <c r="S741" t="str">
        <v>indie rock</v>
      </c>
    </row>
    <row r="742" spans="1:19" ht="34" x14ac:dyDescent="0.2">
      <c r="A742">
        <v>740</v>
      </c>
      <c r="B742" t="s">
        <v>1613</v>
      </c>
      <c r="C742" s="3" t="s">
        <v>1614</v>
      </c>
      <c r="D742">
        <v>5300</v>
      </c>
      <c r="E742">
        <v>1592</v>
      </c>
      <c r="F742" s="5">
        <f t="shared" si="11"/>
        <v>0.30037735849056602</v>
      </c>
      <c r="G742" t="s">
        <v>6</v>
      </c>
      <c r="H742">
        <v>16</v>
      </c>
      <c r="I742" t="s">
        <v>109</v>
      </c>
      <c r="J742" t="s">
        <v>110</v>
      </c>
      <c r="K742" s="4">
        <v>42769.25</v>
      </c>
      <c r="L742" s="4" t="s">
        <v>48</v>
      </c>
      <c r="M742" s="4" t="s">
        <v>134</v>
      </c>
      <c r="N742" s="4">
        <v>42772.25</v>
      </c>
      <c r="O742" t="b">
        <v>0</v>
      </c>
      <c r="P742" t="b">
        <v>0</v>
      </c>
      <c r="Q742" t="s">
        <v>124</v>
      </c>
      <c r="R742" t="str" cm="1">
        <f t="array" ref="R742:S742">_xlfn.TEXTSPLIT(Q742, "/", , FALSE)</f>
        <v>theater</v>
      </c>
      <c r="S742" t="str">
        <v>plays</v>
      </c>
    </row>
    <row r="743" spans="1:19" ht="17" x14ac:dyDescent="0.2">
      <c r="A743">
        <v>741</v>
      </c>
      <c r="B743" t="s">
        <v>723</v>
      </c>
      <c r="C743" s="3" t="s">
        <v>1615</v>
      </c>
      <c r="D743">
        <v>1200</v>
      </c>
      <c r="E743">
        <v>14150</v>
      </c>
      <c r="F743" s="5">
        <f t="shared" si="11"/>
        <v>11.791666666666666</v>
      </c>
      <c r="G743" t="s">
        <v>8</v>
      </c>
      <c r="H743">
        <v>130</v>
      </c>
      <c r="I743" t="s">
        <v>109</v>
      </c>
      <c r="J743" t="s">
        <v>110</v>
      </c>
      <c r="K743" s="4">
        <v>40321.208333333336</v>
      </c>
      <c r="L743" s="4" t="s">
        <v>51</v>
      </c>
      <c r="M743" s="4" t="s">
        <v>140</v>
      </c>
      <c r="N743" s="4">
        <v>40322.208333333336</v>
      </c>
      <c r="O743" t="b">
        <v>0</v>
      </c>
      <c r="P743" t="b">
        <v>0</v>
      </c>
      <c r="Q743" t="s">
        <v>124</v>
      </c>
      <c r="R743" t="str" cm="1">
        <f t="array" ref="R743:S743">_xlfn.TEXTSPLIT(Q743, "/", , FALSE)</f>
        <v>theater</v>
      </c>
      <c r="S743" t="str">
        <v>plays</v>
      </c>
    </row>
    <row r="744" spans="1:19" ht="17" x14ac:dyDescent="0.2">
      <c r="A744">
        <v>742</v>
      </c>
      <c r="B744" t="s">
        <v>1616</v>
      </c>
      <c r="C744" s="3" t="s">
        <v>1617</v>
      </c>
      <c r="D744">
        <v>1200</v>
      </c>
      <c r="E744">
        <v>13513</v>
      </c>
      <c r="F744" s="5">
        <f t="shared" si="11"/>
        <v>11.260833333333334</v>
      </c>
      <c r="G744" t="s">
        <v>8</v>
      </c>
      <c r="H744">
        <v>122</v>
      </c>
      <c r="I744" t="s">
        <v>109</v>
      </c>
      <c r="J744" t="s">
        <v>110</v>
      </c>
      <c r="K744" s="4">
        <v>40197.25</v>
      </c>
      <c r="L744" s="4" t="s">
        <v>47</v>
      </c>
      <c r="M744" s="4" t="s">
        <v>140</v>
      </c>
      <c r="N744" s="4">
        <v>40239.25</v>
      </c>
      <c r="O744" t="b">
        <v>0</v>
      </c>
      <c r="P744" t="b">
        <v>0</v>
      </c>
      <c r="Q744" t="s">
        <v>143</v>
      </c>
      <c r="R744" t="str" cm="1">
        <f t="array" ref="R744:S744">_xlfn.TEXTSPLIT(Q744, "/", , FALSE)</f>
        <v>music</v>
      </c>
      <c r="S744" t="str">
        <v>electric music</v>
      </c>
    </row>
    <row r="745" spans="1:19" ht="34" x14ac:dyDescent="0.2">
      <c r="A745">
        <v>743</v>
      </c>
      <c r="B745" t="s">
        <v>1618</v>
      </c>
      <c r="C745" s="3" t="s">
        <v>1619</v>
      </c>
      <c r="D745">
        <v>3900</v>
      </c>
      <c r="E745">
        <v>504</v>
      </c>
      <c r="F745" s="5">
        <f t="shared" si="11"/>
        <v>0.12923076923076923</v>
      </c>
      <c r="G745" t="s">
        <v>6</v>
      </c>
      <c r="H745">
        <v>17</v>
      </c>
      <c r="I745" t="s">
        <v>109</v>
      </c>
      <c r="J745" t="s">
        <v>110</v>
      </c>
      <c r="K745" s="4">
        <v>42298.208333333328</v>
      </c>
      <c r="L745" s="4" t="s">
        <v>56</v>
      </c>
      <c r="M745" s="4" t="s">
        <v>105</v>
      </c>
      <c r="N745" s="4">
        <v>42304.208333333328</v>
      </c>
      <c r="O745" t="b">
        <v>0</v>
      </c>
      <c r="P745" t="b">
        <v>1</v>
      </c>
      <c r="Q745" t="s">
        <v>124</v>
      </c>
      <c r="R745" t="str" cm="1">
        <f t="array" ref="R745:S745">_xlfn.TEXTSPLIT(Q745, "/", , FALSE)</f>
        <v>theater</v>
      </c>
      <c r="S745" t="str">
        <v>plays</v>
      </c>
    </row>
    <row r="746" spans="1:19" ht="17" x14ac:dyDescent="0.2">
      <c r="A746">
        <v>744</v>
      </c>
      <c r="B746" t="s">
        <v>1620</v>
      </c>
      <c r="C746" s="3" t="s">
        <v>1621</v>
      </c>
      <c r="D746">
        <v>2000</v>
      </c>
      <c r="E746">
        <v>14240</v>
      </c>
      <c r="F746" s="5">
        <f t="shared" si="11"/>
        <v>7.12</v>
      </c>
      <c r="G746" t="s">
        <v>8</v>
      </c>
      <c r="H746">
        <v>140</v>
      </c>
      <c r="I746" t="s">
        <v>109</v>
      </c>
      <c r="J746" t="s">
        <v>110</v>
      </c>
      <c r="K746" s="4">
        <v>43322.208333333328</v>
      </c>
      <c r="L746" s="4" t="s">
        <v>54</v>
      </c>
      <c r="M746" s="4" t="s">
        <v>169</v>
      </c>
      <c r="N746" s="4">
        <v>43324.208333333328</v>
      </c>
      <c r="O746" t="b">
        <v>0</v>
      </c>
      <c r="P746" t="b">
        <v>1</v>
      </c>
      <c r="Q746" t="s">
        <v>124</v>
      </c>
      <c r="R746" t="str" cm="1">
        <f t="array" ref="R746:S746">_xlfn.TEXTSPLIT(Q746, "/", , FALSE)</f>
        <v>theater</v>
      </c>
      <c r="S746" t="str">
        <v>plays</v>
      </c>
    </row>
    <row r="747" spans="1:19" ht="34" x14ac:dyDescent="0.2">
      <c r="A747">
        <v>745</v>
      </c>
      <c r="B747" t="s">
        <v>1622</v>
      </c>
      <c r="C747" s="3" t="s">
        <v>1623</v>
      </c>
      <c r="D747">
        <v>6900</v>
      </c>
      <c r="E747">
        <v>2091</v>
      </c>
      <c r="F747" s="5">
        <f t="shared" si="11"/>
        <v>0.30304347826086958</v>
      </c>
      <c r="G747" t="s">
        <v>6</v>
      </c>
      <c r="H747">
        <v>34</v>
      </c>
      <c r="I747" t="s">
        <v>109</v>
      </c>
      <c r="J747" t="s">
        <v>110</v>
      </c>
      <c r="K747" s="4">
        <v>40328.208333333336</v>
      </c>
      <c r="L747" s="4" t="s">
        <v>51</v>
      </c>
      <c r="M747" s="4" t="s">
        <v>140</v>
      </c>
      <c r="N747" s="4">
        <v>40355.208333333336</v>
      </c>
      <c r="O747" t="b">
        <v>0</v>
      </c>
      <c r="P747" t="b">
        <v>0</v>
      </c>
      <c r="Q747" t="s">
        <v>159</v>
      </c>
      <c r="R747" t="str" cm="1">
        <f t="array" ref="R747:S747">_xlfn.TEXTSPLIT(Q747, "/", , FALSE)</f>
        <v>technology</v>
      </c>
      <c r="S747" t="str">
        <v>wearables</v>
      </c>
    </row>
    <row r="748" spans="1:19" ht="17" x14ac:dyDescent="0.2">
      <c r="A748">
        <v>746</v>
      </c>
      <c r="B748" t="s">
        <v>1624</v>
      </c>
      <c r="C748" s="3" t="s">
        <v>1625</v>
      </c>
      <c r="D748">
        <v>55800</v>
      </c>
      <c r="E748">
        <v>118580</v>
      </c>
      <c r="F748" s="5">
        <f t="shared" si="11"/>
        <v>2.1250896057347672</v>
      </c>
      <c r="G748" t="s">
        <v>8</v>
      </c>
      <c r="H748">
        <v>3388</v>
      </c>
      <c r="I748" t="s">
        <v>109</v>
      </c>
      <c r="J748" t="s">
        <v>110</v>
      </c>
      <c r="K748" s="4">
        <v>40825.208333333336</v>
      </c>
      <c r="L748" s="4" t="s">
        <v>56</v>
      </c>
      <c r="M748" s="4" t="s">
        <v>165</v>
      </c>
      <c r="N748" s="4">
        <v>40830.208333333336</v>
      </c>
      <c r="O748" t="b">
        <v>0</v>
      </c>
      <c r="P748" t="b">
        <v>0</v>
      </c>
      <c r="Q748" t="s">
        <v>118</v>
      </c>
      <c r="R748" t="str" cm="1">
        <f t="array" ref="R748:S748">_xlfn.TEXTSPLIT(Q748, "/", , FALSE)</f>
        <v>technology</v>
      </c>
      <c r="S748" t="str">
        <v>web</v>
      </c>
    </row>
    <row r="749" spans="1:19" ht="17" x14ac:dyDescent="0.2">
      <c r="A749">
        <v>747</v>
      </c>
      <c r="B749" t="s">
        <v>1626</v>
      </c>
      <c r="C749" s="3" t="s">
        <v>1627</v>
      </c>
      <c r="D749">
        <v>4900</v>
      </c>
      <c r="E749">
        <v>11214</v>
      </c>
      <c r="F749" s="5">
        <f t="shared" si="11"/>
        <v>2.2885714285714287</v>
      </c>
      <c r="G749" t="s">
        <v>8</v>
      </c>
      <c r="H749">
        <v>280</v>
      </c>
      <c r="I749" t="s">
        <v>109</v>
      </c>
      <c r="J749" t="s">
        <v>110</v>
      </c>
      <c r="K749" s="4">
        <v>40423.208333333336</v>
      </c>
      <c r="L749" s="4" t="s">
        <v>55</v>
      </c>
      <c r="M749" s="4" t="s">
        <v>140</v>
      </c>
      <c r="N749" s="4">
        <v>40434.208333333336</v>
      </c>
      <c r="O749" t="b">
        <v>0</v>
      </c>
      <c r="P749" t="b">
        <v>0</v>
      </c>
      <c r="Q749" t="s">
        <v>124</v>
      </c>
      <c r="R749" t="str" cm="1">
        <f t="array" ref="R749:S749">_xlfn.TEXTSPLIT(Q749, "/", , FALSE)</f>
        <v>theater</v>
      </c>
      <c r="S749" t="str">
        <v>plays</v>
      </c>
    </row>
    <row r="750" spans="1:19" ht="17" x14ac:dyDescent="0.2">
      <c r="A750">
        <v>748</v>
      </c>
      <c r="B750" t="s">
        <v>1628</v>
      </c>
      <c r="C750" s="3" t="s">
        <v>1629</v>
      </c>
      <c r="D750">
        <v>194900</v>
      </c>
      <c r="E750">
        <v>68137</v>
      </c>
      <c r="F750" s="5">
        <f t="shared" si="11"/>
        <v>0.34959979476654696</v>
      </c>
      <c r="G750" t="s">
        <v>5</v>
      </c>
      <c r="H750">
        <v>614</v>
      </c>
      <c r="I750" t="s">
        <v>109</v>
      </c>
      <c r="J750" t="s">
        <v>110</v>
      </c>
      <c r="K750" s="4">
        <v>40238.25</v>
      </c>
      <c r="L750" s="4" t="s">
        <v>49</v>
      </c>
      <c r="M750" s="4" t="s">
        <v>140</v>
      </c>
      <c r="N750" s="4">
        <v>40263.208333333336</v>
      </c>
      <c r="O750" t="b">
        <v>0</v>
      </c>
      <c r="P750" t="b">
        <v>1</v>
      </c>
      <c r="Q750" t="s">
        <v>166</v>
      </c>
      <c r="R750" t="str" cm="1">
        <f t="array" ref="R750:S750">_xlfn.TEXTSPLIT(Q750, "/", , FALSE)</f>
        <v>film &amp; video</v>
      </c>
      <c r="S750" t="str">
        <v>animation</v>
      </c>
    </row>
    <row r="751" spans="1:19" ht="17" x14ac:dyDescent="0.2">
      <c r="A751">
        <v>749</v>
      </c>
      <c r="B751" t="s">
        <v>1630</v>
      </c>
      <c r="C751" s="3" t="s">
        <v>1631</v>
      </c>
      <c r="D751">
        <v>8600</v>
      </c>
      <c r="E751">
        <v>13527</v>
      </c>
      <c r="F751" s="5">
        <f t="shared" si="11"/>
        <v>1.5729069767441861</v>
      </c>
      <c r="G751" t="s">
        <v>8</v>
      </c>
      <c r="H751">
        <v>366</v>
      </c>
      <c r="I751" t="s">
        <v>202</v>
      </c>
      <c r="J751" t="s">
        <v>203</v>
      </c>
      <c r="K751" s="4">
        <v>41920.208333333336</v>
      </c>
      <c r="L751" s="4" t="s">
        <v>56</v>
      </c>
      <c r="M751" s="4" t="s">
        <v>111</v>
      </c>
      <c r="N751" s="4">
        <v>41932.208333333336</v>
      </c>
      <c r="O751" t="b">
        <v>0</v>
      </c>
      <c r="P751" t="b">
        <v>1</v>
      </c>
      <c r="Q751" t="s">
        <v>159</v>
      </c>
      <c r="R751" t="str" cm="1">
        <f t="array" ref="R751:S751">_xlfn.TEXTSPLIT(Q751, "/", , FALSE)</f>
        <v>technology</v>
      </c>
      <c r="S751" t="str">
        <v>wearables</v>
      </c>
    </row>
    <row r="752" spans="1:19" ht="17" x14ac:dyDescent="0.2">
      <c r="A752">
        <v>750</v>
      </c>
      <c r="B752" t="s">
        <v>1632</v>
      </c>
      <c r="C752" s="3" t="s">
        <v>1633</v>
      </c>
      <c r="D752">
        <v>100</v>
      </c>
      <c r="E752">
        <v>1</v>
      </c>
      <c r="F752" s="5">
        <f t="shared" si="11"/>
        <v>0.01</v>
      </c>
      <c r="G752" t="s">
        <v>6</v>
      </c>
      <c r="H752">
        <v>1</v>
      </c>
      <c r="I752" t="s">
        <v>132</v>
      </c>
      <c r="J752" t="s">
        <v>133</v>
      </c>
      <c r="K752" s="4">
        <v>40360.208333333336</v>
      </c>
      <c r="L752" s="4" t="s">
        <v>53</v>
      </c>
      <c r="M752" s="4" t="s">
        <v>140</v>
      </c>
      <c r="N752" s="4">
        <v>40385.208333333336</v>
      </c>
      <c r="O752" t="b">
        <v>0</v>
      </c>
      <c r="P752" t="b">
        <v>0</v>
      </c>
      <c r="Q752" t="s">
        <v>143</v>
      </c>
      <c r="R752" t="str" cm="1">
        <f t="array" ref="R752:S752">_xlfn.TEXTSPLIT(Q752, "/", , FALSE)</f>
        <v>music</v>
      </c>
      <c r="S752" t="str">
        <v>electric music</v>
      </c>
    </row>
    <row r="753" spans="1:19" ht="17" x14ac:dyDescent="0.2">
      <c r="A753">
        <v>751</v>
      </c>
      <c r="B753" t="s">
        <v>1634</v>
      </c>
      <c r="C753" s="3" t="s">
        <v>1635</v>
      </c>
      <c r="D753">
        <v>3600</v>
      </c>
      <c r="E753">
        <v>8363</v>
      </c>
      <c r="F753" s="5">
        <f t="shared" si="11"/>
        <v>2.3230555555555554</v>
      </c>
      <c r="G753" t="s">
        <v>8</v>
      </c>
      <c r="H753">
        <v>270</v>
      </c>
      <c r="I753" t="s">
        <v>109</v>
      </c>
      <c r="J753" t="s">
        <v>110</v>
      </c>
      <c r="K753" s="4">
        <v>42446.208333333328</v>
      </c>
      <c r="L753" s="4" t="s">
        <v>49</v>
      </c>
      <c r="M753" s="4" t="s">
        <v>153</v>
      </c>
      <c r="N753" s="4">
        <v>42461.208333333328</v>
      </c>
      <c r="O753" t="b">
        <v>1</v>
      </c>
      <c r="P753" t="b">
        <v>1</v>
      </c>
      <c r="Q753" t="s">
        <v>162</v>
      </c>
      <c r="R753" t="str" cm="1">
        <f t="array" ref="R753:S753">_xlfn.TEXTSPLIT(Q753, "/", , FALSE)</f>
        <v>publishing</v>
      </c>
      <c r="S753" t="str">
        <v>nonfiction</v>
      </c>
    </row>
    <row r="754" spans="1:19" ht="17" x14ac:dyDescent="0.2">
      <c r="A754">
        <v>752</v>
      </c>
      <c r="B754" t="s">
        <v>1636</v>
      </c>
      <c r="C754" s="3" t="s">
        <v>1637</v>
      </c>
      <c r="D754">
        <v>5800</v>
      </c>
      <c r="E754">
        <v>5362</v>
      </c>
      <c r="F754" s="5">
        <f t="shared" si="11"/>
        <v>0.92448275862068963</v>
      </c>
      <c r="G754" t="s">
        <v>5</v>
      </c>
      <c r="H754">
        <v>114</v>
      </c>
      <c r="I754" t="s">
        <v>109</v>
      </c>
      <c r="J754" t="s">
        <v>110</v>
      </c>
      <c r="K754" s="4">
        <v>40395.208333333336</v>
      </c>
      <c r="L754" s="4" t="s">
        <v>54</v>
      </c>
      <c r="M754" s="4" t="s">
        <v>140</v>
      </c>
      <c r="N754" s="4">
        <v>40413.208333333336</v>
      </c>
      <c r="O754" t="b">
        <v>0</v>
      </c>
      <c r="P754" t="b">
        <v>1</v>
      </c>
      <c r="Q754" t="s">
        <v>124</v>
      </c>
      <c r="R754" t="str" cm="1">
        <f t="array" ref="R754:S754">_xlfn.TEXTSPLIT(Q754, "/", , FALSE)</f>
        <v>theater</v>
      </c>
      <c r="S754" t="str">
        <v>plays</v>
      </c>
    </row>
    <row r="755" spans="1:19" ht="17" x14ac:dyDescent="0.2">
      <c r="A755">
        <v>753</v>
      </c>
      <c r="B755" t="s">
        <v>1638</v>
      </c>
      <c r="C755" s="3" t="s">
        <v>1639</v>
      </c>
      <c r="D755">
        <v>4700</v>
      </c>
      <c r="E755">
        <v>12065</v>
      </c>
      <c r="F755" s="5">
        <f t="shared" si="11"/>
        <v>2.5670212765957445</v>
      </c>
      <c r="G755" t="s">
        <v>8</v>
      </c>
      <c r="H755">
        <v>137</v>
      </c>
      <c r="I755" t="s">
        <v>109</v>
      </c>
      <c r="J755" t="s">
        <v>110</v>
      </c>
      <c r="K755" s="4">
        <v>40321.208333333336</v>
      </c>
      <c r="L755" s="4" t="s">
        <v>51</v>
      </c>
      <c r="M755" s="4" t="s">
        <v>140</v>
      </c>
      <c r="N755" s="4">
        <v>40336.208333333336</v>
      </c>
      <c r="O755" t="b">
        <v>0</v>
      </c>
      <c r="P755" t="b">
        <v>0</v>
      </c>
      <c r="Q755" t="s">
        <v>217</v>
      </c>
      <c r="R755" t="str" cm="1">
        <f t="array" ref="R755:S755">_xlfn.TEXTSPLIT(Q755, "/", , FALSE)</f>
        <v>photography</v>
      </c>
      <c r="S755" t="str">
        <v>photography books</v>
      </c>
    </row>
    <row r="756" spans="1:19" ht="17" x14ac:dyDescent="0.2">
      <c r="A756">
        <v>754</v>
      </c>
      <c r="B756" t="s">
        <v>1640</v>
      </c>
      <c r="C756" s="3" t="s">
        <v>1641</v>
      </c>
      <c r="D756">
        <v>70400</v>
      </c>
      <c r="E756">
        <v>118603</v>
      </c>
      <c r="F756" s="5">
        <f t="shared" si="11"/>
        <v>1.6847017045454546</v>
      </c>
      <c r="G756" t="s">
        <v>8</v>
      </c>
      <c r="H756">
        <v>3205</v>
      </c>
      <c r="I756" t="s">
        <v>109</v>
      </c>
      <c r="J756" t="s">
        <v>110</v>
      </c>
      <c r="K756" s="4">
        <v>41210.208333333336</v>
      </c>
      <c r="L756" s="4" t="s">
        <v>56</v>
      </c>
      <c r="M756" s="4" t="s">
        <v>129</v>
      </c>
      <c r="N756" s="4">
        <v>41263.25</v>
      </c>
      <c r="O756" t="b">
        <v>0</v>
      </c>
      <c r="P756" t="b">
        <v>0</v>
      </c>
      <c r="Q756" t="s">
        <v>124</v>
      </c>
      <c r="R756" t="str" cm="1">
        <f t="array" ref="R756:S756">_xlfn.TEXTSPLIT(Q756, "/", , FALSE)</f>
        <v>theater</v>
      </c>
      <c r="S756" t="str">
        <v>plays</v>
      </c>
    </row>
    <row r="757" spans="1:19" ht="17" x14ac:dyDescent="0.2">
      <c r="A757">
        <v>755</v>
      </c>
      <c r="B757" t="s">
        <v>1642</v>
      </c>
      <c r="C757" s="3" t="s">
        <v>1643</v>
      </c>
      <c r="D757">
        <v>4500</v>
      </c>
      <c r="E757">
        <v>7496</v>
      </c>
      <c r="F757" s="5">
        <f t="shared" si="11"/>
        <v>1.6657777777777778</v>
      </c>
      <c r="G757" t="s">
        <v>8</v>
      </c>
      <c r="H757">
        <v>288</v>
      </c>
      <c r="I757" t="s">
        <v>127</v>
      </c>
      <c r="J757" t="s">
        <v>128</v>
      </c>
      <c r="K757" s="4">
        <v>43096.25</v>
      </c>
      <c r="L757" s="4" t="s">
        <v>58</v>
      </c>
      <c r="M757" s="4" t="s">
        <v>134</v>
      </c>
      <c r="N757" s="4">
        <v>43108.25</v>
      </c>
      <c r="O757" t="b">
        <v>0</v>
      </c>
      <c r="P757" t="b">
        <v>1</v>
      </c>
      <c r="Q757" t="s">
        <v>124</v>
      </c>
      <c r="R757" t="str" cm="1">
        <f t="array" ref="R757:S757">_xlfn.TEXTSPLIT(Q757, "/", , FALSE)</f>
        <v>theater</v>
      </c>
      <c r="S757" t="str">
        <v>plays</v>
      </c>
    </row>
    <row r="758" spans="1:19" ht="34" x14ac:dyDescent="0.2">
      <c r="A758">
        <v>756</v>
      </c>
      <c r="B758" t="s">
        <v>1644</v>
      </c>
      <c r="C758" s="3" t="s">
        <v>1645</v>
      </c>
      <c r="D758">
        <v>1300</v>
      </c>
      <c r="E758">
        <v>10037</v>
      </c>
      <c r="F758" s="5">
        <f t="shared" si="11"/>
        <v>7.7207692307692311</v>
      </c>
      <c r="G758" t="s">
        <v>8</v>
      </c>
      <c r="H758">
        <v>148</v>
      </c>
      <c r="I758" t="s">
        <v>109</v>
      </c>
      <c r="J758" t="s">
        <v>110</v>
      </c>
      <c r="K758" s="4">
        <v>42024.25</v>
      </c>
      <c r="L758" s="4" t="s">
        <v>47</v>
      </c>
      <c r="M758" s="4" t="s">
        <v>105</v>
      </c>
      <c r="N758" s="4">
        <v>42030.25</v>
      </c>
      <c r="O758" t="b">
        <v>0</v>
      </c>
      <c r="P758" t="b">
        <v>0</v>
      </c>
      <c r="Q758" t="s">
        <v>124</v>
      </c>
      <c r="R758" t="str" cm="1">
        <f t="array" ref="R758:S758">_xlfn.TEXTSPLIT(Q758, "/", , FALSE)</f>
        <v>theater</v>
      </c>
      <c r="S758" t="str">
        <v>plays</v>
      </c>
    </row>
    <row r="759" spans="1:19" ht="17" x14ac:dyDescent="0.2">
      <c r="A759">
        <v>757</v>
      </c>
      <c r="B759" t="s">
        <v>1646</v>
      </c>
      <c r="C759" s="3" t="s">
        <v>1647</v>
      </c>
      <c r="D759">
        <v>1400</v>
      </c>
      <c r="E759">
        <v>5696</v>
      </c>
      <c r="F759" s="5">
        <f t="shared" si="11"/>
        <v>4.0685714285714285</v>
      </c>
      <c r="G759" t="s">
        <v>8</v>
      </c>
      <c r="H759">
        <v>114</v>
      </c>
      <c r="I759" t="s">
        <v>109</v>
      </c>
      <c r="J759" t="s">
        <v>110</v>
      </c>
      <c r="K759" s="4">
        <v>40675.208333333336</v>
      </c>
      <c r="L759" s="4" t="s">
        <v>51</v>
      </c>
      <c r="M759" s="4" t="s">
        <v>165</v>
      </c>
      <c r="N759" s="4">
        <v>40679.208333333336</v>
      </c>
      <c r="O759" t="b">
        <v>0</v>
      </c>
      <c r="P759" t="b">
        <v>0</v>
      </c>
      <c r="Q759" t="s">
        <v>146</v>
      </c>
      <c r="R759" t="str" cm="1">
        <f t="array" ref="R759:S759">_xlfn.TEXTSPLIT(Q759, "/", , FALSE)</f>
        <v>film &amp; video</v>
      </c>
      <c r="S759" t="str">
        <v>drama</v>
      </c>
    </row>
    <row r="760" spans="1:19" ht="17" x14ac:dyDescent="0.2">
      <c r="A760">
        <v>758</v>
      </c>
      <c r="B760" t="s">
        <v>1648</v>
      </c>
      <c r="C760" s="3" t="s">
        <v>1649</v>
      </c>
      <c r="D760">
        <v>29600</v>
      </c>
      <c r="E760">
        <v>167005</v>
      </c>
      <c r="F760" s="5">
        <f t="shared" si="11"/>
        <v>5.6420608108108112</v>
      </c>
      <c r="G760" t="s">
        <v>8</v>
      </c>
      <c r="H760">
        <v>1518</v>
      </c>
      <c r="I760" t="s">
        <v>103</v>
      </c>
      <c r="J760" t="s">
        <v>104</v>
      </c>
      <c r="K760" s="4">
        <v>41936.208333333336</v>
      </c>
      <c r="L760" s="4" t="s">
        <v>56</v>
      </c>
      <c r="M760" s="4" t="s">
        <v>111</v>
      </c>
      <c r="N760" s="4">
        <v>41945.208333333336</v>
      </c>
      <c r="O760" t="b">
        <v>0</v>
      </c>
      <c r="P760" t="b">
        <v>0</v>
      </c>
      <c r="Q760" t="s">
        <v>112</v>
      </c>
      <c r="R760" t="str" cm="1">
        <f t="array" ref="R760:S760">_xlfn.TEXTSPLIT(Q760, "/", , FALSE)</f>
        <v>music</v>
      </c>
      <c r="S760" t="str">
        <v>rock</v>
      </c>
    </row>
    <row r="761" spans="1:19" ht="34" x14ac:dyDescent="0.2">
      <c r="A761">
        <v>759</v>
      </c>
      <c r="B761" t="s">
        <v>1650</v>
      </c>
      <c r="C761" s="3" t="s">
        <v>1651</v>
      </c>
      <c r="D761">
        <v>167500</v>
      </c>
      <c r="E761">
        <v>114615</v>
      </c>
      <c r="F761" s="5">
        <f t="shared" si="11"/>
        <v>0.6842686567164179</v>
      </c>
      <c r="G761" t="s">
        <v>6</v>
      </c>
      <c r="H761">
        <v>1274</v>
      </c>
      <c r="I761" t="s">
        <v>109</v>
      </c>
      <c r="J761" t="s">
        <v>110</v>
      </c>
      <c r="K761" s="4">
        <v>43136.25</v>
      </c>
      <c r="L761" s="4" t="s">
        <v>48</v>
      </c>
      <c r="M761" s="4" t="s">
        <v>169</v>
      </c>
      <c r="N761" s="4">
        <v>43166.25</v>
      </c>
      <c r="O761" t="b">
        <v>0</v>
      </c>
      <c r="P761" t="b">
        <v>0</v>
      </c>
      <c r="Q761" t="s">
        <v>143</v>
      </c>
      <c r="R761" t="str" cm="1">
        <f t="array" ref="R761:S761">_xlfn.TEXTSPLIT(Q761, "/", , FALSE)</f>
        <v>music</v>
      </c>
      <c r="S761" t="str">
        <v>electric music</v>
      </c>
    </row>
    <row r="762" spans="1:19" ht="17" x14ac:dyDescent="0.2">
      <c r="A762">
        <v>760</v>
      </c>
      <c r="B762" t="s">
        <v>1652</v>
      </c>
      <c r="C762" s="3" t="s">
        <v>1653</v>
      </c>
      <c r="D762">
        <v>48300</v>
      </c>
      <c r="E762">
        <v>16592</v>
      </c>
      <c r="F762" s="5">
        <f t="shared" si="11"/>
        <v>0.34351966873706002</v>
      </c>
      <c r="G762" t="s">
        <v>6</v>
      </c>
      <c r="H762">
        <v>210</v>
      </c>
      <c r="I762" t="s">
        <v>202</v>
      </c>
      <c r="J762" t="s">
        <v>203</v>
      </c>
      <c r="K762" s="4">
        <v>43678.208333333328</v>
      </c>
      <c r="L762" s="4" t="s">
        <v>54</v>
      </c>
      <c r="M762" s="4" t="s">
        <v>121</v>
      </c>
      <c r="N762" s="4">
        <v>43707.208333333328</v>
      </c>
      <c r="O762" t="b">
        <v>0</v>
      </c>
      <c r="P762" t="b">
        <v>1</v>
      </c>
      <c r="Q762" t="s">
        <v>184</v>
      </c>
      <c r="R762" t="str" cm="1">
        <f t="array" ref="R762:S762">_xlfn.TEXTSPLIT(Q762, "/", , FALSE)</f>
        <v>games</v>
      </c>
      <c r="S762" t="str">
        <v>video games</v>
      </c>
    </row>
    <row r="763" spans="1:19" ht="17" x14ac:dyDescent="0.2">
      <c r="A763">
        <v>761</v>
      </c>
      <c r="B763" t="s">
        <v>1654</v>
      </c>
      <c r="C763" s="3" t="s">
        <v>1655</v>
      </c>
      <c r="D763">
        <v>2200</v>
      </c>
      <c r="E763">
        <v>14420</v>
      </c>
      <c r="F763" s="5">
        <f t="shared" si="11"/>
        <v>6.5545454545454547</v>
      </c>
      <c r="G763" t="s">
        <v>8</v>
      </c>
      <c r="H763">
        <v>166</v>
      </c>
      <c r="I763" t="s">
        <v>109</v>
      </c>
      <c r="J763" t="s">
        <v>110</v>
      </c>
      <c r="K763" s="4">
        <v>42938.208333333328</v>
      </c>
      <c r="L763" s="4" t="s">
        <v>53</v>
      </c>
      <c r="M763" s="4" t="s">
        <v>134</v>
      </c>
      <c r="N763" s="4">
        <v>42943.208333333328</v>
      </c>
      <c r="O763" t="b">
        <v>0</v>
      </c>
      <c r="P763" t="b">
        <v>0</v>
      </c>
      <c r="Q763" t="s">
        <v>112</v>
      </c>
      <c r="R763" t="str" cm="1">
        <f t="array" ref="R763:S763">_xlfn.TEXTSPLIT(Q763, "/", , FALSE)</f>
        <v>music</v>
      </c>
      <c r="S763" t="str">
        <v>rock</v>
      </c>
    </row>
    <row r="764" spans="1:19" ht="17" x14ac:dyDescent="0.2">
      <c r="A764">
        <v>762</v>
      </c>
      <c r="B764" t="s">
        <v>763</v>
      </c>
      <c r="C764" s="3" t="s">
        <v>1656</v>
      </c>
      <c r="D764">
        <v>3500</v>
      </c>
      <c r="E764">
        <v>6204</v>
      </c>
      <c r="F764" s="5">
        <f t="shared" si="11"/>
        <v>1.7725714285714285</v>
      </c>
      <c r="G764" t="s">
        <v>8</v>
      </c>
      <c r="H764">
        <v>100</v>
      </c>
      <c r="I764" t="s">
        <v>115</v>
      </c>
      <c r="J764" t="s">
        <v>116</v>
      </c>
      <c r="K764" s="4">
        <v>41241.25</v>
      </c>
      <c r="L764" s="4" t="s">
        <v>57</v>
      </c>
      <c r="M764" s="4" t="s">
        <v>129</v>
      </c>
      <c r="N764" s="4">
        <v>41252.25</v>
      </c>
      <c r="O764" t="b">
        <v>0</v>
      </c>
      <c r="P764" t="b">
        <v>0</v>
      </c>
      <c r="Q764" t="s">
        <v>254</v>
      </c>
      <c r="R764" t="str" cm="1">
        <f t="array" ref="R764:S764">_xlfn.TEXTSPLIT(Q764, "/", , FALSE)</f>
        <v>music</v>
      </c>
      <c r="S764" t="str">
        <v>jazz</v>
      </c>
    </row>
    <row r="765" spans="1:19" ht="17" x14ac:dyDescent="0.2">
      <c r="A765">
        <v>763</v>
      </c>
      <c r="B765" t="s">
        <v>1657</v>
      </c>
      <c r="C765" s="3" t="s">
        <v>1658</v>
      </c>
      <c r="D765">
        <v>5600</v>
      </c>
      <c r="E765">
        <v>6338</v>
      </c>
      <c r="F765" s="5">
        <f t="shared" si="11"/>
        <v>1.1317857142857144</v>
      </c>
      <c r="G765" t="s">
        <v>8</v>
      </c>
      <c r="H765">
        <v>235</v>
      </c>
      <c r="I765" t="s">
        <v>109</v>
      </c>
      <c r="J765" t="s">
        <v>110</v>
      </c>
      <c r="K765" s="4">
        <v>41037.208333333336</v>
      </c>
      <c r="L765" s="4" t="s">
        <v>51</v>
      </c>
      <c r="M765" s="4" t="s">
        <v>129</v>
      </c>
      <c r="N765" s="4">
        <v>41072.208333333336</v>
      </c>
      <c r="O765" t="b">
        <v>0</v>
      </c>
      <c r="P765" t="b">
        <v>1</v>
      </c>
      <c r="Q765" t="s">
        <v>124</v>
      </c>
      <c r="R765" t="str" cm="1">
        <f t="array" ref="R765:S765">_xlfn.TEXTSPLIT(Q765, "/", , FALSE)</f>
        <v>theater</v>
      </c>
      <c r="S765" t="str">
        <v>plays</v>
      </c>
    </row>
    <row r="766" spans="1:19" ht="34" x14ac:dyDescent="0.2">
      <c r="A766">
        <v>764</v>
      </c>
      <c r="B766" t="s">
        <v>1659</v>
      </c>
      <c r="C766" s="3" t="s">
        <v>1660</v>
      </c>
      <c r="D766">
        <v>1100</v>
      </c>
      <c r="E766">
        <v>8010</v>
      </c>
      <c r="F766" s="5">
        <f t="shared" si="11"/>
        <v>7.2818181818181822</v>
      </c>
      <c r="G766" t="s">
        <v>8</v>
      </c>
      <c r="H766">
        <v>148</v>
      </c>
      <c r="I766" t="s">
        <v>109</v>
      </c>
      <c r="J766" t="s">
        <v>110</v>
      </c>
      <c r="K766" s="4">
        <v>40676.208333333336</v>
      </c>
      <c r="L766" s="4" t="s">
        <v>51</v>
      </c>
      <c r="M766" s="4" t="s">
        <v>165</v>
      </c>
      <c r="N766" s="4">
        <v>40684.208333333336</v>
      </c>
      <c r="O766" t="b">
        <v>0</v>
      </c>
      <c r="P766" t="b">
        <v>0</v>
      </c>
      <c r="Q766" t="s">
        <v>112</v>
      </c>
      <c r="R766" t="str" cm="1">
        <f t="array" ref="R766:S766">_xlfn.TEXTSPLIT(Q766, "/", , FALSE)</f>
        <v>music</v>
      </c>
      <c r="S766" t="str">
        <v>rock</v>
      </c>
    </row>
    <row r="767" spans="1:19" ht="17" x14ac:dyDescent="0.2">
      <c r="A767">
        <v>765</v>
      </c>
      <c r="B767" t="s">
        <v>1661</v>
      </c>
      <c r="C767" s="3" t="s">
        <v>1662</v>
      </c>
      <c r="D767">
        <v>3900</v>
      </c>
      <c r="E767">
        <v>8125</v>
      </c>
      <c r="F767" s="5">
        <f t="shared" si="11"/>
        <v>2.0833333333333335</v>
      </c>
      <c r="G767" t="s">
        <v>8</v>
      </c>
      <c r="H767">
        <v>198</v>
      </c>
      <c r="I767" t="s">
        <v>109</v>
      </c>
      <c r="J767" t="s">
        <v>110</v>
      </c>
      <c r="K767" s="4">
        <v>42840.208333333328</v>
      </c>
      <c r="L767" s="4" t="s">
        <v>50</v>
      </c>
      <c r="M767" s="4" t="s">
        <v>134</v>
      </c>
      <c r="N767" s="4">
        <v>42865.208333333328</v>
      </c>
      <c r="O767" t="b">
        <v>1</v>
      </c>
      <c r="P767" t="b">
        <v>1</v>
      </c>
      <c r="Q767" t="s">
        <v>154</v>
      </c>
      <c r="R767" t="str" cm="1">
        <f t="array" ref="R767:S767">_xlfn.TEXTSPLIT(Q767, "/", , FALSE)</f>
        <v>music</v>
      </c>
      <c r="S767" t="str">
        <v>indie rock</v>
      </c>
    </row>
    <row r="768" spans="1:19" ht="34" x14ac:dyDescent="0.2">
      <c r="A768">
        <v>766</v>
      </c>
      <c r="B768" t="s">
        <v>1663</v>
      </c>
      <c r="C768" s="3" t="s">
        <v>1664</v>
      </c>
      <c r="D768">
        <v>43800</v>
      </c>
      <c r="E768">
        <v>13653</v>
      </c>
      <c r="F768" s="5">
        <f t="shared" si="11"/>
        <v>0.31171232876712329</v>
      </c>
      <c r="G768" t="s">
        <v>6</v>
      </c>
      <c r="H768">
        <v>248</v>
      </c>
      <c r="I768" t="s">
        <v>115</v>
      </c>
      <c r="J768" t="s">
        <v>116</v>
      </c>
      <c r="K768" s="4">
        <v>43362.208333333328</v>
      </c>
      <c r="L768" s="4" t="s">
        <v>55</v>
      </c>
      <c r="M768" s="4" t="s">
        <v>169</v>
      </c>
      <c r="N768" s="4">
        <v>43363.208333333328</v>
      </c>
      <c r="O768" t="b">
        <v>0</v>
      </c>
      <c r="P768" t="b">
        <v>0</v>
      </c>
      <c r="Q768" t="s">
        <v>569</v>
      </c>
      <c r="R768" t="str" cm="1">
        <f t="array" ref="R768:S768">_xlfn.TEXTSPLIT(Q768, "/", , FALSE)</f>
        <v>film &amp; video</v>
      </c>
      <c r="S768" t="str">
        <v>science fiction</v>
      </c>
    </row>
    <row r="769" spans="1:19" ht="17" x14ac:dyDescent="0.2">
      <c r="A769">
        <v>767</v>
      </c>
      <c r="B769" t="s">
        <v>1665</v>
      </c>
      <c r="C769" s="3" t="s">
        <v>1666</v>
      </c>
      <c r="D769">
        <v>97200</v>
      </c>
      <c r="E769">
        <v>55372</v>
      </c>
      <c r="F769" s="5">
        <f t="shared" si="11"/>
        <v>0.56967078189300413</v>
      </c>
      <c r="G769" t="s">
        <v>6</v>
      </c>
      <c r="H769">
        <v>513</v>
      </c>
      <c r="I769" t="s">
        <v>109</v>
      </c>
      <c r="J769" t="s">
        <v>110</v>
      </c>
      <c r="K769" s="4">
        <v>42283.208333333328</v>
      </c>
      <c r="L769" s="4" t="s">
        <v>56</v>
      </c>
      <c r="M769" s="4" t="s">
        <v>105</v>
      </c>
      <c r="N769" s="4">
        <v>42328.25</v>
      </c>
      <c r="O769" t="b">
        <v>0</v>
      </c>
      <c r="P769" t="b">
        <v>0</v>
      </c>
      <c r="Q769" t="s">
        <v>301</v>
      </c>
      <c r="R769" t="str" cm="1">
        <f t="array" ref="R769:S769">_xlfn.TEXTSPLIT(Q769, "/", , FALSE)</f>
        <v>publishing</v>
      </c>
      <c r="S769" t="str">
        <v>translations</v>
      </c>
    </row>
    <row r="770" spans="1:19" ht="17" x14ac:dyDescent="0.2">
      <c r="A770">
        <v>768</v>
      </c>
      <c r="B770" t="s">
        <v>1667</v>
      </c>
      <c r="C770" s="3" t="s">
        <v>1668</v>
      </c>
      <c r="D770">
        <v>4800</v>
      </c>
      <c r="E770">
        <v>11088</v>
      </c>
      <c r="F770" s="5">
        <f t="shared" si="11"/>
        <v>2.31</v>
      </c>
      <c r="G770" t="s">
        <v>8</v>
      </c>
      <c r="H770">
        <v>150</v>
      </c>
      <c r="I770" t="s">
        <v>109</v>
      </c>
      <c r="J770" t="s">
        <v>110</v>
      </c>
      <c r="K770" s="4">
        <v>41619.25</v>
      </c>
      <c r="L770" s="4" t="s">
        <v>58</v>
      </c>
      <c r="M770" s="4" t="s">
        <v>117</v>
      </c>
      <c r="N770" s="4">
        <v>41634.25</v>
      </c>
      <c r="O770" t="b">
        <v>0</v>
      </c>
      <c r="P770" t="b">
        <v>0</v>
      </c>
      <c r="Q770" t="s">
        <v>124</v>
      </c>
      <c r="R770" t="str" cm="1">
        <f t="array" ref="R770:S770">_xlfn.TEXTSPLIT(Q770, "/", , FALSE)</f>
        <v>theater</v>
      </c>
      <c r="S770" t="str">
        <v>plays</v>
      </c>
    </row>
    <row r="771" spans="1:19" ht="17" x14ac:dyDescent="0.2">
      <c r="A771">
        <v>769</v>
      </c>
      <c r="B771" t="s">
        <v>1669</v>
      </c>
      <c r="C771" s="3" t="s">
        <v>1670</v>
      </c>
      <c r="D771">
        <v>125600</v>
      </c>
      <c r="E771">
        <v>109106</v>
      </c>
      <c r="F771" s="5">
        <f t="shared" ref="F771:F834" si="12">E771/D771</f>
        <v>0.86867834394904464</v>
      </c>
      <c r="G771" t="s">
        <v>6</v>
      </c>
      <c r="H771">
        <v>3410</v>
      </c>
      <c r="I771" t="s">
        <v>109</v>
      </c>
      <c r="J771" t="s">
        <v>110</v>
      </c>
      <c r="K771" s="4">
        <v>41501.208333333336</v>
      </c>
      <c r="L771" s="4" t="s">
        <v>54</v>
      </c>
      <c r="M771" s="4" t="s">
        <v>117</v>
      </c>
      <c r="N771" s="4">
        <v>41527.208333333336</v>
      </c>
      <c r="O771" t="b">
        <v>0</v>
      </c>
      <c r="P771" t="b">
        <v>0</v>
      </c>
      <c r="Q771" t="s">
        <v>184</v>
      </c>
      <c r="R771" t="str" cm="1">
        <f t="array" ref="R771:S771">_xlfn.TEXTSPLIT(Q771, "/", , FALSE)</f>
        <v>games</v>
      </c>
      <c r="S771" t="str">
        <v>video games</v>
      </c>
    </row>
    <row r="772" spans="1:19" ht="17" x14ac:dyDescent="0.2">
      <c r="A772">
        <v>770</v>
      </c>
      <c r="B772" t="s">
        <v>1671</v>
      </c>
      <c r="C772" s="3" t="s">
        <v>1672</v>
      </c>
      <c r="D772">
        <v>4300</v>
      </c>
      <c r="E772">
        <v>11642</v>
      </c>
      <c r="F772" s="5">
        <f t="shared" si="12"/>
        <v>2.7074418604651163</v>
      </c>
      <c r="G772" t="s">
        <v>8</v>
      </c>
      <c r="H772">
        <v>216</v>
      </c>
      <c r="I772" t="s">
        <v>202</v>
      </c>
      <c r="J772" t="s">
        <v>203</v>
      </c>
      <c r="K772" s="4">
        <v>41743.208333333336</v>
      </c>
      <c r="L772" s="4" t="s">
        <v>50</v>
      </c>
      <c r="M772" s="4" t="s">
        <v>111</v>
      </c>
      <c r="N772" s="4">
        <v>41750.208333333336</v>
      </c>
      <c r="O772" t="b">
        <v>0</v>
      </c>
      <c r="P772" t="b">
        <v>1</v>
      </c>
      <c r="Q772" t="s">
        <v>124</v>
      </c>
      <c r="R772" t="str" cm="1">
        <f t="array" ref="R772:S772">_xlfn.TEXTSPLIT(Q772, "/", , FALSE)</f>
        <v>theater</v>
      </c>
      <c r="S772" t="str">
        <v>plays</v>
      </c>
    </row>
    <row r="773" spans="1:19" ht="17" x14ac:dyDescent="0.2">
      <c r="A773">
        <v>771</v>
      </c>
      <c r="B773" t="s">
        <v>1673</v>
      </c>
      <c r="C773" s="3" t="s">
        <v>1674</v>
      </c>
      <c r="D773">
        <v>5600</v>
      </c>
      <c r="E773">
        <v>2769</v>
      </c>
      <c r="F773" s="5">
        <f t="shared" si="12"/>
        <v>0.49446428571428569</v>
      </c>
      <c r="G773" t="s">
        <v>5</v>
      </c>
      <c r="H773">
        <v>26</v>
      </c>
      <c r="I773" t="s">
        <v>109</v>
      </c>
      <c r="J773" t="s">
        <v>110</v>
      </c>
      <c r="K773" s="4">
        <v>43491.25</v>
      </c>
      <c r="L773" s="4" t="s">
        <v>47</v>
      </c>
      <c r="M773" s="4" t="s">
        <v>121</v>
      </c>
      <c r="N773" s="4">
        <v>43518.25</v>
      </c>
      <c r="O773" t="b">
        <v>0</v>
      </c>
      <c r="P773" t="b">
        <v>0</v>
      </c>
      <c r="Q773" t="s">
        <v>124</v>
      </c>
      <c r="R773" t="str" cm="1">
        <f t="array" ref="R773:S773">_xlfn.TEXTSPLIT(Q773, "/", , FALSE)</f>
        <v>theater</v>
      </c>
      <c r="S773" t="str">
        <v>plays</v>
      </c>
    </row>
    <row r="774" spans="1:19" ht="17" x14ac:dyDescent="0.2">
      <c r="A774">
        <v>772</v>
      </c>
      <c r="B774" t="s">
        <v>1675</v>
      </c>
      <c r="C774" s="3" t="s">
        <v>1676</v>
      </c>
      <c r="D774">
        <v>149600</v>
      </c>
      <c r="E774">
        <v>169586</v>
      </c>
      <c r="F774" s="5">
        <f t="shared" si="12"/>
        <v>1.1335962566844919</v>
      </c>
      <c r="G774" t="s">
        <v>8</v>
      </c>
      <c r="H774">
        <v>5139</v>
      </c>
      <c r="I774" t="s">
        <v>109</v>
      </c>
      <c r="J774" t="s">
        <v>110</v>
      </c>
      <c r="K774" s="4">
        <v>43505.25</v>
      </c>
      <c r="L774" s="4" t="s">
        <v>48</v>
      </c>
      <c r="M774" s="4" t="s">
        <v>121</v>
      </c>
      <c r="N774" s="4">
        <v>43509.25</v>
      </c>
      <c r="O774" t="b">
        <v>0</v>
      </c>
      <c r="P774" t="b">
        <v>0</v>
      </c>
      <c r="Q774" t="s">
        <v>154</v>
      </c>
      <c r="R774" t="str" cm="1">
        <f t="array" ref="R774:S774">_xlfn.TEXTSPLIT(Q774, "/", , FALSE)</f>
        <v>music</v>
      </c>
      <c r="S774" t="str">
        <v>indie rock</v>
      </c>
    </row>
    <row r="775" spans="1:19" ht="17" x14ac:dyDescent="0.2">
      <c r="A775">
        <v>773</v>
      </c>
      <c r="B775" t="s">
        <v>1677</v>
      </c>
      <c r="C775" s="3" t="s">
        <v>1678</v>
      </c>
      <c r="D775">
        <v>53100</v>
      </c>
      <c r="E775">
        <v>101185</v>
      </c>
      <c r="F775" s="5">
        <f t="shared" si="12"/>
        <v>1.9055555555555554</v>
      </c>
      <c r="G775" t="s">
        <v>8</v>
      </c>
      <c r="H775">
        <v>2353</v>
      </c>
      <c r="I775" t="s">
        <v>109</v>
      </c>
      <c r="J775" t="s">
        <v>110</v>
      </c>
      <c r="K775" s="4">
        <v>42838.208333333328</v>
      </c>
      <c r="L775" s="4" t="s">
        <v>50</v>
      </c>
      <c r="M775" s="4" t="s">
        <v>134</v>
      </c>
      <c r="N775" s="4">
        <v>42848.208333333328</v>
      </c>
      <c r="O775" t="b">
        <v>0</v>
      </c>
      <c r="P775" t="b">
        <v>0</v>
      </c>
      <c r="Q775" t="s">
        <v>124</v>
      </c>
      <c r="R775" t="str" cm="1">
        <f t="array" ref="R775:S775">_xlfn.TEXTSPLIT(Q775, "/", , FALSE)</f>
        <v>theater</v>
      </c>
      <c r="S775" t="str">
        <v>plays</v>
      </c>
    </row>
    <row r="776" spans="1:19" ht="17" x14ac:dyDescent="0.2">
      <c r="A776">
        <v>774</v>
      </c>
      <c r="B776" t="s">
        <v>1679</v>
      </c>
      <c r="C776" s="3" t="s">
        <v>1680</v>
      </c>
      <c r="D776">
        <v>5000</v>
      </c>
      <c r="E776">
        <v>6775</v>
      </c>
      <c r="F776" s="5">
        <f t="shared" si="12"/>
        <v>1.355</v>
      </c>
      <c r="G776" t="s">
        <v>8</v>
      </c>
      <c r="H776">
        <v>78</v>
      </c>
      <c r="I776" t="s">
        <v>202</v>
      </c>
      <c r="J776" t="s">
        <v>203</v>
      </c>
      <c r="K776" s="4">
        <v>42513.208333333328</v>
      </c>
      <c r="L776" s="4" t="s">
        <v>51</v>
      </c>
      <c r="M776" s="4" t="s">
        <v>153</v>
      </c>
      <c r="N776" s="4">
        <v>42554.208333333328</v>
      </c>
      <c r="O776" t="b">
        <v>0</v>
      </c>
      <c r="P776" t="b">
        <v>0</v>
      </c>
      <c r="Q776" t="s">
        <v>118</v>
      </c>
      <c r="R776" t="str" cm="1">
        <f t="array" ref="R776:S776">_xlfn.TEXTSPLIT(Q776, "/", , FALSE)</f>
        <v>technology</v>
      </c>
      <c r="S776" t="str">
        <v>web</v>
      </c>
    </row>
    <row r="777" spans="1:19" ht="34" x14ac:dyDescent="0.2">
      <c r="A777">
        <v>775</v>
      </c>
      <c r="B777" t="s">
        <v>1681</v>
      </c>
      <c r="C777" s="3" t="s">
        <v>1682</v>
      </c>
      <c r="D777">
        <v>9400</v>
      </c>
      <c r="E777">
        <v>968</v>
      </c>
      <c r="F777" s="5">
        <f t="shared" si="12"/>
        <v>0.10297872340425532</v>
      </c>
      <c r="G777" t="s">
        <v>6</v>
      </c>
      <c r="H777">
        <v>10</v>
      </c>
      <c r="I777" t="s">
        <v>109</v>
      </c>
      <c r="J777" t="s">
        <v>110</v>
      </c>
      <c r="K777" s="4">
        <v>41949.25</v>
      </c>
      <c r="L777" s="4" t="s">
        <v>57</v>
      </c>
      <c r="M777" s="4" t="s">
        <v>111</v>
      </c>
      <c r="N777" s="4">
        <v>41959.25</v>
      </c>
      <c r="O777" t="b">
        <v>0</v>
      </c>
      <c r="P777" t="b">
        <v>0</v>
      </c>
      <c r="Q777" t="s">
        <v>112</v>
      </c>
      <c r="R777" t="str" cm="1">
        <f t="array" ref="R777:S777">_xlfn.TEXTSPLIT(Q777, "/", , FALSE)</f>
        <v>music</v>
      </c>
      <c r="S777" t="str">
        <v>rock</v>
      </c>
    </row>
    <row r="778" spans="1:19" ht="17" x14ac:dyDescent="0.2">
      <c r="A778">
        <v>776</v>
      </c>
      <c r="B778" t="s">
        <v>1683</v>
      </c>
      <c r="C778" s="3" t="s">
        <v>1684</v>
      </c>
      <c r="D778">
        <v>110800</v>
      </c>
      <c r="E778">
        <v>72623</v>
      </c>
      <c r="F778" s="5">
        <f t="shared" si="12"/>
        <v>0.65544223826714798</v>
      </c>
      <c r="G778" t="s">
        <v>6</v>
      </c>
      <c r="H778">
        <v>2201</v>
      </c>
      <c r="I778" t="s">
        <v>109</v>
      </c>
      <c r="J778" t="s">
        <v>110</v>
      </c>
      <c r="K778" s="4">
        <v>43650.208333333328</v>
      </c>
      <c r="L778" s="4" t="s">
        <v>53</v>
      </c>
      <c r="M778" s="4" t="s">
        <v>121</v>
      </c>
      <c r="N778" s="4">
        <v>43668.208333333328</v>
      </c>
      <c r="O778" t="b">
        <v>0</v>
      </c>
      <c r="P778" t="b">
        <v>0</v>
      </c>
      <c r="Q778" t="s">
        <v>124</v>
      </c>
      <c r="R778" t="str" cm="1">
        <f t="array" ref="R778:S778">_xlfn.TEXTSPLIT(Q778, "/", , FALSE)</f>
        <v>theater</v>
      </c>
      <c r="S778" t="str">
        <v>plays</v>
      </c>
    </row>
    <row r="779" spans="1:19" ht="17" x14ac:dyDescent="0.2">
      <c r="A779">
        <v>777</v>
      </c>
      <c r="B779" t="s">
        <v>1685</v>
      </c>
      <c r="C779" s="3" t="s">
        <v>1686</v>
      </c>
      <c r="D779">
        <v>93800</v>
      </c>
      <c r="E779">
        <v>45987</v>
      </c>
      <c r="F779" s="5">
        <f t="shared" si="12"/>
        <v>0.49026652452025588</v>
      </c>
      <c r="G779" t="s">
        <v>6</v>
      </c>
      <c r="H779">
        <v>676</v>
      </c>
      <c r="I779" t="s">
        <v>109</v>
      </c>
      <c r="J779" t="s">
        <v>110</v>
      </c>
      <c r="K779" s="4">
        <v>40809.208333333336</v>
      </c>
      <c r="L779" s="4" t="s">
        <v>55</v>
      </c>
      <c r="M779" s="4" t="s">
        <v>165</v>
      </c>
      <c r="N779" s="4">
        <v>40838.208333333336</v>
      </c>
      <c r="O779" t="b">
        <v>0</v>
      </c>
      <c r="P779" t="b">
        <v>0</v>
      </c>
      <c r="Q779" t="s">
        <v>124</v>
      </c>
      <c r="R779" t="str" cm="1">
        <f t="array" ref="R779:S779">_xlfn.TEXTSPLIT(Q779, "/", , FALSE)</f>
        <v>theater</v>
      </c>
      <c r="S779" t="str">
        <v>plays</v>
      </c>
    </row>
    <row r="780" spans="1:19" ht="17" x14ac:dyDescent="0.2">
      <c r="A780">
        <v>778</v>
      </c>
      <c r="B780" t="s">
        <v>1687</v>
      </c>
      <c r="C780" s="3" t="s">
        <v>1688</v>
      </c>
      <c r="D780">
        <v>1300</v>
      </c>
      <c r="E780">
        <v>10243</v>
      </c>
      <c r="F780" s="5">
        <f t="shared" si="12"/>
        <v>7.8792307692307695</v>
      </c>
      <c r="G780" t="s">
        <v>8</v>
      </c>
      <c r="H780">
        <v>174</v>
      </c>
      <c r="I780" t="s">
        <v>193</v>
      </c>
      <c r="J780" t="s">
        <v>194</v>
      </c>
      <c r="K780" s="4">
        <v>40768.208333333336</v>
      </c>
      <c r="L780" s="4" t="s">
        <v>54</v>
      </c>
      <c r="M780" s="4" t="s">
        <v>165</v>
      </c>
      <c r="N780" s="4">
        <v>40773.208333333336</v>
      </c>
      <c r="O780" t="b">
        <v>0</v>
      </c>
      <c r="P780" t="b">
        <v>0</v>
      </c>
      <c r="Q780" t="s">
        <v>166</v>
      </c>
      <c r="R780" t="str" cm="1">
        <f t="array" ref="R780:S780">_xlfn.TEXTSPLIT(Q780, "/", , FALSE)</f>
        <v>film &amp; video</v>
      </c>
      <c r="S780" t="str">
        <v>animation</v>
      </c>
    </row>
    <row r="781" spans="1:19" ht="17" x14ac:dyDescent="0.2">
      <c r="A781">
        <v>779</v>
      </c>
      <c r="B781" t="s">
        <v>1689</v>
      </c>
      <c r="C781" s="3" t="s">
        <v>1690</v>
      </c>
      <c r="D781">
        <v>108700</v>
      </c>
      <c r="E781">
        <v>87293</v>
      </c>
      <c r="F781" s="5">
        <f t="shared" si="12"/>
        <v>0.80306347746090156</v>
      </c>
      <c r="G781" t="s">
        <v>6</v>
      </c>
      <c r="H781">
        <v>831</v>
      </c>
      <c r="I781" t="s">
        <v>109</v>
      </c>
      <c r="J781" t="s">
        <v>110</v>
      </c>
      <c r="K781" s="4">
        <v>42230.208333333328</v>
      </c>
      <c r="L781" s="4" t="s">
        <v>54</v>
      </c>
      <c r="M781" s="4" t="s">
        <v>105</v>
      </c>
      <c r="N781" s="4">
        <v>42239.208333333328</v>
      </c>
      <c r="O781" t="b">
        <v>0</v>
      </c>
      <c r="P781" t="b">
        <v>1</v>
      </c>
      <c r="Q781" t="s">
        <v>124</v>
      </c>
      <c r="R781" t="str" cm="1">
        <f t="array" ref="R781:S781">_xlfn.TEXTSPLIT(Q781, "/", , FALSE)</f>
        <v>theater</v>
      </c>
      <c r="S781" t="str">
        <v>plays</v>
      </c>
    </row>
    <row r="782" spans="1:19" ht="34" x14ac:dyDescent="0.2">
      <c r="A782">
        <v>780</v>
      </c>
      <c r="B782" t="s">
        <v>1691</v>
      </c>
      <c r="C782" s="3" t="s">
        <v>1692</v>
      </c>
      <c r="D782">
        <v>5100</v>
      </c>
      <c r="E782">
        <v>5421</v>
      </c>
      <c r="F782" s="5">
        <f t="shared" si="12"/>
        <v>1.0629411764705883</v>
      </c>
      <c r="G782" t="s">
        <v>8</v>
      </c>
      <c r="H782">
        <v>164</v>
      </c>
      <c r="I782" t="s">
        <v>109</v>
      </c>
      <c r="J782" t="s">
        <v>110</v>
      </c>
      <c r="K782" s="4">
        <v>42573.208333333328</v>
      </c>
      <c r="L782" s="4" t="s">
        <v>53</v>
      </c>
      <c r="M782" s="4" t="s">
        <v>153</v>
      </c>
      <c r="N782" s="4">
        <v>42592.208333333328</v>
      </c>
      <c r="O782" t="b">
        <v>0</v>
      </c>
      <c r="P782" t="b">
        <v>1</v>
      </c>
      <c r="Q782" t="s">
        <v>146</v>
      </c>
      <c r="R782" t="str" cm="1">
        <f t="array" ref="R782:S782">_xlfn.TEXTSPLIT(Q782, "/", , FALSE)</f>
        <v>film &amp; video</v>
      </c>
      <c r="S782" t="str">
        <v>drama</v>
      </c>
    </row>
    <row r="783" spans="1:19" ht="17" x14ac:dyDescent="0.2">
      <c r="A783">
        <v>781</v>
      </c>
      <c r="B783" t="s">
        <v>1693</v>
      </c>
      <c r="C783" s="3" t="s">
        <v>1694</v>
      </c>
      <c r="D783">
        <v>8700</v>
      </c>
      <c r="E783">
        <v>4414</v>
      </c>
      <c r="F783" s="5">
        <f t="shared" si="12"/>
        <v>0.50735632183908042</v>
      </c>
      <c r="G783" t="s">
        <v>5</v>
      </c>
      <c r="H783">
        <v>56</v>
      </c>
      <c r="I783" t="s">
        <v>193</v>
      </c>
      <c r="J783" t="s">
        <v>194</v>
      </c>
      <c r="K783" s="4">
        <v>40482.208333333336</v>
      </c>
      <c r="L783" s="4" t="s">
        <v>56</v>
      </c>
      <c r="M783" s="4" t="s">
        <v>140</v>
      </c>
      <c r="N783" s="4">
        <v>40533.25</v>
      </c>
      <c r="O783" t="b">
        <v>0</v>
      </c>
      <c r="P783" t="b">
        <v>0</v>
      </c>
      <c r="Q783" t="s">
        <v>124</v>
      </c>
      <c r="R783" t="str" cm="1">
        <f t="array" ref="R783:S783">_xlfn.TEXTSPLIT(Q783, "/", , FALSE)</f>
        <v>theater</v>
      </c>
      <c r="S783" t="str">
        <v>plays</v>
      </c>
    </row>
    <row r="784" spans="1:19" ht="17" x14ac:dyDescent="0.2">
      <c r="A784">
        <v>782</v>
      </c>
      <c r="B784" t="s">
        <v>1695</v>
      </c>
      <c r="C784" s="3" t="s">
        <v>1696</v>
      </c>
      <c r="D784">
        <v>5100</v>
      </c>
      <c r="E784">
        <v>10981</v>
      </c>
      <c r="F784" s="5">
        <f t="shared" si="12"/>
        <v>2.153137254901961</v>
      </c>
      <c r="G784" t="s">
        <v>8</v>
      </c>
      <c r="H784">
        <v>161</v>
      </c>
      <c r="I784" t="s">
        <v>109</v>
      </c>
      <c r="J784" t="s">
        <v>110</v>
      </c>
      <c r="K784" s="4">
        <v>40603.25</v>
      </c>
      <c r="L784" s="4" t="s">
        <v>49</v>
      </c>
      <c r="M784" s="4" t="s">
        <v>165</v>
      </c>
      <c r="N784" s="4">
        <v>40631.208333333336</v>
      </c>
      <c r="O784" t="b">
        <v>0</v>
      </c>
      <c r="P784" t="b">
        <v>1</v>
      </c>
      <c r="Q784" t="s">
        <v>166</v>
      </c>
      <c r="R784" t="str" cm="1">
        <f t="array" ref="R784:S784">_xlfn.TEXTSPLIT(Q784, "/", , FALSE)</f>
        <v>film &amp; video</v>
      </c>
      <c r="S784" t="str">
        <v>animation</v>
      </c>
    </row>
    <row r="785" spans="1:19" ht="17" x14ac:dyDescent="0.2">
      <c r="A785">
        <v>783</v>
      </c>
      <c r="B785" t="s">
        <v>1697</v>
      </c>
      <c r="C785" s="3" t="s">
        <v>1698</v>
      </c>
      <c r="D785">
        <v>7400</v>
      </c>
      <c r="E785">
        <v>10451</v>
      </c>
      <c r="F785" s="5">
        <f t="shared" si="12"/>
        <v>1.4122972972972974</v>
      </c>
      <c r="G785" t="s">
        <v>8</v>
      </c>
      <c r="H785">
        <v>138</v>
      </c>
      <c r="I785" t="s">
        <v>109</v>
      </c>
      <c r="J785" t="s">
        <v>110</v>
      </c>
      <c r="K785" s="4">
        <v>41625.25</v>
      </c>
      <c r="L785" s="4" t="s">
        <v>58</v>
      </c>
      <c r="M785" s="4" t="s">
        <v>117</v>
      </c>
      <c r="N785" s="4">
        <v>41632.25</v>
      </c>
      <c r="O785" t="b">
        <v>0</v>
      </c>
      <c r="P785" t="b">
        <v>0</v>
      </c>
      <c r="Q785" t="s">
        <v>112</v>
      </c>
      <c r="R785" t="str" cm="1">
        <f t="array" ref="R785:S785">_xlfn.TEXTSPLIT(Q785, "/", , FALSE)</f>
        <v>music</v>
      </c>
      <c r="S785" t="str">
        <v>rock</v>
      </c>
    </row>
    <row r="786" spans="1:19" ht="17" x14ac:dyDescent="0.2">
      <c r="A786">
        <v>784</v>
      </c>
      <c r="B786" t="s">
        <v>1699</v>
      </c>
      <c r="C786" s="3" t="s">
        <v>1700</v>
      </c>
      <c r="D786">
        <v>88900</v>
      </c>
      <c r="E786">
        <v>102535</v>
      </c>
      <c r="F786" s="5">
        <f t="shared" si="12"/>
        <v>1.1533745781777278</v>
      </c>
      <c r="G786" t="s">
        <v>8</v>
      </c>
      <c r="H786">
        <v>3308</v>
      </c>
      <c r="I786" t="s">
        <v>109</v>
      </c>
      <c r="J786" t="s">
        <v>110</v>
      </c>
      <c r="K786" s="4">
        <v>42435.25</v>
      </c>
      <c r="L786" s="4" t="s">
        <v>49</v>
      </c>
      <c r="M786" s="4" t="s">
        <v>153</v>
      </c>
      <c r="N786" s="4">
        <v>42446.208333333328</v>
      </c>
      <c r="O786" t="b">
        <v>0</v>
      </c>
      <c r="P786" t="b">
        <v>0</v>
      </c>
      <c r="Q786" t="s">
        <v>118</v>
      </c>
      <c r="R786" t="str" cm="1">
        <f t="array" ref="R786:S786">_xlfn.TEXTSPLIT(Q786, "/", , FALSE)</f>
        <v>technology</v>
      </c>
      <c r="S786" t="str">
        <v>web</v>
      </c>
    </row>
    <row r="787" spans="1:19" ht="34" x14ac:dyDescent="0.2">
      <c r="A787">
        <v>785</v>
      </c>
      <c r="B787" t="s">
        <v>1701</v>
      </c>
      <c r="C787" s="3" t="s">
        <v>1702</v>
      </c>
      <c r="D787">
        <v>6700</v>
      </c>
      <c r="E787">
        <v>12939</v>
      </c>
      <c r="F787" s="5">
        <f t="shared" si="12"/>
        <v>1.9311940298507462</v>
      </c>
      <c r="G787" t="s">
        <v>8</v>
      </c>
      <c r="H787">
        <v>127</v>
      </c>
      <c r="I787" t="s">
        <v>115</v>
      </c>
      <c r="J787" t="s">
        <v>116</v>
      </c>
      <c r="K787" s="4">
        <v>43582.208333333328</v>
      </c>
      <c r="L787" s="4" t="s">
        <v>50</v>
      </c>
      <c r="M787" s="4" t="s">
        <v>121</v>
      </c>
      <c r="N787" s="4">
        <v>43616.208333333328</v>
      </c>
      <c r="O787" t="b">
        <v>0</v>
      </c>
      <c r="P787" t="b">
        <v>1</v>
      </c>
      <c r="Q787" t="s">
        <v>166</v>
      </c>
      <c r="R787" t="str" cm="1">
        <f t="array" ref="R787:S787">_xlfn.TEXTSPLIT(Q787, "/", , FALSE)</f>
        <v>film &amp; video</v>
      </c>
      <c r="S787" t="str">
        <v>animation</v>
      </c>
    </row>
    <row r="788" spans="1:19" ht="17" x14ac:dyDescent="0.2">
      <c r="A788">
        <v>786</v>
      </c>
      <c r="B788" t="s">
        <v>1703</v>
      </c>
      <c r="C788" s="3" t="s">
        <v>1704</v>
      </c>
      <c r="D788">
        <v>1500</v>
      </c>
      <c r="E788">
        <v>10946</v>
      </c>
      <c r="F788" s="5">
        <f t="shared" si="12"/>
        <v>7.2973333333333334</v>
      </c>
      <c r="G788" t="s">
        <v>8</v>
      </c>
      <c r="H788">
        <v>207</v>
      </c>
      <c r="I788" t="s">
        <v>202</v>
      </c>
      <c r="J788" t="s">
        <v>203</v>
      </c>
      <c r="K788" s="4">
        <v>43186.208333333328</v>
      </c>
      <c r="L788" s="4" t="s">
        <v>49</v>
      </c>
      <c r="M788" s="4" t="s">
        <v>169</v>
      </c>
      <c r="N788" s="4">
        <v>43193.208333333328</v>
      </c>
      <c r="O788" t="b">
        <v>0</v>
      </c>
      <c r="P788" t="b">
        <v>1</v>
      </c>
      <c r="Q788" t="s">
        <v>254</v>
      </c>
      <c r="R788" t="str" cm="1">
        <f t="array" ref="R788:S788">_xlfn.TEXTSPLIT(Q788, "/", , FALSE)</f>
        <v>music</v>
      </c>
      <c r="S788" t="str">
        <v>jazz</v>
      </c>
    </row>
    <row r="789" spans="1:19" ht="17" x14ac:dyDescent="0.2">
      <c r="A789">
        <v>787</v>
      </c>
      <c r="B789" t="s">
        <v>1705</v>
      </c>
      <c r="C789" s="3" t="s">
        <v>1706</v>
      </c>
      <c r="D789">
        <v>61200</v>
      </c>
      <c r="E789">
        <v>60994</v>
      </c>
      <c r="F789" s="5">
        <f t="shared" si="12"/>
        <v>0.99663398692810456</v>
      </c>
      <c r="G789" t="s">
        <v>6</v>
      </c>
      <c r="H789">
        <v>859</v>
      </c>
      <c r="I789" t="s">
        <v>103</v>
      </c>
      <c r="J789" t="s">
        <v>104</v>
      </c>
      <c r="K789" s="4">
        <v>40684.208333333336</v>
      </c>
      <c r="L789" s="4" t="s">
        <v>51</v>
      </c>
      <c r="M789" s="4" t="s">
        <v>165</v>
      </c>
      <c r="N789" s="4">
        <v>40693.208333333336</v>
      </c>
      <c r="O789" t="b">
        <v>0</v>
      </c>
      <c r="P789" t="b">
        <v>0</v>
      </c>
      <c r="Q789" t="s">
        <v>112</v>
      </c>
      <c r="R789" t="str" cm="1">
        <f t="array" ref="R789:S789">_xlfn.TEXTSPLIT(Q789, "/", , FALSE)</f>
        <v>music</v>
      </c>
      <c r="S789" t="str">
        <v>rock</v>
      </c>
    </row>
    <row r="790" spans="1:19" ht="17" x14ac:dyDescent="0.2">
      <c r="A790">
        <v>788</v>
      </c>
      <c r="B790" t="s">
        <v>1707</v>
      </c>
      <c r="C790" s="3" t="s">
        <v>1708</v>
      </c>
      <c r="D790">
        <v>3600</v>
      </c>
      <c r="E790">
        <v>3174</v>
      </c>
      <c r="F790" s="5">
        <f t="shared" si="12"/>
        <v>0.88166666666666671</v>
      </c>
      <c r="G790" t="s">
        <v>7</v>
      </c>
      <c r="H790">
        <v>31</v>
      </c>
      <c r="I790" t="s">
        <v>109</v>
      </c>
      <c r="J790" t="s">
        <v>110</v>
      </c>
      <c r="K790" s="4">
        <v>41202.208333333336</v>
      </c>
      <c r="L790" s="4" t="s">
        <v>56</v>
      </c>
      <c r="M790" s="4" t="s">
        <v>129</v>
      </c>
      <c r="N790" s="4">
        <v>41223.25</v>
      </c>
      <c r="O790" t="b">
        <v>0</v>
      </c>
      <c r="P790" t="b">
        <v>0</v>
      </c>
      <c r="Q790" t="s">
        <v>166</v>
      </c>
      <c r="R790" t="str" cm="1">
        <f t="array" ref="R790:S790">_xlfn.TEXTSPLIT(Q790, "/", , FALSE)</f>
        <v>film &amp; video</v>
      </c>
      <c r="S790" t="str">
        <v>animation</v>
      </c>
    </row>
    <row r="791" spans="1:19" ht="17" x14ac:dyDescent="0.2">
      <c r="A791">
        <v>789</v>
      </c>
      <c r="B791" t="s">
        <v>1709</v>
      </c>
      <c r="C791" s="3" t="s">
        <v>1710</v>
      </c>
      <c r="D791">
        <v>9000</v>
      </c>
      <c r="E791">
        <v>3351</v>
      </c>
      <c r="F791" s="5">
        <f t="shared" si="12"/>
        <v>0.37233333333333335</v>
      </c>
      <c r="G791" t="s">
        <v>6</v>
      </c>
      <c r="H791">
        <v>45</v>
      </c>
      <c r="I791" t="s">
        <v>109</v>
      </c>
      <c r="J791" t="s">
        <v>110</v>
      </c>
      <c r="K791" s="4">
        <v>41786.208333333336</v>
      </c>
      <c r="L791" s="4" t="s">
        <v>51</v>
      </c>
      <c r="M791" s="4" t="s">
        <v>111</v>
      </c>
      <c r="N791" s="4">
        <v>41823.208333333336</v>
      </c>
      <c r="O791" t="b">
        <v>0</v>
      </c>
      <c r="P791" t="b">
        <v>0</v>
      </c>
      <c r="Q791" t="s">
        <v>124</v>
      </c>
      <c r="R791" t="str" cm="1">
        <f t="array" ref="R791:S791">_xlfn.TEXTSPLIT(Q791, "/", , FALSE)</f>
        <v>theater</v>
      </c>
      <c r="S791" t="str">
        <v>plays</v>
      </c>
    </row>
    <row r="792" spans="1:19" ht="17" x14ac:dyDescent="0.2">
      <c r="A792">
        <v>790</v>
      </c>
      <c r="B792" t="s">
        <v>1711</v>
      </c>
      <c r="C792" s="3" t="s">
        <v>1712</v>
      </c>
      <c r="D792">
        <v>185900</v>
      </c>
      <c r="E792">
        <v>56774</v>
      </c>
      <c r="F792" s="5">
        <f t="shared" si="12"/>
        <v>0.30540075309306081</v>
      </c>
      <c r="G792" t="s">
        <v>5</v>
      </c>
      <c r="H792">
        <v>1113</v>
      </c>
      <c r="I792" t="s">
        <v>109</v>
      </c>
      <c r="J792" t="s">
        <v>110</v>
      </c>
      <c r="K792" s="4">
        <v>40223.25</v>
      </c>
      <c r="L792" s="4" t="s">
        <v>48</v>
      </c>
      <c r="M792" s="4" t="s">
        <v>140</v>
      </c>
      <c r="N792" s="4">
        <v>40229.25</v>
      </c>
      <c r="O792" t="b">
        <v>0</v>
      </c>
      <c r="P792" t="b">
        <v>0</v>
      </c>
      <c r="Q792" t="s">
        <v>124</v>
      </c>
      <c r="R792" t="str" cm="1">
        <f t="array" ref="R792:S792">_xlfn.TEXTSPLIT(Q792, "/", , FALSE)</f>
        <v>theater</v>
      </c>
      <c r="S792" t="str">
        <v>plays</v>
      </c>
    </row>
    <row r="793" spans="1:19" ht="17" x14ac:dyDescent="0.2">
      <c r="A793">
        <v>791</v>
      </c>
      <c r="B793" t="s">
        <v>1713</v>
      </c>
      <c r="C793" s="3" t="s">
        <v>1714</v>
      </c>
      <c r="D793">
        <v>2100</v>
      </c>
      <c r="E793">
        <v>540</v>
      </c>
      <c r="F793" s="5">
        <f t="shared" si="12"/>
        <v>0.25714285714285712</v>
      </c>
      <c r="G793" t="s">
        <v>6</v>
      </c>
      <c r="H793">
        <v>6</v>
      </c>
      <c r="I793" t="s">
        <v>109</v>
      </c>
      <c r="J793" t="s">
        <v>110</v>
      </c>
      <c r="K793" s="4">
        <v>42715.25</v>
      </c>
      <c r="L793" s="4" t="s">
        <v>58</v>
      </c>
      <c r="M793" s="4" t="s">
        <v>153</v>
      </c>
      <c r="N793" s="4">
        <v>42731.25</v>
      </c>
      <c r="O793" t="b">
        <v>0</v>
      </c>
      <c r="P793" t="b">
        <v>0</v>
      </c>
      <c r="Q793" t="s">
        <v>106</v>
      </c>
      <c r="R793" t="str" cm="1">
        <f t="array" ref="R793:S793">_xlfn.TEXTSPLIT(Q793, "/", , FALSE)</f>
        <v>food</v>
      </c>
      <c r="S793" t="str">
        <v>food trucks</v>
      </c>
    </row>
    <row r="794" spans="1:19" ht="17" x14ac:dyDescent="0.2">
      <c r="A794">
        <v>792</v>
      </c>
      <c r="B794" t="s">
        <v>1715</v>
      </c>
      <c r="C794" s="3" t="s">
        <v>1716</v>
      </c>
      <c r="D794">
        <v>2000</v>
      </c>
      <c r="E794">
        <v>680</v>
      </c>
      <c r="F794" s="5">
        <f t="shared" si="12"/>
        <v>0.34</v>
      </c>
      <c r="G794" t="s">
        <v>6</v>
      </c>
      <c r="H794">
        <v>7</v>
      </c>
      <c r="I794" t="s">
        <v>109</v>
      </c>
      <c r="J794" t="s">
        <v>110</v>
      </c>
      <c r="K794" s="4">
        <v>41451.208333333336</v>
      </c>
      <c r="L794" s="4" t="s">
        <v>52</v>
      </c>
      <c r="M794" s="4" t="s">
        <v>117</v>
      </c>
      <c r="N794" s="4">
        <v>41479.208333333336</v>
      </c>
      <c r="O794" t="b">
        <v>0</v>
      </c>
      <c r="P794" t="b">
        <v>1</v>
      </c>
      <c r="Q794" t="s">
        <v>124</v>
      </c>
      <c r="R794" t="str" cm="1">
        <f t="array" ref="R794:S794">_xlfn.TEXTSPLIT(Q794, "/", , FALSE)</f>
        <v>theater</v>
      </c>
      <c r="S794" t="str">
        <v>plays</v>
      </c>
    </row>
    <row r="795" spans="1:19" ht="17" x14ac:dyDescent="0.2">
      <c r="A795">
        <v>793</v>
      </c>
      <c r="B795" t="s">
        <v>1717</v>
      </c>
      <c r="C795" s="3" t="s">
        <v>1718</v>
      </c>
      <c r="D795">
        <v>1100</v>
      </c>
      <c r="E795">
        <v>13045</v>
      </c>
      <c r="F795" s="5">
        <f t="shared" si="12"/>
        <v>11.859090909090909</v>
      </c>
      <c r="G795" t="s">
        <v>8</v>
      </c>
      <c r="H795">
        <v>181</v>
      </c>
      <c r="I795" t="s">
        <v>193</v>
      </c>
      <c r="J795" t="s">
        <v>194</v>
      </c>
      <c r="K795" s="4">
        <v>41450.208333333336</v>
      </c>
      <c r="L795" s="4" t="s">
        <v>52</v>
      </c>
      <c r="M795" s="4" t="s">
        <v>117</v>
      </c>
      <c r="N795" s="4">
        <v>41454.208333333336</v>
      </c>
      <c r="O795" t="b">
        <v>0</v>
      </c>
      <c r="P795" t="b">
        <v>0</v>
      </c>
      <c r="Q795" t="s">
        <v>162</v>
      </c>
      <c r="R795" t="str" cm="1">
        <f t="array" ref="R795:S795">_xlfn.TEXTSPLIT(Q795, "/", , FALSE)</f>
        <v>publishing</v>
      </c>
      <c r="S795" t="str">
        <v>nonfiction</v>
      </c>
    </row>
    <row r="796" spans="1:19" ht="17" x14ac:dyDescent="0.2">
      <c r="A796">
        <v>794</v>
      </c>
      <c r="B796" t="s">
        <v>1719</v>
      </c>
      <c r="C796" s="3" t="s">
        <v>1720</v>
      </c>
      <c r="D796">
        <v>6600</v>
      </c>
      <c r="E796">
        <v>8276</v>
      </c>
      <c r="F796" s="5">
        <f t="shared" si="12"/>
        <v>1.2539393939393939</v>
      </c>
      <c r="G796" t="s">
        <v>8</v>
      </c>
      <c r="H796">
        <v>110</v>
      </c>
      <c r="I796" t="s">
        <v>109</v>
      </c>
      <c r="J796" t="s">
        <v>110</v>
      </c>
      <c r="K796" s="4">
        <v>43091.25</v>
      </c>
      <c r="L796" s="4" t="s">
        <v>58</v>
      </c>
      <c r="M796" s="4" t="s">
        <v>134</v>
      </c>
      <c r="N796" s="4">
        <v>43103.25</v>
      </c>
      <c r="O796" t="b">
        <v>0</v>
      </c>
      <c r="P796" t="b">
        <v>0</v>
      </c>
      <c r="Q796" t="s">
        <v>112</v>
      </c>
      <c r="R796" t="str" cm="1">
        <f t="array" ref="R796:S796">_xlfn.TEXTSPLIT(Q796, "/", , FALSE)</f>
        <v>music</v>
      </c>
      <c r="S796" t="str">
        <v>rock</v>
      </c>
    </row>
    <row r="797" spans="1:19" ht="34" x14ac:dyDescent="0.2">
      <c r="A797">
        <v>795</v>
      </c>
      <c r="B797" t="s">
        <v>1721</v>
      </c>
      <c r="C797" s="3" t="s">
        <v>1722</v>
      </c>
      <c r="D797">
        <v>7100</v>
      </c>
      <c r="E797">
        <v>1022</v>
      </c>
      <c r="F797" s="5">
        <f t="shared" si="12"/>
        <v>0.14394366197183098</v>
      </c>
      <c r="G797" t="s">
        <v>6</v>
      </c>
      <c r="H797">
        <v>31</v>
      </c>
      <c r="I797" t="s">
        <v>109</v>
      </c>
      <c r="J797" t="s">
        <v>110</v>
      </c>
      <c r="K797" s="4">
        <v>42675.208333333328</v>
      </c>
      <c r="L797" s="4" t="s">
        <v>57</v>
      </c>
      <c r="M797" s="4" t="s">
        <v>153</v>
      </c>
      <c r="N797" s="4">
        <v>42678.208333333328</v>
      </c>
      <c r="O797" t="b">
        <v>0</v>
      </c>
      <c r="P797" t="b">
        <v>0</v>
      </c>
      <c r="Q797" t="s">
        <v>146</v>
      </c>
      <c r="R797" t="str" cm="1">
        <f t="array" ref="R797:S797">_xlfn.TEXTSPLIT(Q797, "/", , FALSE)</f>
        <v>film &amp; video</v>
      </c>
      <c r="S797" t="str">
        <v>drama</v>
      </c>
    </row>
    <row r="798" spans="1:19" ht="17" x14ac:dyDescent="0.2">
      <c r="A798">
        <v>796</v>
      </c>
      <c r="B798" t="s">
        <v>1723</v>
      </c>
      <c r="C798" s="3" t="s">
        <v>1724</v>
      </c>
      <c r="D798">
        <v>7800</v>
      </c>
      <c r="E798">
        <v>4275</v>
      </c>
      <c r="F798" s="5">
        <f t="shared" si="12"/>
        <v>0.54807692307692313</v>
      </c>
      <c r="G798" t="s">
        <v>6</v>
      </c>
      <c r="H798">
        <v>78</v>
      </c>
      <c r="I798" t="s">
        <v>109</v>
      </c>
      <c r="J798" t="s">
        <v>110</v>
      </c>
      <c r="K798" s="4">
        <v>41859.208333333336</v>
      </c>
      <c r="L798" s="4" t="s">
        <v>54</v>
      </c>
      <c r="M798" s="4" t="s">
        <v>111</v>
      </c>
      <c r="N798" s="4">
        <v>41866.208333333336</v>
      </c>
      <c r="O798" t="b">
        <v>0</v>
      </c>
      <c r="P798" t="b">
        <v>1</v>
      </c>
      <c r="Q798" t="s">
        <v>387</v>
      </c>
      <c r="R798" t="str" cm="1">
        <f t="array" ref="R798:S798">_xlfn.TEXTSPLIT(Q798, "/", , FALSE)</f>
        <v>games</v>
      </c>
      <c r="S798" t="str">
        <v>mobile games</v>
      </c>
    </row>
    <row r="799" spans="1:19" ht="17" x14ac:dyDescent="0.2">
      <c r="A799">
        <v>797</v>
      </c>
      <c r="B799" t="s">
        <v>1725</v>
      </c>
      <c r="C799" s="3" t="s">
        <v>1726</v>
      </c>
      <c r="D799">
        <v>7600</v>
      </c>
      <c r="E799">
        <v>8332</v>
      </c>
      <c r="F799" s="5">
        <f t="shared" si="12"/>
        <v>1.0963157894736841</v>
      </c>
      <c r="G799" t="s">
        <v>8</v>
      </c>
      <c r="H799">
        <v>185</v>
      </c>
      <c r="I799" t="s">
        <v>109</v>
      </c>
      <c r="J799" t="s">
        <v>110</v>
      </c>
      <c r="K799" s="4">
        <v>43464.25</v>
      </c>
      <c r="L799" s="4" t="s">
        <v>58</v>
      </c>
      <c r="M799" s="4" t="s">
        <v>169</v>
      </c>
      <c r="N799" s="4">
        <v>43487.25</v>
      </c>
      <c r="O799" t="b">
        <v>0</v>
      </c>
      <c r="P799" t="b">
        <v>0</v>
      </c>
      <c r="Q799" t="s">
        <v>118</v>
      </c>
      <c r="R799" t="str" cm="1">
        <f t="array" ref="R799:S799">_xlfn.TEXTSPLIT(Q799, "/", , FALSE)</f>
        <v>technology</v>
      </c>
      <c r="S799" t="str">
        <v>web</v>
      </c>
    </row>
    <row r="800" spans="1:19" ht="17" x14ac:dyDescent="0.2">
      <c r="A800">
        <v>798</v>
      </c>
      <c r="B800" t="s">
        <v>1727</v>
      </c>
      <c r="C800" s="3" t="s">
        <v>1728</v>
      </c>
      <c r="D800">
        <v>3400</v>
      </c>
      <c r="E800">
        <v>6408</v>
      </c>
      <c r="F800" s="5">
        <f t="shared" si="12"/>
        <v>1.8847058823529412</v>
      </c>
      <c r="G800" t="s">
        <v>8</v>
      </c>
      <c r="H800">
        <v>121</v>
      </c>
      <c r="I800" t="s">
        <v>109</v>
      </c>
      <c r="J800" t="s">
        <v>110</v>
      </c>
      <c r="K800" s="4">
        <v>41060.208333333336</v>
      </c>
      <c r="L800" s="4" t="s">
        <v>51</v>
      </c>
      <c r="M800" s="4" t="s">
        <v>129</v>
      </c>
      <c r="N800" s="4">
        <v>41088.208333333336</v>
      </c>
      <c r="O800" t="b">
        <v>0</v>
      </c>
      <c r="P800" t="b">
        <v>1</v>
      </c>
      <c r="Q800" t="s">
        <v>124</v>
      </c>
      <c r="R800" t="str" cm="1">
        <f t="array" ref="R800:S800">_xlfn.TEXTSPLIT(Q800, "/", , FALSE)</f>
        <v>theater</v>
      </c>
      <c r="S800" t="str">
        <v>plays</v>
      </c>
    </row>
    <row r="801" spans="1:19" ht="17" x14ac:dyDescent="0.2">
      <c r="A801">
        <v>799</v>
      </c>
      <c r="B801" t="s">
        <v>1729</v>
      </c>
      <c r="C801" s="3" t="s">
        <v>1730</v>
      </c>
      <c r="D801">
        <v>84500</v>
      </c>
      <c r="E801">
        <v>73522</v>
      </c>
      <c r="F801" s="5">
        <f t="shared" si="12"/>
        <v>0.87008284023668636</v>
      </c>
      <c r="G801" t="s">
        <v>6</v>
      </c>
      <c r="H801">
        <v>1225</v>
      </c>
      <c r="I801" t="s">
        <v>132</v>
      </c>
      <c r="J801" t="s">
        <v>133</v>
      </c>
      <c r="K801" s="4">
        <v>42399.25</v>
      </c>
      <c r="L801" s="4" t="s">
        <v>47</v>
      </c>
      <c r="M801" s="4" t="s">
        <v>153</v>
      </c>
      <c r="N801" s="4">
        <v>42403.25</v>
      </c>
      <c r="O801" t="b">
        <v>0</v>
      </c>
      <c r="P801" t="b">
        <v>0</v>
      </c>
      <c r="Q801" t="s">
        <v>124</v>
      </c>
      <c r="R801" t="str" cm="1">
        <f t="array" ref="R801:S801">_xlfn.TEXTSPLIT(Q801, "/", , FALSE)</f>
        <v>theater</v>
      </c>
      <c r="S801" t="str">
        <v>plays</v>
      </c>
    </row>
    <row r="802" spans="1:19" ht="17" x14ac:dyDescent="0.2">
      <c r="A802">
        <v>800</v>
      </c>
      <c r="B802" t="s">
        <v>1731</v>
      </c>
      <c r="C802" s="3" t="s">
        <v>1732</v>
      </c>
      <c r="D802">
        <v>100</v>
      </c>
      <c r="E802">
        <v>1</v>
      </c>
      <c r="F802" s="5">
        <f t="shared" si="12"/>
        <v>0.01</v>
      </c>
      <c r="G802" t="s">
        <v>6</v>
      </c>
      <c r="H802">
        <v>1</v>
      </c>
      <c r="I802" t="s">
        <v>193</v>
      </c>
      <c r="J802" t="s">
        <v>194</v>
      </c>
      <c r="K802" s="4">
        <v>42167.208333333328</v>
      </c>
      <c r="L802" s="4" t="s">
        <v>52</v>
      </c>
      <c r="M802" s="4" t="s">
        <v>105</v>
      </c>
      <c r="N802" s="4">
        <v>42171.208333333328</v>
      </c>
      <c r="O802" t="b">
        <v>0</v>
      </c>
      <c r="P802" t="b">
        <v>0</v>
      </c>
      <c r="Q802" t="s">
        <v>112</v>
      </c>
      <c r="R802" t="str" cm="1">
        <f t="array" ref="R802:S802">_xlfn.TEXTSPLIT(Q802, "/", , FALSE)</f>
        <v>music</v>
      </c>
      <c r="S802" t="str">
        <v>rock</v>
      </c>
    </row>
    <row r="803" spans="1:19" ht="17" x14ac:dyDescent="0.2">
      <c r="A803">
        <v>801</v>
      </c>
      <c r="B803" t="s">
        <v>1733</v>
      </c>
      <c r="C803" s="3" t="s">
        <v>1734</v>
      </c>
      <c r="D803">
        <v>2300</v>
      </c>
      <c r="E803">
        <v>4667</v>
      </c>
      <c r="F803" s="5">
        <f t="shared" si="12"/>
        <v>2.0291304347826089</v>
      </c>
      <c r="G803" t="s">
        <v>8</v>
      </c>
      <c r="H803">
        <v>106</v>
      </c>
      <c r="I803" t="s">
        <v>109</v>
      </c>
      <c r="J803" t="s">
        <v>110</v>
      </c>
      <c r="K803" s="4">
        <v>43830.25</v>
      </c>
      <c r="L803" s="4" t="s">
        <v>58</v>
      </c>
      <c r="M803" s="4" t="s">
        <v>121</v>
      </c>
      <c r="N803" s="4">
        <v>43852.25</v>
      </c>
      <c r="O803" t="b">
        <v>0</v>
      </c>
      <c r="P803" t="b">
        <v>1</v>
      </c>
      <c r="Q803" t="s">
        <v>217</v>
      </c>
      <c r="R803" t="str" cm="1">
        <f t="array" ref="R803:S803">_xlfn.TEXTSPLIT(Q803, "/", , FALSE)</f>
        <v>photography</v>
      </c>
      <c r="S803" t="str">
        <v>photography books</v>
      </c>
    </row>
    <row r="804" spans="1:19" ht="34" x14ac:dyDescent="0.2">
      <c r="A804">
        <v>802</v>
      </c>
      <c r="B804" t="s">
        <v>1735</v>
      </c>
      <c r="C804" s="3" t="s">
        <v>1736</v>
      </c>
      <c r="D804">
        <v>6200</v>
      </c>
      <c r="E804">
        <v>12216</v>
      </c>
      <c r="F804" s="5">
        <f t="shared" si="12"/>
        <v>1.9703225806451612</v>
      </c>
      <c r="G804" t="s">
        <v>8</v>
      </c>
      <c r="H804">
        <v>142</v>
      </c>
      <c r="I804" t="s">
        <v>109</v>
      </c>
      <c r="J804" t="s">
        <v>110</v>
      </c>
      <c r="K804" s="4">
        <v>43650.208333333328</v>
      </c>
      <c r="L804" s="4" t="s">
        <v>53</v>
      </c>
      <c r="M804" s="4" t="s">
        <v>121</v>
      </c>
      <c r="N804" s="4">
        <v>43652.208333333328</v>
      </c>
      <c r="O804" t="b">
        <v>0</v>
      </c>
      <c r="P804" t="b">
        <v>0</v>
      </c>
      <c r="Q804" t="s">
        <v>217</v>
      </c>
      <c r="R804" t="str" cm="1">
        <f t="array" ref="R804:S804">_xlfn.TEXTSPLIT(Q804, "/", , FALSE)</f>
        <v>photography</v>
      </c>
      <c r="S804" t="str">
        <v>photography books</v>
      </c>
    </row>
    <row r="805" spans="1:19" ht="34" x14ac:dyDescent="0.2">
      <c r="A805">
        <v>803</v>
      </c>
      <c r="B805" t="s">
        <v>1737</v>
      </c>
      <c r="C805" s="3" t="s">
        <v>1738</v>
      </c>
      <c r="D805">
        <v>6100</v>
      </c>
      <c r="E805">
        <v>6527</v>
      </c>
      <c r="F805" s="5">
        <f t="shared" si="12"/>
        <v>1.07</v>
      </c>
      <c r="G805" t="s">
        <v>8</v>
      </c>
      <c r="H805">
        <v>233</v>
      </c>
      <c r="I805" t="s">
        <v>109</v>
      </c>
      <c r="J805" t="s">
        <v>110</v>
      </c>
      <c r="K805" s="4">
        <v>43492.25</v>
      </c>
      <c r="L805" s="4" t="s">
        <v>47</v>
      </c>
      <c r="M805" s="4" t="s">
        <v>121</v>
      </c>
      <c r="N805" s="4">
        <v>43526.25</v>
      </c>
      <c r="O805" t="b">
        <v>0</v>
      </c>
      <c r="P805" t="b">
        <v>0</v>
      </c>
      <c r="Q805" t="s">
        <v>124</v>
      </c>
      <c r="R805" t="str" cm="1">
        <f t="array" ref="R805:S805">_xlfn.TEXTSPLIT(Q805, "/", , FALSE)</f>
        <v>theater</v>
      </c>
      <c r="S805" t="str">
        <v>plays</v>
      </c>
    </row>
    <row r="806" spans="1:19" ht="17" x14ac:dyDescent="0.2">
      <c r="A806">
        <v>804</v>
      </c>
      <c r="B806" t="s">
        <v>1739</v>
      </c>
      <c r="C806" s="3" t="s">
        <v>1740</v>
      </c>
      <c r="D806">
        <v>2600</v>
      </c>
      <c r="E806">
        <v>6987</v>
      </c>
      <c r="F806" s="5">
        <f t="shared" si="12"/>
        <v>2.6873076923076922</v>
      </c>
      <c r="G806" t="s">
        <v>8</v>
      </c>
      <c r="H806">
        <v>218</v>
      </c>
      <c r="I806" t="s">
        <v>109</v>
      </c>
      <c r="J806" t="s">
        <v>110</v>
      </c>
      <c r="K806" s="4">
        <v>43102.25</v>
      </c>
      <c r="L806" s="4" t="s">
        <v>47</v>
      </c>
      <c r="M806" s="4" t="s">
        <v>169</v>
      </c>
      <c r="N806" s="4">
        <v>43122.25</v>
      </c>
      <c r="O806" t="b">
        <v>0</v>
      </c>
      <c r="P806" t="b">
        <v>0</v>
      </c>
      <c r="Q806" t="s">
        <v>112</v>
      </c>
      <c r="R806" t="str" cm="1">
        <f t="array" ref="R806:S806">_xlfn.TEXTSPLIT(Q806, "/", , FALSE)</f>
        <v>music</v>
      </c>
      <c r="S806" t="str">
        <v>rock</v>
      </c>
    </row>
    <row r="807" spans="1:19" ht="34" x14ac:dyDescent="0.2">
      <c r="A807">
        <v>805</v>
      </c>
      <c r="B807" t="s">
        <v>1741</v>
      </c>
      <c r="C807" s="3" t="s">
        <v>1742</v>
      </c>
      <c r="D807">
        <v>9700</v>
      </c>
      <c r="E807">
        <v>4932</v>
      </c>
      <c r="F807" s="5">
        <f t="shared" si="12"/>
        <v>0.50845360824742269</v>
      </c>
      <c r="G807" t="s">
        <v>6</v>
      </c>
      <c r="H807">
        <v>67</v>
      </c>
      <c r="I807" t="s">
        <v>115</v>
      </c>
      <c r="J807" t="s">
        <v>116</v>
      </c>
      <c r="K807" s="4">
        <v>41958.25</v>
      </c>
      <c r="L807" s="4" t="s">
        <v>57</v>
      </c>
      <c r="M807" s="4" t="s">
        <v>111</v>
      </c>
      <c r="N807" s="4">
        <v>42009.25</v>
      </c>
      <c r="O807" t="b">
        <v>0</v>
      </c>
      <c r="P807" t="b">
        <v>0</v>
      </c>
      <c r="Q807" t="s">
        <v>135</v>
      </c>
      <c r="R807" t="str" cm="1">
        <f t="array" ref="R807:S807">_xlfn.TEXTSPLIT(Q807, "/", , FALSE)</f>
        <v>film &amp; video</v>
      </c>
      <c r="S807" t="str">
        <v>documentary</v>
      </c>
    </row>
    <row r="808" spans="1:19" ht="17" x14ac:dyDescent="0.2">
      <c r="A808">
        <v>806</v>
      </c>
      <c r="B808" t="s">
        <v>1743</v>
      </c>
      <c r="C808" s="3" t="s">
        <v>1744</v>
      </c>
      <c r="D808">
        <v>700</v>
      </c>
      <c r="E808">
        <v>8262</v>
      </c>
      <c r="F808" s="5">
        <f t="shared" si="12"/>
        <v>11.802857142857142</v>
      </c>
      <c r="G808" t="s">
        <v>8</v>
      </c>
      <c r="H808">
        <v>76</v>
      </c>
      <c r="I808" t="s">
        <v>109</v>
      </c>
      <c r="J808" t="s">
        <v>110</v>
      </c>
      <c r="K808" s="4">
        <v>40973.25</v>
      </c>
      <c r="L808" s="4" t="s">
        <v>49</v>
      </c>
      <c r="M808" s="4" t="s">
        <v>129</v>
      </c>
      <c r="N808" s="4">
        <v>40997.208333333336</v>
      </c>
      <c r="O808" t="b">
        <v>0</v>
      </c>
      <c r="P808" t="b">
        <v>1</v>
      </c>
      <c r="Q808" t="s">
        <v>146</v>
      </c>
      <c r="R808" t="str" cm="1">
        <f t="array" ref="R808:S808">_xlfn.TEXTSPLIT(Q808, "/", , FALSE)</f>
        <v>film &amp; video</v>
      </c>
      <c r="S808" t="str">
        <v>drama</v>
      </c>
    </row>
    <row r="809" spans="1:19" ht="17" x14ac:dyDescent="0.2">
      <c r="A809">
        <v>807</v>
      </c>
      <c r="B809" t="s">
        <v>1745</v>
      </c>
      <c r="C809" s="3" t="s">
        <v>1746</v>
      </c>
      <c r="D809">
        <v>700</v>
      </c>
      <c r="E809">
        <v>1848</v>
      </c>
      <c r="F809" s="5">
        <f t="shared" si="12"/>
        <v>2.64</v>
      </c>
      <c r="G809" t="s">
        <v>8</v>
      </c>
      <c r="H809">
        <v>43</v>
      </c>
      <c r="I809" t="s">
        <v>109</v>
      </c>
      <c r="J809" t="s">
        <v>110</v>
      </c>
      <c r="K809" s="4">
        <v>43753.208333333328</v>
      </c>
      <c r="L809" s="4" t="s">
        <v>56</v>
      </c>
      <c r="M809" s="4" t="s">
        <v>121</v>
      </c>
      <c r="N809" s="4">
        <v>43797.25</v>
      </c>
      <c r="O809" t="b">
        <v>0</v>
      </c>
      <c r="P809" t="b">
        <v>1</v>
      </c>
      <c r="Q809" t="s">
        <v>124</v>
      </c>
      <c r="R809" t="str" cm="1">
        <f t="array" ref="R809:S809">_xlfn.TEXTSPLIT(Q809, "/", , FALSE)</f>
        <v>theater</v>
      </c>
      <c r="S809" t="str">
        <v>plays</v>
      </c>
    </row>
    <row r="810" spans="1:19" ht="17" x14ac:dyDescent="0.2">
      <c r="A810">
        <v>808</v>
      </c>
      <c r="B810" t="s">
        <v>1747</v>
      </c>
      <c r="C810" s="3" t="s">
        <v>1748</v>
      </c>
      <c r="D810">
        <v>5200</v>
      </c>
      <c r="E810">
        <v>1583</v>
      </c>
      <c r="F810" s="5">
        <f t="shared" si="12"/>
        <v>0.30442307692307691</v>
      </c>
      <c r="G810" t="s">
        <v>6</v>
      </c>
      <c r="H810">
        <v>19</v>
      </c>
      <c r="I810" t="s">
        <v>109</v>
      </c>
      <c r="J810" t="s">
        <v>110</v>
      </c>
      <c r="K810" s="4">
        <v>42507.208333333328</v>
      </c>
      <c r="L810" s="4" t="s">
        <v>51</v>
      </c>
      <c r="M810" s="4" t="s">
        <v>153</v>
      </c>
      <c r="N810" s="4">
        <v>42524.208333333328</v>
      </c>
      <c r="O810" t="b">
        <v>0</v>
      </c>
      <c r="P810" t="b">
        <v>0</v>
      </c>
      <c r="Q810" t="s">
        <v>106</v>
      </c>
      <c r="R810" t="str" cm="1">
        <f t="array" ref="R810:S810">_xlfn.TEXTSPLIT(Q810, "/", , FALSE)</f>
        <v>food</v>
      </c>
      <c r="S810" t="str">
        <v>food trucks</v>
      </c>
    </row>
    <row r="811" spans="1:19" ht="17" x14ac:dyDescent="0.2">
      <c r="A811">
        <v>809</v>
      </c>
      <c r="B811" t="s">
        <v>1695</v>
      </c>
      <c r="C811" s="3" t="s">
        <v>1749</v>
      </c>
      <c r="D811">
        <v>140800</v>
      </c>
      <c r="E811">
        <v>88536</v>
      </c>
      <c r="F811" s="5">
        <f t="shared" si="12"/>
        <v>0.62880681818181816</v>
      </c>
      <c r="G811" t="s">
        <v>6</v>
      </c>
      <c r="H811">
        <v>2108</v>
      </c>
      <c r="I811" t="s">
        <v>193</v>
      </c>
      <c r="J811" t="s">
        <v>194</v>
      </c>
      <c r="K811" s="4">
        <v>41135.208333333336</v>
      </c>
      <c r="L811" s="4" t="s">
        <v>54</v>
      </c>
      <c r="M811" s="4" t="s">
        <v>129</v>
      </c>
      <c r="N811" s="4">
        <v>41136.208333333336</v>
      </c>
      <c r="O811" t="b">
        <v>0</v>
      </c>
      <c r="P811" t="b">
        <v>0</v>
      </c>
      <c r="Q811" t="s">
        <v>135</v>
      </c>
      <c r="R811" t="str" cm="1">
        <f t="array" ref="R811:S811">_xlfn.TEXTSPLIT(Q811, "/", , FALSE)</f>
        <v>film &amp; video</v>
      </c>
      <c r="S811" t="str">
        <v>documentary</v>
      </c>
    </row>
    <row r="812" spans="1:19" ht="34" x14ac:dyDescent="0.2">
      <c r="A812">
        <v>810</v>
      </c>
      <c r="B812" t="s">
        <v>1750</v>
      </c>
      <c r="C812" s="3" t="s">
        <v>1751</v>
      </c>
      <c r="D812">
        <v>6400</v>
      </c>
      <c r="E812">
        <v>12360</v>
      </c>
      <c r="F812" s="5">
        <f t="shared" si="12"/>
        <v>1.9312499999999999</v>
      </c>
      <c r="G812" t="s">
        <v>8</v>
      </c>
      <c r="H812">
        <v>221</v>
      </c>
      <c r="I812" t="s">
        <v>109</v>
      </c>
      <c r="J812" t="s">
        <v>110</v>
      </c>
      <c r="K812" s="4">
        <v>43067.25</v>
      </c>
      <c r="L812" s="4" t="s">
        <v>57</v>
      </c>
      <c r="M812" s="4" t="s">
        <v>134</v>
      </c>
      <c r="N812" s="4">
        <v>43077.25</v>
      </c>
      <c r="O812" t="b">
        <v>0</v>
      </c>
      <c r="P812" t="b">
        <v>1</v>
      </c>
      <c r="Q812" t="s">
        <v>124</v>
      </c>
      <c r="R812" t="str" cm="1">
        <f t="array" ref="R812:S812">_xlfn.TEXTSPLIT(Q812, "/", , FALSE)</f>
        <v>theater</v>
      </c>
      <c r="S812" t="str">
        <v>plays</v>
      </c>
    </row>
    <row r="813" spans="1:19" ht="17" x14ac:dyDescent="0.2">
      <c r="A813">
        <v>811</v>
      </c>
      <c r="B813" t="s">
        <v>1752</v>
      </c>
      <c r="C813" s="3" t="s">
        <v>1753</v>
      </c>
      <c r="D813">
        <v>92500</v>
      </c>
      <c r="E813">
        <v>71320</v>
      </c>
      <c r="F813" s="5">
        <f t="shared" si="12"/>
        <v>0.77102702702702708</v>
      </c>
      <c r="G813" t="s">
        <v>6</v>
      </c>
      <c r="H813">
        <v>679</v>
      </c>
      <c r="I813" t="s">
        <v>109</v>
      </c>
      <c r="J813" t="s">
        <v>110</v>
      </c>
      <c r="K813" s="4">
        <v>42378.25</v>
      </c>
      <c r="L813" s="4" t="s">
        <v>47</v>
      </c>
      <c r="M813" s="4" t="s">
        <v>153</v>
      </c>
      <c r="N813" s="4">
        <v>42380.25</v>
      </c>
      <c r="O813" t="b">
        <v>0</v>
      </c>
      <c r="P813" t="b">
        <v>1</v>
      </c>
      <c r="Q813" t="s">
        <v>184</v>
      </c>
      <c r="R813" t="str" cm="1">
        <f t="array" ref="R813:S813">_xlfn.TEXTSPLIT(Q813, "/", , FALSE)</f>
        <v>games</v>
      </c>
      <c r="S813" t="str">
        <v>video games</v>
      </c>
    </row>
    <row r="814" spans="1:19" ht="17" x14ac:dyDescent="0.2">
      <c r="A814">
        <v>812</v>
      </c>
      <c r="B814" t="s">
        <v>1754</v>
      </c>
      <c r="C814" s="3" t="s">
        <v>1755</v>
      </c>
      <c r="D814">
        <v>59700</v>
      </c>
      <c r="E814">
        <v>134640</v>
      </c>
      <c r="F814" s="5">
        <f t="shared" si="12"/>
        <v>2.2552763819095478</v>
      </c>
      <c r="G814" t="s">
        <v>8</v>
      </c>
      <c r="H814">
        <v>2805</v>
      </c>
      <c r="I814" t="s">
        <v>103</v>
      </c>
      <c r="J814" t="s">
        <v>104</v>
      </c>
      <c r="K814" s="4">
        <v>43206.208333333328</v>
      </c>
      <c r="L814" s="4" t="s">
        <v>50</v>
      </c>
      <c r="M814" s="4" t="s">
        <v>169</v>
      </c>
      <c r="N814" s="4">
        <v>43211.208333333328</v>
      </c>
      <c r="O814" t="b">
        <v>0</v>
      </c>
      <c r="P814" t="b">
        <v>0</v>
      </c>
      <c r="Q814" t="s">
        <v>162</v>
      </c>
      <c r="R814" t="str" cm="1">
        <f t="array" ref="R814:S814">_xlfn.TEXTSPLIT(Q814, "/", , FALSE)</f>
        <v>publishing</v>
      </c>
      <c r="S814" t="str">
        <v>nonfiction</v>
      </c>
    </row>
    <row r="815" spans="1:19" ht="17" x14ac:dyDescent="0.2">
      <c r="A815">
        <v>813</v>
      </c>
      <c r="B815" t="s">
        <v>1756</v>
      </c>
      <c r="C815" s="3" t="s">
        <v>1757</v>
      </c>
      <c r="D815">
        <v>3200</v>
      </c>
      <c r="E815">
        <v>7661</v>
      </c>
      <c r="F815" s="5">
        <f t="shared" si="12"/>
        <v>2.3940625</v>
      </c>
      <c r="G815" t="s">
        <v>8</v>
      </c>
      <c r="H815">
        <v>68</v>
      </c>
      <c r="I815" t="s">
        <v>109</v>
      </c>
      <c r="J815" t="s">
        <v>110</v>
      </c>
      <c r="K815" s="4">
        <v>41148.208333333336</v>
      </c>
      <c r="L815" s="4" t="s">
        <v>54</v>
      </c>
      <c r="M815" s="4" t="s">
        <v>129</v>
      </c>
      <c r="N815" s="4">
        <v>41158.208333333336</v>
      </c>
      <c r="O815" t="b">
        <v>0</v>
      </c>
      <c r="P815" t="b">
        <v>0</v>
      </c>
      <c r="Q815" t="s">
        <v>184</v>
      </c>
      <c r="R815" t="str" cm="1">
        <f t="array" ref="R815:S815">_xlfn.TEXTSPLIT(Q815, "/", , FALSE)</f>
        <v>games</v>
      </c>
      <c r="S815" t="str">
        <v>video games</v>
      </c>
    </row>
    <row r="816" spans="1:19" ht="17" x14ac:dyDescent="0.2">
      <c r="A816">
        <v>814</v>
      </c>
      <c r="B816" t="s">
        <v>1758</v>
      </c>
      <c r="C816" s="3" t="s">
        <v>1759</v>
      </c>
      <c r="D816">
        <v>3200</v>
      </c>
      <c r="E816">
        <v>2950</v>
      </c>
      <c r="F816" s="5">
        <f t="shared" si="12"/>
        <v>0.921875</v>
      </c>
      <c r="G816" t="s">
        <v>6</v>
      </c>
      <c r="H816">
        <v>36</v>
      </c>
      <c r="I816" t="s">
        <v>127</v>
      </c>
      <c r="J816" t="s">
        <v>128</v>
      </c>
      <c r="K816" s="4">
        <v>42517.208333333328</v>
      </c>
      <c r="L816" s="4" t="s">
        <v>51</v>
      </c>
      <c r="M816" s="4" t="s">
        <v>153</v>
      </c>
      <c r="N816" s="4">
        <v>42519.208333333328</v>
      </c>
      <c r="O816" t="b">
        <v>0</v>
      </c>
      <c r="P816" t="b">
        <v>1</v>
      </c>
      <c r="Q816" t="s">
        <v>112</v>
      </c>
      <c r="R816" t="str" cm="1">
        <f t="array" ref="R816:S816">_xlfn.TEXTSPLIT(Q816, "/", , FALSE)</f>
        <v>music</v>
      </c>
      <c r="S816" t="str">
        <v>rock</v>
      </c>
    </row>
    <row r="817" spans="1:19" ht="34" x14ac:dyDescent="0.2">
      <c r="A817">
        <v>815</v>
      </c>
      <c r="B817" t="s">
        <v>1760</v>
      </c>
      <c r="C817" s="3" t="s">
        <v>1761</v>
      </c>
      <c r="D817">
        <v>9000</v>
      </c>
      <c r="E817">
        <v>11721</v>
      </c>
      <c r="F817" s="5">
        <f t="shared" si="12"/>
        <v>1.3023333333333333</v>
      </c>
      <c r="G817" t="s">
        <v>8</v>
      </c>
      <c r="H817">
        <v>183</v>
      </c>
      <c r="I817" t="s">
        <v>103</v>
      </c>
      <c r="J817" t="s">
        <v>104</v>
      </c>
      <c r="K817" s="4">
        <v>43068.25</v>
      </c>
      <c r="L817" s="4" t="s">
        <v>57</v>
      </c>
      <c r="M817" s="4" t="s">
        <v>134</v>
      </c>
      <c r="N817" s="4">
        <v>43094.25</v>
      </c>
      <c r="O817" t="b">
        <v>0</v>
      </c>
      <c r="P817" t="b">
        <v>0</v>
      </c>
      <c r="Q817" t="s">
        <v>112</v>
      </c>
      <c r="R817" t="str" cm="1">
        <f t="array" ref="R817:S817">_xlfn.TEXTSPLIT(Q817, "/", , FALSE)</f>
        <v>music</v>
      </c>
      <c r="S817" t="str">
        <v>rock</v>
      </c>
    </row>
    <row r="818" spans="1:19" ht="34" x14ac:dyDescent="0.2">
      <c r="A818">
        <v>816</v>
      </c>
      <c r="B818" t="s">
        <v>1762</v>
      </c>
      <c r="C818" s="3" t="s">
        <v>1763</v>
      </c>
      <c r="D818">
        <v>2300</v>
      </c>
      <c r="E818">
        <v>14150</v>
      </c>
      <c r="F818" s="5">
        <f t="shared" si="12"/>
        <v>6.1521739130434785</v>
      </c>
      <c r="G818" t="s">
        <v>8</v>
      </c>
      <c r="H818">
        <v>133</v>
      </c>
      <c r="I818" t="s">
        <v>109</v>
      </c>
      <c r="J818" t="s">
        <v>110</v>
      </c>
      <c r="K818" s="4">
        <v>41680.25</v>
      </c>
      <c r="L818" s="4" t="s">
        <v>48</v>
      </c>
      <c r="M818" s="4" t="s">
        <v>111</v>
      </c>
      <c r="N818" s="4">
        <v>41682.25</v>
      </c>
      <c r="O818" t="b">
        <v>1</v>
      </c>
      <c r="P818" t="b">
        <v>1</v>
      </c>
      <c r="Q818" t="s">
        <v>124</v>
      </c>
      <c r="R818" t="str" cm="1">
        <f t="array" ref="R818:S818">_xlfn.TEXTSPLIT(Q818, "/", , FALSE)</f>
        <v>theater</v>
      </c>
      <c r="S818" t="str">
        <v>plays</v>
      </c>
    </row>
    <row r="819" spans="1:19" ht="17" x14ac:dyDescent="0.2">
      <c r="A819">
        <v>817</v>
      </c>
      <c r="B819" t="s">
        <v>1764</v>
      </c>
      <c r="C819" s="3" t="s">
        <v>1765</v>
      </c>
      <c r="D819">
        <v>51300</v>
      </c>
      <c r="E819">
        <v>189192</v>
      </c>
      <c r="F819" s="5">
        <f t="shared" si="12"/>
        <v>3.687953216374269</v>
      </c>
      <c r="G819" t="s">
        <v>8</v>
      </c>
      <c r="H819">
        <v>2489</v>
      </c>
      <c r="I819" t="s">
        <v>202</v>
      </c>
      <c r="J819" t="s">
        <v>203</v>
      </c>
      <c r="K819" s="4">
        <v>43589.208333333328</v>
      </c>
      <c r="L819" s="4" t="s">
        <v>51</v>
      </c>
      <c r="M819" s="4" t="s">
        <v>121</v>
      </c>
      <c r="N819" s="4">
        <v>43617.208333333328</v>
      </c>
      <c r="O819" t="b">
        <v>0</v>
      </c>
      <c r="P819" t="b">
        <v>1</v>
      </c>
      <c r="Q819" t="s">
        <v>162</v>
      </c>
      <c r="R819" t="str" cm="1">
        <f t="array" ref="R819:S819">_xlfn.TEXTSPLIT(Q819, "/", , FALSE)</f>
        <v>publishing</v>
      </c>
      <c r="S819" t="str">
        <v>nonfiction</v>
      </c>
    </row>
    <row r="820" spans="1:19" ht="17" x14ac:dyDescent="0.2">
      <c r="A820">
        <v>818</v>
      </c>
      <c r="B820" t="s">
        <v>771</v>
      </c>
      <c r="C820" s="3" t="s">
        <v>1766</v>
      </c>
      <c r="D820">
        <v>700</v>
      </c>
      <c r="E820">
        <v>7664</v>
      </c>
      <c r="F820" s="5">
        <f t="shared" si="12"/>
        <v>10.948571428571428</v>
      </c>
      <c r="G820" t="s">
        <v>8</v>
      </c>
      <c r="H820">
        <v>69</v>
      </c>
      <c r="I820" t="s">
        <v>109</v>
      </c>
      <c r="J820" t="s">
        <v>110</v>
      </c>
      <c r="K820" s="4">
        <v>43486.25</v>
      </c>
      <c r="L820" s="4" t="s">
        <v>47</v>
      </c>
      <c r="M820" s="4" t="s">
        <v>121</v>
      </c>
      <c r="N820" s="4">
        <v>43499.25</v>
      </c>
      <c r="O820" t="b">
        <v>0</v>
      </c>
      <c r="P820" t="b">
        <v>1</v>
      </c>
      <c r="Q820" t="s">
        <v>124</v>
      </c>
      <c r="R820" t="str" cm="1">
        <f t="array" ref="R820:S820">_xlfn.TEXTSPLIT(Q820, "/", , FALSE)</f>
        <v>theater</v>
      </c>
      <c r="S820" t="str">
        <v>plays</v>
      </c>
    </row>
    <row r="821" spans="1:19" ht="34" x14ac:dyDescent="0.2">
      <c r="A821">
        <v>819</v>
      </c>
      <c r="B821" t="s">
        <v>1767</v>
      </c>
      <c r="C821" s="3" t="s">
        <v>1768</v>
      </c>
      <c r="D821">
        <v>8900</v>
      </c>
      <c r="E821">
        <v>4509</v>
      </c>
      <c r="F821" s="5">
        <f t="shared" si="12"/>
        <v>0.50662921348314605</v>
      </c>
      <c r="G821" t="s">
        <v>6</v>
      </c>
      <c r="H821">
        <v>47</v>
      </c>
      <c r="I821" t="s">
        <v>109</v>
      </c>
      <c r="J821" t="s">
        <v>110</v>
      </c>
      <c r="K821" s="4">
        <v>41237.25</v>
      </c>
      <c r="L821" s="4" t="s">
        <v>57</v>
      </c>
      <c r="M821" s="4" t="s">
        <v>129</v>
      </c>
      <c r="N821" s="4">
        <v>41252.25</v>
      </c>
      <c r="O821" t="b">
        <v>1</v>
      </c>
      <c r="P821" t="b">
        <v>0</v>
      </c>
      <c r="Q821" t="s">
        <v>184</v>
      </c>
      <c r="R821" t="str" cm="1">
        <f t="array" ref="R821:S821">_xlfn.TEXTSPLIT(Q821, "/", , FALSE)</f>
        <v>games</v>
      </c>
      <c r="S821" t="str">
        <v>video games</v>
      </c>
    </row>
    <row r="822" spans="1:19" ht="17" x14ac:dyDescent="0.2">
      <c r="A822">
        <v>820</v>
      </c>
      <c r="B822" t="s">
        <v>1769</v>
      </c>
      <c r="C822" s="3" t="s">
        <v>1770</v>
      </c>
      <c r="D822">
        <v>1500</v>
      </c>
      <c r="E822">
        <v>12009</v>
      </c>
      <c r="F822" s="5">
        <f t="shared" si="12"/>
        <v>8.0060000000000002</v>
      </c>
      <c r="G822" t="s">
        <v>8</v>
      </c>
      <c r="H822">
        <v>279</v>
      </c>
      <c r="I822" t="s">
        <v>132</v>
      </c>
      <c r="J822" t="s">
        <v>133</v>
      </c>
      <c r="K822" s="4">
        <v>43310.208333333328</v>
      </c>
      <c r="L822" s="4" t="s">
        <v>53</v>
      </c>
      <c r="M822" s="4" t="s">
        <v>169</v>
      </c>
      <c r="N822" s="4">
        <v>43323.208333333328</v>
      </c>
      <c r="O822" t="b">
        <v>0</v>
      </c>
      <c r="P822" t="b">
        <v>1</v>
      </c>
      <c r="Q822" t="s">
        <v>112</v>
      </c>
      <c r="R822" t="str" cm="1">
        <f t="array" ref="R822:S822">_xlfn.TEXTSPLIT(Q822, "/", , FALSE)</f>
        <v>music</v>
      </c>
      <c r="S822" t="str">
        <v>rock</v>
      </c>
    </row>
    <row r="823" spans="1:19" ht="17" x14ac:dyDescent="0.2">
      <c r="A823">
        <v>821</v>
      </c>
      <c r="B823" t="s">
        <v>1771</v>
      </c>
      <c r="C823" s="3" t="s">
        <v>1772</v>
      </c>
      <c r="D823">
        <v>4900</v>
      </c>
      <c r="E823">
        <v>14273</v>
      </c>
      <c r="F823" s="5">
        <f t="shared" si="12"/>
        <v>2.9128571428571428</v>
      </c>
      <c r="G823" t="s">
        <v>8</v>
      </c>
      <c r="H823">
        <v>210</v>
      </c>
      <c r="I823" t="s">
        <v>109</v>
      </c>
      <c r="J823" t="s">
        <v>110</v>
      </c>
      <c r="K823" s="4">
        <v>42794.25</v>
      </c>
      <c r="L823" s="4" t="s">
        <v>48</v>
      </c>
      <c r="M823" s="4" t="s">
        <v>134</v>
      </c>
      <c r="N823" s="4">
        <v>42807.208333333328</v>
      </c>
      <c r="O823" t="b">
        <v>0</v>
      </c>
      <c r="P823" t="b">
        <v>0</v>
      </c>
      <c r="Q823" t="s">
        <v>135</v>
      </c>
      <c r="R823" t="str" cm="1">
        <f t="array" ref="R823:S823">_xlfn.TEXTSPLIT(Q823, "/", , FALSE)</f>
        <v>film &amp; video</v>
      </c>
      <c r="S823" t="str">
        <v>documentary</v>
      </c>
    </row>
    <row r="824" spans="1:19" ht="17" x14ac:dyDescent="0.2">
      <c r="A824">
        <v>822</v>
      </c>
      <c r="B824" t="s">
        <v>1773</v>
      </c>
      <c r="C824" s="3" t="s">
        <v>1774</v>
      </c>
      <c r="D824">
        <v>54000</v>
      </c>
      <c r="E824">
        <v>188982</v>
      </c>
      <c r="F824" s="5">
        <f t="shared" si="12"/>
        <v>3.4996666666666667</v>
      </c>
      <c r="G824" t="s">
        <v>8</v>
      </c>
      <c r="H824">
        <v>2100</v>
      </c>
      <c r="I824" t="s">
        <v>109</v>
      </c>
      <c r="J824" t="s">
        <v>110</v>
      </c>
      <c r="K824" s="4">
        <v>41698.25</v>
      </c>
      <c r="L824" s="4" t="s">
        <v>48</v>
      </c>
      <c r="M824" s="4" t="s">
        <v>111</v>
      </c>
      <c r="N824" s="4">
        <v>41715.208333333336</v>
      </c>
      <c r="O824" t="b">
        <v>0</v>
      </c>
      <c r="P824" t="b">
        <v>0</v>
      </c>
      <c r="Q824" t="s">
        <v>112</v>
      </c>
      <c r="R824" t="str" cm="1">
        <f t="array" ref="R824:S824">_xlfn.TEXTSPLIT(Q824, "/", , FALSE)</f>
        <v>music</v>
      </c>
      <c r="S824" t="str">
        <v>rock</v>
      </c>
    </row>
    <row r="825" spans="1:19" ht="34" x14ac:dyDescent="0.2">
      <c r="A825">
        <v>823</v>
      </c>
      <c r="B825" t="s">
        <v>1775</v>
      </c>
      <c r="C825" s="3" t="s">
        <v>1776</v>
      </c>
      <c r="D825">
        <v>4100</v>
      </c>
      <c r="E825">
        <v>14640</v>
      </c>
      <c r="F825" s="5">
        <f t="shared" si="12"/>
        <v>3.5707317073170732</v>
      </c>
      <c r="G825" t="s">
        <v>8</v>
      </c>
      <c r="H825">
        <v>252</v>
      </c>
      <c r="I825" t="s">
        <v>109</v>
      </c>
      <c r="J825" t="s">
        <v>110</v>
      </c>
      <c r="K825" s="4">
        <v>41892.208333333336</v>
      </c>
      <c r="L825" s="4" t="s">
        <v>55</v>
      </c>
      <c r="M825" s="4" t="s">
        <v>111</v>
      </c>
      <c r="N825" s="4">
        <v>41917.208333333336</v>
      </c>
      <c r="O825" t="b">
        <v>1</v>
      </c>
      <c r="P825" t="b">
        <v>1</v>
      </c>
      <c r="Q825" t="s">
        <v>112</v>
      </c>
      <c r="R825" t="str" cm="1">
        <f t="array" ref="R825:S825">_xlfn.TEXTSPLIT(Q825, "/", , FALSE)</f>
        <v>music</v>
      </c>
      <c r="S825" t="str">
        <v>rock</v>
      </c>
    </row>
    <row r="826" spans="1:19" ht="17" x14ac:dyDescent="0.2">
      <c r="A826">
        <v>824</v>
      </c>
      <c r="B826" t="s">
        <v>1777</v>
      </c>
      <c r="C826" s="3" t="s">
        <v>1778</v>
      </c>
      <c r="D826">
        <v>85000</v>
      </c>
      <c r="E826">
        <v>107516</v>
      </c>
      <c r="F826" s="5">
        <f t="shared" si="12"/>
        <v>1.2648941176470587</v>
      </c>
      <c r="G826" t="s">
        <v>8</v>
      </c>
      <c r="H826">
        <v>1280</v>
      </c>
      <c r="I826" t="s">
        <v>109</v>
      </c>
      <c r="J826" t="s">
        <v>110</v>
      </c>
      <c r="K826" s="4">
        <v>40348.208333333336</v>
      </c>
      <c r="L826" s="4" t="s">
        <v>52</v>
      </c>
      <c r="M826" s="4" t="s">
        <v>140</v>
      </c>
      <c r="N826" s="4">
        <v>40380.208333333336</v>
      </c>
      <c r="O826" t="b">
        <v>0</v>
      </c>
      <c r="P826" t="b">
        <v>1</v>
      </c>
      <c r="Q826" t="s">
        <v>162</v>
      </c>
      <c r="R826" t="str" cm="1">
        <f t="array" ref="R826:S826">_xlfn.TEXTSPLIT(Q826, "/", , FALSE)</f>
        <v>publishing</v>
      </c>
      <c r="S826" t="str">
        <v>nonfiction</v>
      </c>
    </row>
    <row r="827" spans="1:19" ht="17" x14ac:dyDescent="0.2">
      <c r="A827">
        <v>825</v>
      </c>
      <c r="B827" t="s">
        <v>1779</v>
      </c>
      <c r="C827" s="3" t="s">
        <v>1780</v>
      </c>
      <c r="D827">
        <v>3600</v>
      </c>
      <c r="E827">
        <v>13950</v>
      </c>
      <c r="F827" s="5">
        <f t="shared" si="12"/>
        <v>3.875</v>
      </c>
      <c r="G827" t="s">
        <v>8</v>
      </c>
      <c r="H827">
        <v>157</v>
      </c>
      <c r="I827" t="s">
        <v>132</v>
      </c>
      <c r="J827" t="s">
        <v>133</v>
      </c>
      <c r="K827" s="4">
        <v>42941.208333333328</v>
      </c>
      <c r="L827" s="4" t="s">
        <v>53</v>
      </c>
      <c r="M827" s="4" t="s">
        <v>134</v>
      </c>
      <c r="N827" s="4">
        <v>42953.208333333328</v>
      </c>
      <c r="O827" t="b">
        <v>0</v>
      </c>
      <c r="P827" t="b">
        <v>0</v>
      </c>
      <c r="Q827" t="s">
        <v>195</v>
      </c>
      <c r="R827" t="str" cm="1">
        <f t="array" ref="R827:S827">_xlfn.TEXTSPLIT(Q827, "/", , FALSE)</f>
        <v>film &amp; video</v>
      </c>
      <c r="S827" t="str">
        <v>shorts</v>
      </c>
    </row>
    <row r="828" spans="1:19" ht="34" x14ac:dyDescent="0.2">
      <c r="A828">
        <v>826</v>
      </c>
      <c r="B828" t="s">
        <v>1781</v>
      </c>
      <c r="C828" s="3" t="s">
        <v>1782</v>
      </c>
      <c r="D828">
        <v>2800</v>
      </c>
      <c r="E828">
        <v>12797</v>
      </c>
      <c r="F828" s="5">
        <f t="shared" si="12"/>
        <v>4.5703571428571426</v>
      </c>
      <c r="G828" t="s">
        <v>8</v>
      </c>
      <c r="H828">
        <v>194</v>
      </c>
      <c r="I828" t="s">
        <v>109</v>
      </c>
      <c r="J828" t="s">
        <v>110</v>
      </c>
      <c r="K828" s="4">
        <v>40525.25</v>
      </c>
      <c r="L828" s="4" t="s">
        <v>58</v>
      </c>
      <c r="M828" s="4" t="s">
        <v>140</v>
      </c>
      <c r="N828" s="4">
        <v>40553.25</v>
      </c>
      <c r="O828" t="b">
        <v>0</v>
      </c>
      <c r="P828" t="b">
        <v>1</v>
      </c>
      <c r="Q828" t="s">
        <v>124</v>
      </c>
      <c r="R828" t="str" cm="1">
        <f t="array" ref="R828:S828">_xlfn.TEXTSPLIT(Q828, "/", , FALSE)</f>
        <v>theater</v>
      </c>
      <c r="S828" t="str">
        <v>plays</v>
      </c>
    </row>
    <row r="829" spans="1:19" ht="34" x14ac:dyDescent="0.2">
      <c r="A829">
        <v>827</v>
      </c>
      <c r="B829" t="s">
        <v>1783</v>
      </c>
      <c r="C829" s="3" t="s">
        <v>1784</v>
      </c>
      <c r="D829">
        <v>2300</v>
      </c>
      <c r="E829">
        <v>6134</v>
      </c>
      <c r="F829" s="5">
        <f t="shared" si="12"/>
        <v>2.6669565217391304</v>
      </c>
      <c r="G829" t="s">
        <v>8</v>
      </c>
      <c r="H829">
        <v>82</v>
      </c>
      <c r="I829" t="s">
        <v>115</v>
      </c>
      <c r="J829" t="s">
        <v>116</v>
      </c>
      <c r="K829" s="4">
        <v>40666.208333333336</v>
      </c>
      <c r="L829" s="4" t="s">
        <v>51</v>
      </c>
      <c r="M829" s="4" t="s">
        <v>165</v>
      </c>
      <c r="N829" s="4">
        <v>40678.208333333336</v>
      </c>
      <c r="O829" t="b">
        <v>0</v>
      </c>
      <c r="P829" t="b">
        <v>1</v>
      </c>
      <c r="Q829" t="s">
        <v>146</v>
      </c>
      <c r="R829" t="str" cm="1">
        <f t="array" ref="R829:S829">_xlfn.TEXTSPLIT(Q829, "/", , FALSE)</f>
        <v>film &amp; video</v>
      </c>
      <c r="S829" t="str">
        <v>drama</v>
      </c>
    </row>
    <row r="830" spans="1:19" ht="34" x14ac:dyDescent="0.2">
      <c r="A830">
        <v>828</v>
      </c>
      <c r="B830" t="s">
        <v>1785</v>
      </c>
      <c r="C830" s="3" t="s">
        <v>1786</v>
      </c>
      <c r="D830">
        <v>7100</v>
      </c>
      <c r="E830">
        <v>4899</v>
      </c>
      <c r="F830" s="5">
        <f t="shared" si="12"/>
        <v>0.69</v>
      </c>
      <c r="G830" t="s">
        <v>6</v>
      </c>
      <c r="H830">
        <v>70</v>
      </c>
      <c r="I830" t="s">
        <v>109</v>
      </c>
      <c r="J830" t="s">
        <v>110</v>
      </c>
      <c r="K830" s="4">
        <v>43340.208333333328</v>
      </c>
      <c r="L830" s="4" t="s">
        <v>54</v>
      </c>
      <c r="M830" s="4" t="s">
        <v>169</v>
      </c>
      <c r="N830" s="4">
        <v>43365.208333333328</v>
      </c>
      <c r="O830" t="b">
        <v>0</v>
      </c>
      <c r="P830" t="b">
        <v>0</v>
      </c>
      <c r="Q830" t="s">
        <v>124</v>
      </c>
      <c r="R830" t="str" cm="1">
        <f t="array" ref="R830:S830">_xlfn.TEXTSPLIT(Q830, "/", , FALSE)</f>
        <v>theater</v>
      </c>
      <c r="S830" t="str">
        <v>plays</v>
      </c>
    </row>
    <row r="831" spans="1:19" ht="17" x14ac:dyDescent="0.2">
      <c r="A831">
        <v>829</v>
      </c>
      <c r="B831" t="s">
        <v>1787</v>
      </c>
      <c r="C831" s="3" t="s">
        <v>1788</v>
      </c>
      <c r="D831">
        <v>9600</v>
      </c>
      <c r="E831">
        <v>4929</v>
      </c>
      <c r="F831" s="5">
        <f t="shared" si="12"/>
        <v>0.51343749999999999</v>
      </c>
      <c r="G831" t="s">
        <v>6</v>
      </c>
      <c r="H831">
        <v>154</v>
      </c>
      <c r="I831" t="s">
        <v>109</v>
      </c>
      <c r="J831" t="s">
        <v>110</v>
      </c>
      <c r="K831" s="4">
        <v>42164.208333333328</v>
      </c>
      <c r="L831" s="4" t="s">
        <v>52</v>
      </c>
      <c r="M831" s="4" t="s">
        <v>105</v>
      </c>
      <c r="N831" s="4">
        <v>42179.208333333328</v>
      </c>
      <c r="O831" t="b">
        <v>0</v>
      </c>
      <c r="P831" t="b">
        <v>0</v>
      </c>
      <c r="Q831" t="s">
        <v>124</v>
      </c>
      <c r="R831" t="str" cm="1">
        <f t="array" ref="R831:S831">_xlfn.TEXTSPLIT(Q831, "/", , FALSE)</f>
        <v>theater</v>
      </c>
      <c r="S831" t="str">
        <v>plays</v>
      </c>
    </row>
    <row r="832" spans="1:19" ht="34" x14ac:dyDescent="0.2">
      <c r="A832">
        <v>830</v>
      </c>
      <c r="B832" t="s">
        <v>1789</v>
      </c>
      <c r="C832" s="3" t="s">
        <v>1790</v>
      </c>
      <c r="D832">
        <v>121600</v>
      </c>
      <c r="E832">
        <v>1424</v>
      </c>
      <c r="F832" s="5">
        <f t="shared" si="12"/>
        <v>1.1710526315789473E-2</v>
      </c>
      <c r="G832" t="s">
        <v>6</v>
      </c>
      <c r="H832">
        <v>22</v>
      </c>
      <c r="I832" t="s">
        <v>109</v>
      </c>
      <c r="J832" t="s">
        <v>110</v>
      </c>
      <c r="K832" s="4">
        <v>43103.25</v>
      </c>
      <c r="L832" s="4" t="s">
        <v>47</v>
      </c>
      <c r="M832" s="4" t="s">
        <v>169</v>
      </c>
      <c r="N832" s="4">
        <v>43162.25</v>
      </c>
      <c r="O832" t="b">
        <v>0</v>
      </c>
      <c r="P832" t="b">
        <v>0</v>
      </c>
      <c r="Q832" t="s">
        <v>124</v>
      </c>
      <c r="R832" t="str" cm="1">
        <f t="array" ref="R832:S832">_xlfn.TEXTSPLIT(Q832, "/", , FALSE)</f>
        <v>theater</v>
      </c>
      <c r="S832" t="str">
        <v>plays</v>
      </c>
    </row>
    <row r="833" spans="1:19" ht="34" x14ac:dyDescent="0.2">
      <c r="A833">
        <v>831</v>
      </c>
      <c r="B833" t="s">
        <v>1791</v>
      </c>
      <c r="C833" s="3" t="s">
        <v>1792</v>
      </c>
      <c r="D833">
        <v>97100</v>
      </c>
      <c r="E833">
        <v>105817</v>
      </c>
      <c r="F833" s="5">
        <f t="shared" si="12"/>
        <v>1.089773429454171</v>
      </c>
      <c r="G833" t="s">
        <v>8</v>
      </c>
      <c r="H833">
        <v>4233</v>
      </c>
      <c r="I833" t="s">
        <v>109</v>
      </c>
      <c r="J833" t="s">
        <v>110</v>
      </c>
      <c r="K833" s="4">
        <v>40994.208333333336</v>
      </c>
      <c r="L833" s="4" t="s">
        <v>49</v>
      </c>
      <c r="M833" s="4" t="s">
        <v>129</v>
      </c>
      <c r="N833" s="4">
        <v>41028.208333333336</v>
      </c>
      <c r="O833" t="b">
        <v>0</v>
      </c>
      <c r="P833" t="b">
        <v>0</v>
      </c>
      <c r="Q833" t="s">
        <v>217</v>
      </c>
      <c r="R833" t="str" cm="1">
        <f t="array" ref="R833:S833">_xlfn.TEXTSPLIT(Q833, "/", , FALSE)</f>
        <v>photography</v>
      </c>
      <c r="S833" t="str">
        <v>photography books</v>
      </c>
    </row>
    <row r="834" spans="1:19" ht="17" x14ac:dyDescent="0.2">
      <c r="A834">
        <v>832</v>
      </c>
      <c r="B834" t="s">
        <v>1793</v>
      </c>
      <c r="C834" s="3" t="s">
        <v>1794</v>
      </c>
      <c r="D834">
        <v>43200</v>
      </c>
      <c r="E834">
        <v>136156</v>
      </c>
      <c r="F834" s="5">
        <f t="shared" si="12"/>
        <v>3.1517592592592591</v>
      </c>
      <c r="G834" t="s">
        <v>8</v>
      </c>
      <c r="H834">
        <v>1297</v>
      </c>
      <c r="I834" t="s">
        <v>127</v>
      </c>
      <c r="J834" t="s">
        <v>128</v>
      </c>
      <c r="K834" s="4">
        <v>42299.208333333328</v>
      </c>
      <c r="L834" s="4" t="s">
        <v>56</v>
      </c>
      <c r="M834" s="4" t="s">
        <v>105</v>
      </c>
      <c r="N834" s="4">
        <v>42333.25</v>
      </c>
      <c r="O834" t="b">
        <v>1</v>
      </c>
      <c r="P834" t="b">
        <v>0</v>
      </c>
      <c r="Q834" t="s">
        <v>301</v>
      </c>
      <c r="R834" t="str" cm="1">
        <f t="array" ref="R834:S834">_xlfn.TEXTSPLIT(Q834, "/", , FALSE)</f>
        <v>publishing</v>
      </c>
      <c r="S834" t="str">
        <v>translations</v>
      </c>
    </row>
    <row r="835" spans="1:19" ht="17" x14ac:dyDescent="0.2">
      <c r="A835">
        <v>833</v>
      </c>
      <c r="B835" t="s">
        <v>1795</v>
      </c>
      <c r="C835" s="3" t="s">
        <v>1796</v>
      </c>
      <c r="D835">
        <v>6800</v>
      </c>
      <c r="E835">
        <v>10723</v>
      </c>
      <c r="F835" s="5">
        <f t="shared" ref="F835:F898" si="13">E835/D835</f>
        <v>1.5769117647058823</v>
      </c>
      <c r="G835" t="s">
        <v>8</v>
      </c>
      <c r="H835">
        <v>165</v>
      </c>
      <c r="I835" t="s">
        <v>127</v>
      </c>
      <c r="J835" t="s">
        <v>128</v>
      </c>
      <c r="K835" s="4">
        <v>40588.25</v>
      </c>
      <c r="L835" s="4" t="s">
        <v>48</v>
      </c>
      <c r="M835" s="4" t="s">
        <v>165</v>
      </c>
      <c r="N835" s="4">
        <v>40599.25</v>
      </c>
      <c r="O835" t="b">
        <v>0</v>
      </c>
      <c r="P835" t="b">
        <v>0</v>
      </c>
      <c r="Q835" t="s">
        <v>301</v>
      </c>
      <c r="R835" t="str" cm="1">
        <f t="array" ref="R835:S835">_xlfn.TEXTSPLIT(Q835, "/", , FALSE)</f>
        <v>publishing</v>
      </c>
      <c r="S835" t="str">
        <v>translations</v>
      </c>
    </row>
    <row r="836" spans="1:19" ht="17" x14ac:dyDescent="0.2">
      <c r="A836">
        <v>834</v>
      </c>
      <c r="B836" t="s">
        <v>1797</v>
      </c>
      <c r="C836" s="3" t="s">
        <v>1798</v>
      </c>
      <c r="D836">
        <v>7300</v>
      </c>
      <c r="E836">
        <v>11228</v>
      </c>
      <c r="F836" s="5">
        <f t="shared" si="13"/>
        <v>1.5380821917808218</v>
      </c>
      <c r="G836" t="s">
        <v>8</v>
      </c>
      <c r="H836">
        <v>119</v>
      </c>
      <c r="I836" t="s">
        <v>109</v>
      </c>
      <c r="J836" t="s">
        <v>110</v>
      </c>
      <c r="K836" s="4">
        <v>41448.208333333336</v>
      </c>
      <c r="L836" s="4" t="s">
        <v>52</v>
      </c>
      <c r="M836" s="4" t="s">
        <v>117</v>
      </c>
      <c r="N836" s="4">
        <v>41454.208333333336</v>
      </c>
      <c r="O836" t="b">
        <v>0</v>
      </c>
      <c r="P836" t="b">
        <v>0</v>
      </c>
      <c r="Q836" t="s">
        <v>124</v>
      </c>
      <c r="R836" t="str" cm="1">
        <f t="array" ref="R836:S836">_xlfn.TEXTSPLIT(Q836, "/", , FALSE)</f>
        <v>theater</v>
      </c>
      <c r="S836" t="str">
        <v>plays</v>
      </c>
    </row>
    <row r="837" spans="1:19" ht="17" x14ac:dyDescent="0.2">
      <c r="A837">
        <v>835</v>
      </c>
      <c r="B837" t="s">
        <v>1799</v>
      </c>
      <c r="C837" s="3" t="s">
        <v>1800</v>
      </c>
      <c r="D837">
        <v>86200</v>
      </c>
      <c r="E837">
        <v>77355</v>
      </c>
      <c r="F837" s="5">
        <f t="shared" si="13"/>
        <v>0.89738979118329465</v>
      </c>
      <c r="G837" t="s">
        <v>6</v>
      </c>
      <c r="H837">
        <v>1758</v>
      </c>
      <c r="I837" t="s">
        <v>109</v>
      </c>
      <c r="J837" t="s">
        <v>110</v>
      </c>
      <c r="K837" s="4">
        <v>42063.25</v>
      </c>
      <c r="L837" s="4" t="s">
        <v>48</v>
      </c>
      <c r="M837" s="4" t="s">
        <v>105</v>
      </c>
      <c r="N837" s="4">
        <v>42069.25</v>
      </c>
      <c r="O837" t="b">
        <v>0</v>
      </c>
      <c r="P837" t="b">
        <v>0</v>
      </c>
      <c r="Q837" t="s">
        <v>118</v>
      </c>
      <c r="R837" t="str" cm="1">
        <f t="array" ref="R837:S837">_xlfn.TEXTSPLIT(Q837, "/", , FALSE)</f>
        <v>technology</v>
      </c>
      <c r="S837" t="str">
        <v>web</v>
      </c>
    </row>
    <row r="838" spans="1:19" ht="17" x14ac:dyDescent="0.2">
      <c r="A838">
        <v>836</v>
      </c>
      <c r="B838" t="s">
        <v>1801</v>
      </c>
      <c r="C838" s="3" t="s">
        <v>1802</v>
      </c>
      <c r="D838">
        <v>8100</v>
      </c>
      <c r="E838">
        <v>6086</v>
      </c>
      <c r="F838" s="5">
        <f t="shared" si="13"/>
        <v>0.75135802469135804</v>
      </c>
      <c r="G838" t="s">
        <v>6</v>
      </c>
      <c r="H838">
        <v>94</v>
      </c>
      <c r="I838" t="s">
        <v>109</v>
      </c>
      <c r="J838" t="s">
        <v>110</v>
      </c>
      <c r="K838" s="4">
        <v>40214.25</v>
      </c>
      <c r="L838" s="4" t="s">
        <v>48</v>
      </c>
      <c r="M838" s="4" t="s">
        <v>140</v>
      </c>
      <c r="N838" s="4">
        <v>40225.25</v>
      </c>
      <c r="O838" t="b">
        <v>0</v>
      </c>
      <c r="P838" t="b">
        <v>0</v>
      </c>
      <c r="Q838" t="s">
        <v>154</v>
      </c>
      <c r="R838" t="str" cm="1">
        <f t="array" ref="R838:S838">_xlfn.TEXTSPLIT(Q838, "/", , FALSE)</f>
        <v>music</v>
      </c>
      <c r="S838" t="str">
        <v>indie rock</v>
      </c>
    </row>
    <row r="839" spans="1:19" ht="17" x14ac:dyDescent="0.2">
      <c r="A839">
        <v>837</v>
      </c>
      <c r="B839" t="s">
        <v>1803</v>
      </c>
      <c r="C839" s="3" t="s">
        <v>1804</v>
      </c>
      <c r="D839">
        <v>17700</v>
      </c>
      <c r="E839">
        <v>150960</v>
      </c>
      <c r="F839" s="5">
        <f t="shared" si="13"/>
        <v>8.5288135593220336</v>
      </c>
      <c r="G839" t="s">
        <v>8</v>
      </c>
      <c r="H839">
        <v>1797</v>
      </c>
      <c r="I839" t="s">
        <v>109</v>
      </c>
      <c r="J839" t="s">
        <v>110</v>
      </c>
      <c r="K839" s="4">
        <v>40629.208333333336</v>
      </c>
      <c r="L839" s="4" t="s">
        <v>49</v>
      </c>
      <c r="M839" s="4" t="s">
        <v>165</v>
      </c>
      <c r="N839" s="4">
        <v>40683.208333333336</v>
      </c>
      <c r="O839" t="b">
        <v>0</v>
      </c>
      <c r="P839" t="b">
        <v>0</v>
      </c>
      <c r="Q839" t="s">
        <v>254</v>
      </c>
      <c r="R839" t="str" cm="1">
        <f t="array" ref="R839:S839">_xlfn.TEXTSPLIT(Q839, "/", , FALSE)</f>
        <v>music</v>
      </c>
      <c r="S839" t="str">
        <v>jazz</v>
      </c>
    </row>
    <row r="840" spans="1:19" ht="17" x14ac:dyDescent="0.2">
      <c r="A840">
        <v>838</v>
      </c>
      <c r="B840" t="s">
        <v>1805</v>
      </c>
      <c r="C840" s="3" t="s">
        <v>1806</v>
      </c>
      <c r="D840">
        <v>6400</v>
      </c>
      <c r="E840">
        <v>8890</v>
      </c>
      <c r="F840" s="5">
        <f t="shared" si="13"/>
        <v>1.3890625000000001</v>
      </c>
      <c r="G840" t="s">
        <v>8</v>
      </c>
      <c r="H840">
        <v>261</v>
      </c>
      <c r="I840" t="s">
        <v>109</v>
      </c>
      <c r="J840" t="s">
        <v>110</v>
      </c>
      <c r="K840" s="4">
        <v>43370.208333333328</v>
      </c>
      <c r="L840" s="4" t="s">
        <v>55</v>
      </c>
      <c r="M840" s="4" t="s">
        <v>169</v>
      </c>
      <c r="N840" s="4">
        <v>43379.208333333328</v>
      </c>
      <c r="O840" t="b">
        <v>0</v>
      </c>
      <c r="P840" t="b">
        <v>0</v>
      </c>
      <c r="Q840" t="s">
        <v>124</v>
      </c>
      <c r="R840" t="str" cm="1">
        <f t="array" ref="R840:S840">_xlfn.TEXTSPLIT(Q840, "/", , FALSE)</f>
        <v>theater</v>
      </c>
      <c r="S840" t="str">
        <v>plays</v>
      </c>
    </row>
    <row r="841" spans="1:19" ht="17" x14ac:dyDescent="0.2">
      <c r="A841">
        <v>839</v>
      </c>
      <c r="B841" t="s">
        <v>1807</v>
      </c>
      <c r="C841" s="3" t="s">
        <v>1808</v>
      </c>
      <c r="D841">
        <v>7700</v>
      </c>
      <c r="E841">
        <v>14644</v>
      </c>
      <c r="F841" s="5">
        <f t="shared" si="13"/>
        <v>1.9018181818181819</v>
      </c>
      <c r="G841" t="s">
        <v>8</v>
      </c>
      <c r="H841">
        <v>157</v>
      </c>
      <c r="I841" t="s">
        <v>109</v>
      </c>
      <c r="J841" t="s">
        <v>110</v>
      </c>
      <c r="K841" s="4">
        <v>41715.208333333336</v>
      </c>
      <c r="L841" s="4" t="s">
        <v>49</v>
      </c>
      <c r="M841" s="4" t="s">
        <v>111</v>
      </c>
      <c r="N841" s="4">
        <v>41760.208333333336</v>
      </c>
      <c r="O841" t="b">
        <v>0</v>
      </c>
      <c r="P841" t="b">
        <v>1</v>
      </c>
      <c r="Q841" t="s">
        <v>135</v>
      </c>
      <c r="R841" t="str" cm="1">
        <f t="array" ref="R841:S841">_xlfn.TEXTSPLIT(Q841, "/", , FALSE)</f>
        <v>film &amp; video</v>
      </c>
      <c r="S841" t="str">
        <v>documentary</v>
      </c>
    </row>
    <row r="842" spans="1:19" ht="17" x14ac:dyDescent="0.2">
      <c r="A842">
        <v>840</v>
      </c>
      <c r="B842" t="s">
        <v>1809</v>
      </c>
      <c r="C842" s="3" t="s">
        <v>1810</v>
      </c>
      <c r="D842">
        <v>116300</v>
      </c>
      <c r="E842">
        <v>116583</v>
      </c>
      <c r="F842" s="5">
        <f t="shared" si="13"/>
        <v>1.0024333619948409</v>
      </c>
      <c r="G842" t="s">
        <v>8</v>
      </c>
      <c r="H842">
        <v>3533</v>
      </c>
      <c r="I842" t="s">
        <v>109</v>
      </c>
      <c r="J842" t="s">
        <v>110</v>
      </c>
      <c r="K842" s="4">
        <v>41836.208333333336</v>
      </c>
      <c r="L842" s="4" t="s">
        <v>53</v>
      </c>
      <c r="M842" s="4" t="s">
        <v>111</v>
      </c>
      <c r="N842" s="4">
        <v>41838.208333333336</v>
      </c>
      <c r="O842" t="b">
        <v>0</v>
      </c>
      <c r="P842" t="b">
        <v>1</v>
      </c>
      <c r="Q842" t="s">
        <v>124</v>
      </c>
      <c r="R842" t="str" cm="1">
        <f t="array" ref="R842:S842">_xlfn.TEXTSPLIT(Q842, "/", , FALSE)</f>
        <v>theater</v>
      </c>
      <c r="S842" t="str">
        <v>plays</v>
      </c>
    </row>
    <row r="843" spans="1:19" ht="17" x14ac:dyDescent="0.2">
      <c r="A843">
        <v>841</v>
      </c>
      <c r="B843" t="s">
        <v>1811</v>
      </c>
      <c r="C843" s="3" t="s">
        <v>1812</v>
      </c>
      <c r="D843">
        <v>9100</v>
      </c>
      <c r="E843">
        <v>12991</v>
      </c>
      <c r="F843" s="5">
        <f t="shared" si="13"/>
        <v>1.4275824175824177</v>
      </c>
      <c r="G843" t="s">
        <v>8</v>
      </c>
      <c r="H843">
        <v>155</v>
      </c>
      <c r="I843" t="s">
        <v>109</v>
      </c>
      <c r="J843" t="s">
        <v>110</v>
      </c>
      <c r="K843" s="4">
        <v>42419.25</v>
      </c>
      <c r="L843" s="4" t="s">
        <v>48</v>
      </c>
      <c r="M843" s="4" t="s">
        <v>153</v>
      </c>
      <c r="N843" s="4">
        <v>42435.25</v>
      </c>
      <c r="O843" t="b">
        <v>0</v>
      </c>
      <c r="P843" t="b">
        <v>0</v>
      </c>
      <c r="Q843" t="s">
        <v>118</v>
      </c>
      <c r="R843" t="str" cm="1">
        <f t="array" ref="R843:S843">_xlfn.TEXTSPLIT(Q843, "/", , FALSE)</f>
        <v>technology</v>
      </c>
      <c r="S843" t="str">
        <v>web</v>
      </c>
    </row>
    <row r="844" spans="1:19" ht="34" x14ac:dyDescent="0.2">
      <c r="A844">
        <v>842</v>
      </c>
      <c r="B844" t="s">
        <v>1813</v>
      </c>
      <c r="C844" s="3" t="s">
        <v>1814</v>
      </c>
      <c r="D844">
        <v>1500</v>
      </c>
      <c r="E844">
        <v>8447</v>
      </c>
      <c r="F844" s="5">
        <f t="shared" si="13"/>
        <v>5.6313333333333331</v>
      </c>
      <c r="G844" t="s">
        <v>8</v>
      </c>
      <c r="H844">
        <v>132</v>
      </c>
      <c r="I844" t="s">
        <v>202</v>
      </c>
      <c r="J844" t="s">
        <v>203</v>
      </c>
      <c r="K844" s="4">
        <v>43266.208333333328</v>
      </c>
      <c r="L844" s="4" t="s">
        <v>52</v>
      </c>
      <c r="M844" s="4" t="s">
        <v>169</v>
      </c>
      <c r="N844" s="4">
        <v>43269.208333333328</v>
      </c>
      <c r="O844" t="b">
        <v>0</v>
      </c>
      <c r="P844" t="b">
        <v>0</v>
      </c>
      <c r="Q844" t="s">
        <v>159</v>
      </c>
      <c r="R844" t="str" cm="1">
        <f t="array" ref="R844:S844">_xlfn.TEXTSPLIT(Q844, "/", , FALSE)</f>
        <v>technology</v>
      </c>
      <c r="S844" t="str">
        <v>wearables</v>
      </c>
    </row>
    <row r="845" spans="1:19" ht="34" x14ac:dyDescent="0.2">
      <c r="A845">
        <v>843</v>
      </c>
      <c r="B845" t="s">
        <v>1815</v>
      </c>
      <c r="C845" s="3" t="s">
        <v>1816</v>
      </c>
      <c r="D845">
        <v>8800</v>
      </c>
      <c r="E845">
        <v>2703</v>
      </c>
      <c r="F845" s="5">
        <f t="shared" si="13"/>
        <v>0.30715909090909088</v>
      </c>
      <c r="G845" t="s">
        <v>6</v>
      </c>
      <c r="H845">
        <v>33</v>
      </c>
      <c r="I845" t="s">
        <v>109</v>
      </c>
      <c r="J845" t="s">
        <v>110</v>
      </c>
      <c r="K845" s="4">
        <v>43338.208333333328</v>
      </c>
      <c r="L845" s="4" t="s">
        <v>54</v>
      </c>
      <c r="M845" s="4" t="s">
        <v>169</v>
      </c>
      <c r="N845" s="4">
        <v>43344.208333333328</v>
      </c>
      <c r="O845" t="b">
        <v>0</v>
      </c>
      <c r="P845" t="b">
        <v>0</v>
      </c>
      <c r="Q845" t="s">
        <v>217</v>
      </c>
      <c r="R845" t="str" cm="1">
        <f t="array" ref="R845:S845">_xlfn.TEXTSPLIT(Q845, "/", , FALSE)</f>
        <v>photography</v>
      </c>
      <c r="S845" t="str">
        <v>photography books</v>
      </c>
    </row>
    <row r="846" spans="1:19" ht="17" x14ac:dyDescent="0.2">
      <c r="A846">
        <v>844</v>
      </c>
      <c r="B846" t="s">
        <v>1817</v>
      </c>
      <c r="C846" s="3" t="s">
        <v>1818</v>
      </c>
      <c r="D846">
        <v>8800</v>
      </c>
      <c r="E846">
        <v>8747</v>
      </c>
      <c r="F846" s="5">
        <f t="shared" si="13"/>
        <v>0.99397727272727276</v>
      </c>
      <c r="G846" t="s">
        <v>5</v>
      </c>
      <c r="H846">
        <v>94</v>
      </c>
      <c r="I846" t="s">
        <v>109</v>
      </c>
      <c r="J846" t="s">
        <v>110</v>
      </c>
      <c r="K846" s="4">
        <v>40930.25</v>
      </c>
      <c r="L846" s="4" t="s">
        <v>47</v>
      </c>
      <c r="M846" s="4" t="s">
        <v>129</v>
      </c>
      <c r="N846" s="4">
        <v>40933.25</v>
      </c>
      <c r="O846" t="b">
        <v>0</v>
      </c>
      <c r="P846" t="b">
        <v>0</v>
      </c>
      <c r="Q846" t="s">
        <v>135</v>
      </c>
      <c r="R846" t="str" cm="1">
        <f t="array" ref="R846:S846">_xlfn.TEXTSPLIT(Q846, "/", , FALSE)</f>
        <v>film &amp; video</v>
      </c>
      <c r="S846" t="str">
        <v>documentary</v>
      </c>
    </row>
    <row r="847" spans="1:19" ht="17" x14ac:dyDescent="0.2">
      <c r="A847">
        <v>845</v>
      </c>
      <c r="B847" t="s">
        <v>1819</v>
      </c>
      <c r="C847" s="3" t="s">
        <v>1820</v>
      </c>
      <c r="D847">
        <v>69900</v>
      </c>
      <c r="E847">
        <v>138087</v>
      </c>
      <c r="F847" s="5">
        <f t="shared" si="13"/>
        <v>1.9754935622317598</v>
      </c>
      <c r="G847" t="s">
        <v>8</v>
      </c>
      <c r="H847">
        <v>1354</v>
      </c>
      <c r="I847" t="s">
        <v>132</v>
      </c>
      <c r="J847" t="s">
        <v>133</v>
      </c>
      <c r="K847" s="4">
        <v>43235.208333333328</v>
      </c>
      <c r="L847" s="4" t="s">
        <v>51</v>
      </c>
      <c r="M847" s="4" t="s">
        <v>169</v>
      </c>
      <c r="N847" s="4">
        <v>43272.208333333328</v>
      </c>
      <c r="O847" t="b">
        <v>0</v>
      </c>
      <c r="P847" t="b">
        <v>0</v>
      </c>
      <c r="Q847" t="s">
        <v>118</v>
      </c>
      <c r="R847" t="str" cm="1">
        <f t="array" ref="R847:S847">_xlfn.TEXTSPLIT(Q847, "/", , FALSE)</f>
        <v>technology</v>
      </c>
      <c r="S847" t="str">
        <v>web</v>
      </c>
    </row>
    <row r="848" spans="1:19" ht="17" x14ac:dyDescent="0.2">
      <c r="A848">
        <v>846</v>
      </c>
      <c r="B848" t="s">
        <v>1821</v>
      </c>
      <c r="C848" s="3" t="s">
        <v>1822</v>
      </c>
      <c r="D848">
        <v>1000</v>
      </c>
      <c r="E848">
        <v>5085</v>
      </c>
      <c r="F848" s="5">
        <f t="shared" si="13"/>
        <v>5.085</v>
      </c>
      <c r="G848" t="s">
        <v>8</v>
      </c>
      <c r="H848">
        <v>48</v>
      </c>
      <c r="I848" t="s">
        <v>109</v>
      </c>
      <c r="J848" t="s">
        <v>110</v>
      </c>
      <c r="K848" s="4">
        <v>43302.208333333328</v>
      </c>
      <c r="L848" s="4" t="s">
        <v>53</v>
      </c>
      <c r="M848" s="4" t="s">
        <v>169</v>
      </c>
      <c r="N848" s="4">
        <v>43338.208333333328</v>
      </c>
      <c r="O848" t="b">
        <v>1</v>
      </c>
      <c r="P848" t="b">
        <v>1</v>
      </c>
      <c r="Q848" t="s">
        <v>118</v>
      </c>
      <c r="R848" t="str" cm="1">
        <f t="array" ref="R848:S848">_xlfn.TEXTSPLIT(Q848, "/", , FALSE)</f>
        <v>technology</v>
      </c>
      <c r="S848" t="str">
        <v>web</v>
      </c>
    </row>
    <row r="849" spans="1:19" ht="17" x14ac:dyDescent="0.2">
      <c r="A849">
        <v>847</v>
      </c>
      <c r="B849" t="s">
        <v>1823</v>
      </c>
      <c r="C849" s="3" t="s">
        <v>1824</v>
      </c>
      <c r="D849">
        <v>4700</v>
      </c>
      <c r="E849">
        <v>11174</v>
      </c>
      <c r="F849" s="5">
        <f t="shared" si="13"/>
        <v>2.3774468085106384</v>
      </c>
      <c r="G849" t="s">
        <v>8</v>
      </c>
      <c r="H849">
        <v>110</v>
      </c>
      <c r="I849" t="s">
        <v>109</v>
      </c>
      <c r="J849" t="s">
        <v>110</v>
      </c>
      <c r="K849" s="4">
        <v>43107.25</v>
      </c>
      <c r="L849" s="4" t="s">
        <v>47</v>
      </c>
      <c r="M849" s="4" t="s">
        <v>169</v>
      </c>
      <c r="N849" s="4">
        <v>43110.25</v>
      </c>
      <c r="O849" t="b">
        <v>0</v>
      </c>
      <c r="P849" t="b">
        <v>0</v>
      </c>
      <c r="Q849" t="s">
        <v>106</v>
      </c>
      <c r="R849" t="str" cm="1">
        <f t="array" ref="R849:S849">_xlfn.TEXTSPLIT(Q849, "/", , FALSE)</f>
        <v>food</v>
      </c>
      <c r="S849" t="str">
        <v>food trucks</v>
      </c>
    </row>
    <row r="850" spans="1:19" ht="17" x14ac:dyDescent="0.2">
      <c r="A850">
        <v>848</v>
      </c>
      <c r="B850" t="s">
        <v>1825</v>
      </c>
      <c r="C850" s="3" t="s">
        <v>1826</v>
      </c>
      <c r="D850">
        <v>3200</v>
      </c>
      <c r="E850">
        <v>10831</v>
      </c>
      <c r="F850" s="5">
        <f t="shared" si="13"/>
        <v>3.3846875000000001</v>
      </c>
      <c r="G850" t="s">
        <v>8</v>
      </c>
      <c r="H850">
        <v>172</v>
      </c>
      <c r="I850" t="s">
        <v>109</v>
      </c>
      <c r="J850" t="s">
        <v>110</v>
      </c>
      <c r="K850" s="4">
        <v>40341.208333333336</v>
      </c>
      <c r="L850" s="4" t="s">
        <v>52</v>
      </c>
      <c r="M850" s="4" t="s">
        <v>140</v>
      </c>
      <c r="N850" s="4">
        <v>40350.208333333336</v>
      </c>
      <c r="O850" t="b">
        <v>0</v>
      </c>
      <c r="P850" t="b">
        <v>0</v>
      </c>
      <c r="Q850" t="s">
        <v>146</v>
      </c>
      <c r="R850" t="str" cm="1">
        <f t="array" ref="R850:S850">_xlfn.TEXTSPLIT(Q850, "/", , FALSE)</f>
        <v>film &amp; video</v>
      </c>
      <c r="S850" t="str">
        <v>drama</v>
      </c>
    </row>
    <row r="851" spans="1:19" ht="17" x14ac:dyDescent="0.2">
      <c r="A851">
        <v>849</v>
      </c>
      <c r="B851" t="s">
        <v>1827</v>
      </c>
      <c r="C851" s="3" t="s">
        <v>1828</v>
      </c>
      <c r="D851">
        <v>6700</v>
      </c>
      <c r="E851">
        <v>8917</v>
      </c>
      <c r="F851" s="5">
        <f t="shared" si="13"/>
        <v>1.3308955223880596</v>
      </c>
      <c r="G851" t="s">
        <v>8</v>
      </c>
      <c r="H851">
        <v>307</v>
      </c>
      <c r="I851" t="s">
        <v>109</v>
      </c>
      <c r="J851" t="s">
        <v>110</v>
      </c>
      <c r="K851" s="4">
        <v>40948.25</v>
      </c>
      <c r="L851" s="4" t="s">
        <v>48</v>
      </c>
      <c r="M851" s="4" t="s">
        <v>129</v>
      </c>
      <c r="N851" s="4">
        <v>40951.25</v>
      </c>
      <c r="O851" t="b">
        <v>0</v>
      </c>
      <c r="P851" t="b">
        <v>1</v>
      </c>
      <c r="Q851" t="s">
        <v>154</v>
      </c>
      <c r="R851" t="str" cm="1">
        <f t="array" ref="R851:S851">_xlfn.TEXTSPLIT(Q851, "/", , FALSE)</f>
        <v>music</v>
      </c>
      <c r="S851" t="str">
        <v>indie rock</v>
      </c>
    </row>
    <row r="852" spans="1:19" ht="34" x14ac:dyDescent="0.2">
      <c r="A852">
        <v>850</v>
      </c>
      <c r="B852" t="s">
        <v>1829</v>
      </c>
      <c r="C852" s="3" t="s">
        <v>1830</v>
      </c>
      <c r="D852">
        <v>100</v>
      </c>
      <c r="E852">
        <v>1</v>
      </c>
      <c r="F852" s="5">
        <f t="shared" si="13"/>
        <v>0.01</v>
      </c>
      <c r="G852" t="s">
        <v>6</v>
      </c>
      <c r="H852">
        <v>1</v>
      </c>
      <c r="I852" t="s">
        <v>109</v>
      </c>
      <c r="J852" t="s">
        <v>110</v>
      </c>
      <c r="K852" s="4">
        <v>40866.25</v>
      </c>
      <c r="L852" s="4" t="s">
        <v>57</v>
      </c>
      <c r="M852" s="4" t="s">
        <v>165</v>
      </c>
      <c r="N852" s="4">
        <v>40881.25</v>
      </c>
      <c r="O852" t="b">
        <v>1</v>
      </c>
      <c r="P852" t="b">
        <v>0</v>
      </c>
      <c r="Q852" t="s">
        <v>112</v>
      </c>
      <c r="R852" t="str" cm="1">
        <f t="array" ref="R852:S852">_xlfn.TEXTSPLIT(Q852, "/", , FALSE)</f>
        <v>music</v>
      </c>
      <c r="S852" t="str">
        <v>rock</v>
      </c>
    </row>
    <row r="853" spans="1:19" ht="34" x14ac:dyDescent="0.2">
      <c r="A853">
        <v>851</v>
      </c>
      <c r="B853" t="s">
        <v>1831</v>
      </c>
      <c r="C853" s="3" t="s">
        <v>1832</v>
      </c>
      <c r="D853">
        <v>6000</v>
      </c>
      <c r="E853">
        <v>12468</v>
      </c>
      <c r="F853" s="5">
        <f t="shared" si="13"/>
        <v>2.0779999999999998</v>
      </c>
      <c r="G853" t="s">
        <v>8</v>
      </c>
      <c r="H853">
        <v>160</v>
      </c>
      <c r="I853" t="s">
        <v>109</v>
      </c>
      <c r="J853" t="s">
        <v>110</v>
      </c>
      <c r="K853" s="4">
        <v>41031.208333333336</v>
      </c>
      <c r="L853" s="4" t="s">
        <v>51</v>
      </c>
      <c r="M853" s="4" t="s">
        <v>129</v>
      </c>
      <c r="N853" s="4">
        <v>41064.208333333336</v>
      </c>
      <c r="O853" t="b">
        <v>0</v>
      </c>
      <c r="P853" t="b">
        <v>0</v>
      </c>
      <c r="Q853" t="s">
        <v>143</v>
      </c>
      <c r="R853" t="str" cm="1">
        <f t="array" ref="R853:S853">_xlfn.TEXTSPLIT(Q853, "/", , FALSE)</f>
        <v>music</v>
      </c>
      <c r="S853" t="str">
        <v>electric music</v>
      </c>
    </row>
    <row r="854" spans="1:19" ht="34" x14ac:dyDescent="0.2">
      <c r="A854">
        <v>852</v>
      </c>
      <c r="B854" t="s">
        <v>1833</v>
      </c>
      <c r="C854" s="3" t="s">
        <v>1834</v>
      </c>
      <c r="D854">
        <v>4900</v>
      </c>
      <c r="E854">
        <v>2505</v>
      </c>
      <c r="F854" s="5">
        <f t="shared" si="13"/>
        <v>0.51122448979591839</v>
      </c>
      <c r="G854" t="s">
        <v>6</v>
      </c>
      <c r="H854">
        <v>31</v>
      </c>
      <c r="I854" t="s">
        <v>109</v>
      </c>
      <c r="J854" t="s">
        <v>110</v>
      </c>
      <c r="K854" s="4">
        <v>40740.208333333336</v>
      </c>
      <c r="L854" s="4" t="s">
        <v>53</v>
      </c>
      <c r="M854" s="4" t="s">
        <v>165</v>
      </c>
      <c r="N854" s="4">
        <v>40750.208333333336</v>
      </c>
      <c r="O854" t="b">
        <v>0</v>
      </c>
      <c r="P854" t="b">
        <v>1</v>
      </c>
      <c r="Q854" t="s">
        <v>184</v>
      </c>
      <c r="R854" t="str" cm="1">
        <f t="array" ref="R854:S854">_xlfn.TEXTSPLIT(Q854, "/", , FALSE)</f>
        <v>games</v>
      </c>
      <c r="S854" t="str">
        <v>video games</v>
      </c>
    </row>
    <row r="855" spans="1:19" ht="17" x14ac:dyDescent="0.2">
      <c r="A855">
        <v>853</v>
      </c>
      <c r="B855" t="s">
        <v>1835</v>
      </c>
      <c r="C855" s="3" t="s">
        <v>1836</v>
      </c>
      <c r="D855">
        <v>17100</v>
      </c>
      <c r="E855">
        <v>111502</v>
      </c>
      <c r="F855" s="5">
        <f t="shared" si="13"/>
        <v>6.5205847953216374</v>
      </c>
      <c r="G855" t="s">
        <v>8</v>
      </c>
      <c r="H855">
        <v>1467</v>
      </c>
      <c r="I855" t="s">
        <v>103</v>
      </c>
      <c r="J855" t="s">
        <v>104</v>
      </c>
      <c r="K855" s="4">
        <v>40714.208333333336</v>
      </c>
      <c r="L855" s="4" t="s">
        <v>52</v>
      </c>
      <c r="M855" s="4" t="s">
        <v>165</v>
      </c>
      <c r="N855" s="4">
        <v>40719.208333333336</v>
      </c>
      <c r="O855" t="b">
        <v>0</v>
      </c>
      <c r="P855" t="b">
        <v>1</v>
      </c>
      <c r="Q855" t="s">
        <v>154</v>
      </c>
      <c r="R855" t="str" cm="1">
        <f t="array" ref="R855:S855">_xlfn.TEXTSPLIT(Q855, "/", , FALSE)</f>
        <v>music</v>
      </c>
      <c r="S855" t="str">
        <v>indie rock</v>
      </c>
    </row>
    <row r="856" spans="1:19" ht="34" x14ac:dyDescent="0.2">
      <c r="A856">
        <v>854</v>
      </c>
      <c r="B856" t="s">
        <v>1837</v>
      </c>
      <c r="C856" s="3" t="s">
        <v>1838</v>
      </c>
      <c r="D856">
        <v>171000</v>
      </c>
      <c r="E856">
        <v>194309</v>
      </c>
      <c r="F856" s="5">
        <f t="shared" si="13"/>
        <v>1.1363099415204678</v>
      </c>
      <c r="G856" t="s">
        <v>8</v>
      </c>
      <c r="H856">
        <v>2662</v>
      </c>
      <c r="I856" t="s">
        <v>103</v>
      </c>
      <c r="J856" t="s">
        <v>104</v>
      </c>
      <c r="K856" s="4">
        <v>43787.25</v>
      </c>
      <c r="L856" s="4" t="s">
        <v>57</v>
      </c>
      <c r="M856" s="4" t="s">
        <v>121</v>
      </c>
      <c r="N856" s="4">
        <v>43814.25</v>
      </c>
      <c r="O856" t="b">
        <v>0</v>
      </c>
      <c r="P856" t="b">
        <v>0</v>
      </c>
      <c r="Q856" t="s">
        <v>214</v>
      </c>
      <c r="R856" t="str" cm="1">
        <f t="array" ref="R856:S856">_xlfn.TEXTSPLIT(Q856, "/", , FALSE)</f>
        <v>publishing</v>
      </c>
      <c r="S856" t="str">
        <v>fiction</v>
      </c>
    </row>
    <row r="857" spans="1:19" ht="17" x14ac:dyDescent="0.2">
      <c r="A857">
        <v>855</v>
      </c>
      <c r="B857" t="s">
        <v>1839</v>
      </c>
      <c r="C857" s="3" t="s">
        <v>1840</v>
      </c>
      <c r="D857">
        <v>23400</v>
      </c>
      <c r="E857">
        <v>23956</v>
      </c>
      <c r="F857" s="5">
        <f t="shared" si="13"/>
        <v>1.0237606837606839</v>
      </c>
      <c r="G857" t="s">
        <v>8</v>
      </c>
      <c r="H857">
        <v>452</v>
      </c>
      <c r="I857" t="s">
        <v>115</v>
      </c>
      <c r="J857" t="s">
        <v>116</v>
      </c>
      <c r="K857" s="4">
        <v>40712.208333333336</v>
      </c>
      <c r="L857" s="4" t="s">
        <v>52</v>
      </c>
      <c r="M857" s="4" t="s">
        <v>165</v>
      </c>
      <c r="N857" s="4">
        <v>40743.208333333336</v>
      </c>
      <c r="O857" t="b">
        <v>0</v>
      </c>
      <c r="P857" t="b">
        <v>0</v>
      </c>
      <c r="Q857" t="s">
        <v>124</v>
      </c>
      <c r="R857" t="str" cm="1">
        <f t="array" ref="R857:S857">_xlfn.TEXTSPLIT(Q857, "/", , FALSE)</f>
        <v>theater</v>
      </c>
      <c r="S857" t="str">
        <v>plays</v>
      </c>
    </row>
    <row r="858" spans="1:19" ht="17" x14ac:dyDescent="0.2">
      <c r="A858">
        <v>856</v>
      </c>
      <c r="B858" t="s">
        <v>1695</v>
      </c>
      <c r="C858" s="3" t="s">
        <v>1841</v>
      </c>
      <c r="D858">
        <v>2400</v>
      </c>
      <c r="E858">
        <v>8558</v>
      </c>
      <c r="F858" s="5">
        <f t="shared" si="13"/>
        <v>3.5658333333333334</v>
      </c>
      <c r="G858" t="s">
        <v>8</v>
      </c>
      <c r="H858">
        <v>158</v>
      </c>
      <c r="I858" t="s">
        <v>109</v>
      </c>
      <c r="J858" t="s">
        <v>110</v>
      </c>
      <c r="K858" s="4">
        <v>41023.208333333336</v>
      </c>
      <c r="L858" s="4" t="s">
        <v>50</v>
      </c>
      <c r="M858" s="4" t="s">
        <v>129</v>
      </c>
      <c r="N858" s="4">
        <v>41040.208333333336</v>
      </c>
      <c r="O858" t="b">
        <v>0</v>
      </c>
      <c r="P858" t="b">
        <v>0</v>
      </c>
      <c r="Q858" t="s">
        <v>106</v>
      </c>
      <c r="R858" t="str" cm="1">
        <f t="array" ref="R858:S858">_xlfn.TEXTSPLIT(Q858, "/", , FALSE)</f>
        <v>food</v>
      </c>
      <c r="S858" t="str">
        <v>food trucks</v>
      </c>
    </row>
    <row r="859" spans="1:19" ht="34" x14ac:dyDescent="0.2">
      <c r="A859">
        <v>857</v>
      </c>
      <c r="B859" t="s">
        <v>1842</v>
      </c>
      <c r="C859" s="3" t="s">
        <v>1843</v>
      </c>
      <c r="D859">
        <v>5300</v>
      </c>
      <c r="E859">
        <v>7413</v>
      </c>
      <c r="F859" s="5">
        <f t="shared" si="13"/>
        <v>1.3986792452830188</v>
      </c>
      <c r="G859" t="s">
        <v>8</v>
      </c>
      <c r="H859">
        <v>225</v>
      </c>
      <c r="I859" t="s">
        <v>193</v>
      </c>
      <c r="J859" t="s">
        <v>194</v>
      </c>
      <c r="K859" s="4">
        <v>40944.25</v>
      </c>
      <c r="L859" s="4" t="s">
        <v>48</v>
      </c>
      <c r="M859" s="4" t="s">
        <v>129</v>
      </c>
      <c r="N859" s="4">
        <v>40967.25</v>
      </c>
      <c r="O859" t="b">
        <v>1</v>
      </c>
      <c r="P859" t="b">
        <v>0</v>
      </c>
      <c r="Q859" t="s">
        <v>195</v>
      </c>
      <c r="R859" t="str" cm="1">
        <f t="array" ref="R859:S859">_xlfn.TEXTSPLIT(Q859, "/", , FALSE)</f>
        <v>film &amp; video</v>
      </c>
      <c r="S859" t="str">
        <v>shorts</v>
      </c>
    </row>
    <row r="860" spans="1:19" ht="34" x14ac:dyDescent="0.2">
      <c r="A860">
        <v>858</v>
      </c>
      <c r="B860" t="s">
        <v>1844</v>
      </c>
      <c r="C860" s="3" t="s">
        <v>1845</v>
      </c>
      <c r="D860">
        <v>4000</v>
      </c>
      <c r="E860">
        <v>2778</v>
      </c>
      <c r="F860" s="5">
        <f t="shared" si="13"/>
        <v>0.69450000000000001</v>
      </c>
      <c r="G860" t="s">
        <v>6</v>
      </c>
      <c r="H860">
        <v>35</v>
      </c>
      <c r="I860" t="s">
        <v>109</v>
      </c>
      <c r="J860" t="s">
        <v>110</v>
      </c>
      <c r="K860" s="4">
        <v>43211.208333333328</v>
      </c>
      <c r="L860" s="4" t="s">
        <v>50</v>
      </c>
      <c r="M860" s="4" t="s">
        <v>169</v>
      </c>
      <c r="N860" s="4">
        <v>43218.208333333328</v>
      </c>
      <c r="O860" t="b">
        <v>1</v>
      </c>
      <c r="P860" t="b">
        <v>0</v>
      </c>
      <c r="Q860" t="s">
        <v>106</v>
      </c>
      <c r="R860" t="str" cm="1">
        <f t="array" ref="R860:S860">_xlfn.TEXTSPLIT(Q860, "/", , FALSE)</f>
        <v>food</v>
      </c>
      <c r="S860" t="str">
        <v>food trucks</v>
      </c>
    </row>
    <row r="861" spans="1:19" ht="34" x14ac:dyDescent="0.2">
      <c r="A861">
        <v>859</v>
      </c>
      <c r="B861" t="s">
        <v>1846</v>
      </c>
      <c r="C861" s="3" t="s">
        <v>1847</v>
      </c>
      <c r="D861">
        <v>7300</v>
      </c>
      <c r="E861">
        <v>2594</v>
      </c>
      <c r="F861" s="5">
        <f t="shared" si="13"/>
        <v>0.35534246575342465</v>
      </c>
      <c r="G861" t="s">
        <v>6</v>
      </c>
      <c r="H861">
        <v>63</v>
      </c>
      <c r="I861" t="s">
        <v>109</v>
      </c>
      <c r="J861" t="s">
        <v>110</v>
      </c>
      <c r="K861" s="4">
        <v>41334.25</v>
      </c>
      <c r="L861" s="4" t="s">
        <v>49</v>
      </c>
      <c r="M861" s="4" t="s">
        <v>117</v>
      </c>
      <c r="N861" s="4">
        <v>41352.208333333336</v>
      </c>
      <c r="O861" t="b">
        <v>0</v>
      </c>
      <c r="P861" t="b">
        <v>1</v>
      </c>
      <c r="Q861" t="s">
        <v>124</v>
      </c>
      <c r="R861" t="str" cm="1">
        <f t="array" ref="R861:S861">_xlfn.TEXTSPLIT(Q861, "/", , FALSE)</f>
        <v>theater</v>
      </c>
      <c r="S861" t="str">
        <v>plays</v>
      </c>
    </row>
    <row r="862" spans="1:19" ht="34" x14ac:dyDescent="0.2">
      <c r="A862">
        <v>860</v>
      </c>
      <c r="B862" t="s">
        <v>1848</v>
      </c>
      <c r="C862" s="3" t="s">
        <v>1849</v>
      </c>
      <c r="D862">
        <v>2000</v>
      </c>
      <c r="E862">
        <v>5033</v>
      </c>
      <c r="F862" s="5">
        <f t="shared" si="13"/>
        <v>2.5165000000000002</v>
      </c>
      <c r="G862" t="s">
        <v>8</v>
      </c>
      <c r="H862">
        <v>65</v>
      </c>
      <c r="I862" t="s">
        <v>109</v>
      </c>
      <c r="J862" t="s">
        <v>110</v>
      </c>
      <c r="K862" s="4">
        <v>43515.25</v>
      </c>
      <c r="L862" s="4" t="s">
        <v>48</v>
      </c>
      <c r="M862" s="4" t="s">
        <v>121</v>
      </c>
      <c r="N862" s="4">
        <v>43525.25</v>
      </c>
      <c r="O862" t="b">
        <v>0</v>
      </c>
      <c r="P862" t="b">
        <v>1</v>
      </c>
      <c r="Q862" t="s">
        <v>159</v>
      </c>
      <c r="R862" t="str" cm="1">
        <f t="array" ref="R862:S862">_xlfn.TEXTSPLIT(Q862, "/", , FALSE)</f>
        <v>technology</v>
      </c>
      <c r="S862" t="str">
        <v>wearables</v>
      </c>
    </row>
    <row r="863" spans="1:19" ht="17" x14ac:dyDescent="0.2">
      <c r="A863">
        <v>861</v>
      </c>
      <c r="B863" t="s">
        <v>1850</v>
      </c>
      <c r="C863" s="3" t="s">
        <v>1851</v>
      </c>
      <c r="D863">
        <v>8800</v>
      </c>
      <c r="E863">
        <v>9317</v>
      </c>
      <c r="F863" s="5">
        <f t="shared" si="13"/>
        <v>1.0587500000000001</v>
      </c>
      <c r="G863" t="s">
        <v>8</v>
      </c>
      <c r="H863">
        <v>163</v>
      </c>
      <c r="I863" t="s">
        <v>109</v>
      </c>
      <c r="J863" t="s">
        <v>110</v>
      </c>
      <c r="K863" s="4">
        <v>40258.208333333336</v>
      </c>
      <c r="L863" s="4" t="s">
        <v>49</v>
      </c>
      <c r="M863" s="4" t="s">
        <v>140</v>
      </c>
      <c r="N863" s="4">
        <v>40266.208333333336</v>
      </c>
      <c r="O863" t="b">
        <v>0</v>
      </c>
      <c r="P863" t="b">
        <v>0</v>
      </c>
      <c r="Q863" t="s">
        <v>124</v>
      </c>
      <c r="R863" t="str" cm="1">
        <f t="array" ref="R863:S863">_xlfn.TEXTSPLIT(Q863, "/", , FALSE)</f>
        <v>theater</v>
      </c>
      <c r="S863" t="str">
        <v>plays</v>
      </c>
    </row>
    <row r="864" spans="1:19" ht="17" x14ac:dyDescent="0.2">
      <c r="A864">
        <v>862</v>
      </c>
      <c r="B864" t="s">
        <v>1852</v>
      </c>
      <c r="C864" s="3" t="s">
        <v>1853</v>
      </c>
      <c r="D864">
        <v>3500</v>
      </c>
      <c r="E864">
        <v>6560</v>
      </c>
      <c r="F864" s="5">
        <f t="shared" si="13"/>
        <v>1.8742857142857143</v>
      </c>
      <c r="G864" t="s">
        <v>8</v>
      </c>
      <c r="H864">
        <v>85</v>
      </c>
      <c r="I864" t="s">
        <v>109</v>
      </c>
      <c r="J864" t="s">
        <v>110</v>
      </c>
      <c r="K864" s="4">
        <v>40756.208333333336</v>
      </c>
      <c r="L864" s="4" t="s">
        <v>54</v>
      </c>
      <c r="M864" s="4" t="s">
        <v>165</v>
      </c>
      <c r="N864" s="4">
        <v>40760.208333333336</v>
      </c>
      <c r="O864" t="b">
        <v>0</v>
      </c>
      <c r="P864" t="b">
        <v>0</v>
      </c>
      <c r="Q864" t="s">
        <v>124</v>
      </c>
      <c r="R864" t="str" cm="1">
        <f t="array" ref="R864:S864">_xlfn.TEXTSPLIT(Q864, "/", , FALSE)</f>
        <v>theater</v>
      </c>
      <c r="S864" t="str">
        <v>plays</v>
      </c>
    </row>
    <row r="865" spans="1:19" ht="17" x14ac:dyDescent="0.2">
      <c r="A865">
        <v>863</v>
      </c>
      <c r="B865" t="s">
        <v>1854</v>
      </c>
      <c r="C865" s="3" t="s">
        <v>1855</v>
      </c>
      <c r="D865">
        <v>1400</v>
      </c>
      <c r="E865">
        <v>5415</v>
      </c>
      <c r="F865" s="5">
        <f t="shared" si="13"/>
        <v>3.8678571428571429</v>
      </c>
      <c r="G865" t="s">
        <v>8</v>
      </c>
      <c r="H865">
        <v>217</v>
      </c>
      <c r="I865" t="s">
        <v>109</v>
      </c>
      <c r="J865" t="s">
        <v>110</v>
      </c>
      <c r="K865" s="4">
        <v>42172.208333333328</v>
      </c>
      <c r="L865" s="4" t="s">
        <v>52</v>
      </c>
      <c r="M865" s="4" t="s">
        <v>105</v>
      </c>
      <c r="N865" s="4">
        <v>42195.208333333328</v>
      </c>
      <c r="O865" t="b">
        <v>0</v>
      </c>
      <c r="P865" t="b">
        <v>1</v>
      </c>
      <c r="Q865" t="s">
        <v>364</v>
      </c>
      <c r="R865" t="str" cm="1">
        <f t="array" ref="R865:S865">_xlfn.TEXTSPLIT(Q865, "/", , FALSE)</f>
        <v>film &amp; video</v>
      </c>
      <c r="S865" t="str">
        <v>television</v>
      </c>
    </row>
    <row r="866" spans="1:19" ht="17" x14ac:dyDescent="0.2">
      <c r="A866">
        <v>864</v>
      </c>
      <c r="B866" t="s">
        <v>1856</v>
      </c>
      <c r="C866" s="3" t="s">
        <v>1857</v>
      </c>
      <c r="D866">
        <v>4200</v>
      </c>
      <c r="E866">
        <v>14577</v>
      </c>
      <c r="F866" s="5">
        <f t="shared" si="13"/>
        <v>3.4707142857142856</v>
      </c>
      <c r="G866" t="s">
        <v>8</v>
      </c>
      <c r="H866">
        <v>150</v>
      </c>
      <c r="I866" t="s">
        <v>109</v>
      </c>
      <c r="J866" t="s">
        <v>110</v>
      </c>
      <c r="K866" s="4">
        <v>42601.208333333328</v>
      </c>
      <c r="L866" s="4" t="s">
        <v>54</v>
      </c>
      <c r="M866" s="4" t="s">
        <v>153</v>
      </c>
      <c r="N866" s="4">
        <v>42606.208333333328</v>
      </c>
      <c r="O866" t="b">
        <v>0</v>
      </c>
      <c r="P866" t="b">
        <v>0</v>
      </c>
      <c r="Q866" t="s">
        <v>195</v>
      </c>
      <c r="R866" t="str" cm="1">
        <f t="array" ref="R866:S866">_xlfn.TEXTSPLIT(Q866, "/", , FALSE)</f>
        <v>film &amp; video</v>
      </c>
      <c r="S866" t="str">
        <v>shorts</v>
      </c>
    </row>
    <row r="867" spans="1:19" ht="17" x14ac:dyDescent="0.2">
      <c r="A867">
        <v>865</v>
      </c>
      <c r="B867" t="s">
        <v>1858</v>
      </c>
      <c r="C867" s="3" t="s">
        <v>1859</v>
      </c>
      <c r="D867">
        <v>81000</v>
      </c>
      <c r="E867">
        <v>150515</v>
      </c>
      <c r="F867" s="5">
        <f t="shared" si="13"/>
        <v>1.8582098765432098</v>
      </c>
      <c r="G867" t="s">
        <v>8</v>
      </c>
      <c r="H867">
        <v>3272</v>
      </c>
      <c r="I867" t="s">
        <v>109</v>
      </c>
      <c r="J867" t="s">
        <v>110</v>
      </c>
      <c r="K867" s="4">
        <v>41897.208333333336</v>
      </c>
      <c r="L867" s="4" t="s">
        <v>55</v>
      </c>
      <c r="M867" s="4" t="s">
        <v>111</v>
      </c>
      <c r="N867" s="4">
        <v>41906.208333333336</v>
      </c>
      <c r="O867" t="b">
        <v>0</v>
      </c>
      <c r="P867" t="b">
        <v>0</v>
      </c>
      <c r="Q867" t="s">
        <v>124</v>
      </c>
      <c r="R867" t="str" cm="1">
        <f t="array" ref="R867:S867">_xlfn.TEXTSPLIT(Q867, "/", , FALSE)</f>
        <v>theater</v>
      </c>
      <c r="S867" t="str">
        <v>plays</v>
      </c>
    </row>
    <row r="868" spans="1:19" ht="17" x14ac:dyDescent="0.2">
      <c r="A868">
        <v>866</v>
      </c>
      <c r="B868" t="s">
        <v>1860</v>
      </c>
      <c r="C868" s="3" t="s">
        <v>1861</v>
      </c>
      <c r="D868">
        <v>182800</v>
      </c>
      <c r="E868">
        <v>79045</v>
      </c>
      <c r="F868" s="5">
        <f t="shared" si="13"/>
        <v>0.43241247264770238</v>
      </c>
      <c r="G868" t="s">
        <v>5</v>
      </c>
      <c r="H868">
        <v>898</v>
      </c>
      <c r="I868" t="s">
        <v>109</v>
      </c>
      <c r="J868" t="s">
        <v>110</v>
      </c>
      <c r="K868" s="4">
        <v>40671.208333333336</v>
      </c>
      <c r="L868" s="4" t="s">
        <v>51</v>
      </c>
      <c r="M868" s="4" t="s">
        <v>165</v>
      </c>
      <c r="N868" s="4">
        <v>40672.208333333336</v>
      </c>
      <c r="O868" t="b">
        <v>0</v>
      </c>
      <c r="P868" t="b">
        <v>0</v>
      </c>
      <c r="Q868" t="s">
        <v>217</v>
      </c>
      <c r="R868" t="str" cm="1">
        <f t="array" ref="R868:S868">_xlfn.TEXTSPLIT(Q868, "/", , FALSE)</f>
        <v>photography</v>
      </c>
      <c r="S868" t="str">
        <v>photography books</v>
      </c>
    </row>
    <row r="869" spans="1:19" ht="34" x14ac:dyDescent="0.2">
      <c r="A869">
        <v>867</v>
      </c>
      <c r="B869" t="s">
        <v>1862</v>
      </c>
      <c r="C869" s="3" t="s">
        <v>1863</v>
      </c>
      <c r="D869">
        <v>4800</v>
      </c>
      <c r="E869">
        <v>7797</v>
      </c>
      <c r="F869" s="5">
        <f t="shared" si="13"/>
        <v>1.6243749999999999</v>
      </c>
      <c r="G869" t="s">
        <v>8</v>
      </c>
      <c r="H869">
        <v>300</v>
      </c>
      <c r="I869" t="s">
        <v>109</v>
      </c>
      <c r="J869" t="s">
        <v>110</v>
      </c>
      <c r="K869" s="4">
        <v>43382.208333333328</v>
      </c>
      <c r="L869" s="4" t="s">
        <v>56</v>
      </c>
      <c r="M869" s="4" t="s">
        <v>169</v>
      </c>
      <c r="N869" s="4">
        <v>43388.208333333328</v>
      </c>
      <c r="O869" t="b">
        <v>0</v>
      </c>
      <c r="P869" t="b">
        <v>0</v>
      </c>
      <c r="Q869" t="s">
        <v>106</v>
      </c>
      <c r="R869" t="str" cm="1">
        <f t="array" ref="R869:S869">_xlfn.TEXTSPLIT(Q869, "/", , FALSE)</f>
        <v>food</v>
      </c>
      <c r="S869" t="str">
        <v>food trucks</v>
      </c>
    </row>
    <row r="870" spans="1:19" ht="17" x14ac:dyDescent="0.2">
      <c r="A870">
        <v>868</v>
      </c>
      <c r="B870" t="s">
        <v>1864</v>
      </c>
      <c r="C870" s="3" t="s">
        <v>1865</v>
      </c>
      <c r="D870">
        <v>7000</v>
      </c>
      <c r="E870">
        <v>12939</v>
      </c>
      <c r="F870" s="5">
        <f t="shared" si="13"/>
        <v>1.8484285714285715</v>
      </c>
      <c r="G870" t="s">
        <v>8</v>
      </c>
      <c r="H870">
        <v>126</v>
      </c>
      <c r="I870" t="s">
        <v>109</v>
      </c>
      <c r="J870" t="s">
        <v>110</v>
      </c>
      <c r="K870" s="4">
        <v>41559.208333333336</v>
      </c>
      <c r="L870" s="4" t="s">
        <v>56</v>
      </c>
      <c r="M870" s="4" t="s">
        <v>117</v>
      </c>
      <c r="N870" s="4">
        <v>41570.208333333336</v>
      </c>
      <c r="O870" t="b">
        <v>0</v>
      </c>
      <c r="P870" t="b">
        <v>0</v>
      </c>
      <c r="Q870" t="s">
        <v>124</v>
      </c>
      <c r="R870" t="str" cm="1">
        <f t="array" ref="R870:S870">_xlfn.TEXTSPLIT(Q870, "/", , FALSE)</f>
        <v>theater</v>
      </c>
      <c r="S870" t="str">
        <v>plays</v>
      </c>
    </row>
    <row r="871" spans="1:19" ht="17" x14ac:dyDescent="0.2">
      <c r="A871">
        <v>869</v>
      </c>
      <c r="B871" t="s">
        <v>1866</v>
      </c>
      <c r="C871" s="3" t="s">
        <v>1867</v>
      </c>
      <c r="D871">
        <v>161900</v>
      </c>
      <c r="E871">
        <v>38376</v>
      </c>
      <c r="F871" s="5">
        <f t="shared" si="13"/>
        <v>0.23703520691785052</v>
      </c>
      <c r="G871" t="s">
        <v>6</v>
      </c>
      <c r="H871">
        <v>526</v>
      </c>
      <c r="I871" t="s">
        <v>109</v>
      </c>
      <c r="J871" t="s">
        <v>110</v>
      </c>
      <c r="K871" s="4">
        <v>40350.208333333336</v>
      </c>
      <c r="L871" s="4" t="s">
        <v>52</v>
      </c>
      <c r="M871" s="4" t="s">
        <v>140</v>
      </c>
      <c r="N871" s="4">
        <v>40364.208333333336</v>
      </c>
      <c r="O871" t="b">
        <v>0</v>
      </c>
      <c r="P871" t="b">
        <v>0</v>
      </c>
      <c r="Q871" t="s">
        <v>146</v>
      </c>
      <c r="R871" t="str" cm="1">
        <f t="array" ref="R871:S871">_xlfn.TEXTSPLIT(Q871, "/", , FALSE)</f>
        <v>film &amp; video</v>
      </c>
      <c r="S871" t="str">
        <v>drama</v>
      </c>
    </row>
    <row r="872" spans="1:19" ht="17" x14ac:dyDescent="0.2">
      <c r="A872">
        <v>870</v>
      </c>
      <c r="B872" t="s">
        <v>1868</v>
      </c>
      <c r="C872" s="3" t="s">
        <v>1869</v>
      </c>
      <c r="D872">
        <v>7700</v>
      </c>
      <c r="E872">
        <v>6920</v>
      </c>
      <c r="F872" s="5">
        <f t="shared" si="13"/>
        <v>0.89870129870129867</v>
      </c>
      <c r="G872" t="s">
        <v>6</v>
      </c>
      <c r="H872">
        <v>121</v>
      </c>
      <c r="I872" t="s">
        <v>109</v>
      </c>
      <c r="J872" t="s">
        <v>110</v>
      </c>
      <c r="K872" s="4">
        <v>42240.208333333328</v>
      </c>
      <c r="L872" s="4" t="s">
        <v>54</v>
      </c>
      <c r="M872" s="4" t="s">
        <v>105</v>
      </c>
      <c r="N872" s="4">
        <v>42265.208333333328</v>
      </c>
      <c r="O872" t="b">
        <v>0</v>
      </c>
      <c r="P872" t="b">
        <v>0</v>
      </c>
      <c r="Q872" t="s">
        <v>124</v>
      </c>
      <c r="R872" t="str" cm="1">
        <f t="array" ref="R872:S872">_xlfn.TEXTSPLIT(Q872, "/", , FALSE)</f>
        <v>theater</v>
      </c>
      <c r="S872" t="str">
        <v>plays</v>
      </c>
    </row>
    <row r="873" spans="1:19" ht="34" x14ac:dyDescent="0.2">
      <c r="A873">
        <v>871</v>
      </c>
      <c r="B873" t="s">
        <v>1870</v>
      </c>
      <c r="C873" s="3" t="s">
        <v>1871</v>
      </c>
      <c r="D873">
        <v>71500</v>
      </c>
      <c r="E873">
        <v>194912</v>
      </c>
      <c r="F873" s="5">
        <f t="shared" si="13"/>
        <v>2.7260419580419581</v>
      </c>
      <c r="G873" t="s">
        <v>8</v>
      </c>
      <c r="H873">
        <v>2320</v>
      </c>
      <c r="I873" t="s">
        <v>109</v>
      </c>
      <c r="J873" t="s">
        <v>110</v>
      </c>
      <c r="K873" s="4">
        <v>43040.208333333328</v>
      </c>
      <c r="L873" s="4" t="s">
        <v>57</v>
      </c>
      <c r="M873" s="4" t="s">
        <v>134</v>
      </c>
      <c r="N873" s="4">
        <v>43058.25</v>
      </c>
      <c r="O873" t="b">
        <v>0</v>
      </c>
      <c r="P873" t="b">
        <v>1</v>
      </c>
      <c r="Q873" t="s">
        <v>124</v>
      </c>
      <c r="R873" t="str" cm="1">
        <f t="array" ref="R873:S873">_xlfn.TEXTSPLIT(Q873, "/", , FALSE)</f>
        <v>theater</v>
      </c>
      <c r="S873" t="str">
        <v>plays</v>
      </c>
    </row>
    <row r="874" spans="1:19" ht="17" x14ac:dyDescent="0.2">
      <c r="A874">
        <v>872</v>
      </c>
      <c r="B874" t="s">
        <v>1872</v>
      </c>
      <c r="C874" s="3" t="s">
        <v>1873</v>
      </c>
      <c r="D874">
        <v>4700</v>
      </c>
      <c r="E874">
        <v>7992</v>
      </c>
      <c r="F874" s="5">
        <f t="shared" si="13"/>
        <v>1.7004255319148935</v>
      </c>
      <c r="G874" t="s">
        <v>8</v>
      </c>
      <c r="H874">
        <v>81</v>
      </c>
      <c r="I874" t="s">
        <v>115</v>
      </c>
      <c r="J874" t="s">
        <v>116</v>
      </c>
      <c r="K874" s="4">
        <v>43346.208333333328</v>
      </c>
      <c r="L874" s="4" t="s">
        <v>55</v>
      </c>
      <c r="M874" s="4" t="s">
        <v>169</v>
      </c>
      <c r="N874" s="4">
        <v>43351.208333333328</v>
      </c>
      <c r="O874" t="b">
        <v>0</v>
      </c>
      <c r="P874" t="b">
        <v>0</v>
      </c>
      <c r="Q874" t="s">
        <v>569</v>
      </c>
      <c r="R874" t="str" cm="1">
        <f t="array" ref="R874:S874">_xlfn.TEXTSPLIT(Q874, "/", , FALSE)</f>
        <v>film &amp; video</v>
      </c>
      <c r="S874" t="str">
        <v>science fiction</v>
      </c>
    </row>
    <row r="875" spans="1:19" ht="17" x14ac:dyDescent="0.2">
      <c r="A875">
        <v>873</v>
      </c>
      <c r="B875" t="s">
        <v>1874</v>
      </c>
      <c r="C875" s="3" t="s">
        <v>1875</v>
      </c>
      <c r="D875">
        <v>42100</v>
      </c>
      <c r="E875">
        <v>79268</v>
      </c>
      <c r="F875" s="5">
        <f t="shared" si="13"/>
        <v>1.8828503562945369</v>
      </c>
      <c r="G875" t="s">
        <v>8</v>
      </c>
      <c r="H875">
        <v>1887</v>
      </c>
      <c r="I875" t="s">
        <v>109</v>
      </c>
      <c r="J875" t="s">
        <v>110</v>
      </c>
      <c r="K875" s="4">
        <v>41647.25</v>
      </c>
      <c r="L875" s="4" t="s">
        <v>47</v>
      </c>
      <c r="M875" s="4" t="s">
        <v>111</v>
      </c>
      <c r="N875" s="4">
        <v>41652.25</v>
      </c>
      <c r="O875" t="b">
        <v>0</v>
      </c>
      <c r="P875" t="b">
        <v>0</v>
      </c>
      <c r="Q875" t="s">
        <v>217</v>
      </c>
      <c r="R875" t="str" cm="1">
        <f t="array" ref="R875:S875">_xlfn.TEXTSPLIT(Q875, "/", , FALSE)</f>
        <v>photography</v>
      </c>
      <c r="S875" t="str">
        <v>photography books</v>
      </c>
    </row>
    <row r="876" spans="1:19" ht="17" x14ac:dyDescent="0.2">
      <c r="A876">
        <v>874</v>
      </c>
      <c r="B876" t="s">
        <v>1876</v>
      </c>
      <c r="C876" s="3" t="s">
        <v>1877</v>
      </c>
      <c r="D876">
        <v>40200</v>
      </c>
      <c r="E876">
        <v>139468</v>
      </c>
      <c r="F876" s="5">
        <f t="shared" si="13"/>
        <v>3.4693532338308457</v>
      </c>
      <c r="G876" t="s">
        <v>8</v>
      </c>
      <c r="H876">
        <v>4358</v>
      </c>
      <c r="I876" t="s">
        <v>109</v>
      </c>
      <c r="J876" t="s">
        <v>110</v>
      </c>
      <c r="K876" s="4">
        <v>40291.208333333336</v>
      </c>
      <c r="L876" s="4" t="s">
        <v>50</v>
      </c>
      <c r="M876" s="4" t="s">
        <v>140</v>
      </c>
      <c r="N876" s="4">
        <v>40329.208333333336</v>
      </c>
      <c r="O876" t="b">
        <v>0</v>
      </c>
      <c r="P876" t="b">
        <v>1</v>
      </c>
      <c r="Q876" t="s">
        <v>217</v>
      </c>
      <c r="R876" t="str" cm="1">
        <f t="array" ref="R876:S876">_xlfn.TEXTSPLIT(Q876, "/", , FALSE)</f>
        <v>photography</v>
      </c>
      <c r="S876" t="str">
        <v>photography books</v>
      </c>
    </row>
    <row r="877" spans="1:19" ht="17" x14ac:dyDescent="0.2">
      <c r="A877">
        <v>875</v>
      </c>
      <c r="B877" t="s">
        <v>1878</v>
      </c>
      <c r="C877" s="3" t="s">
        <v>1879</v>
      </c>
      <c r="D877">
        <v>7900</v>
      </c>
      <c r="E877">
        <v>5465</v>
      </c>
      <c r="F877" s="5">
        <f t="shared" si="13"/>
        <v>0.6917721518987342</v>
      </c>
      <c r="G877" t="s">
        <v>6</v>
      </c>
      <c r="H877">
        <v>67</v>
      </c>
      <c r="I877" t="s">
        <v>109</v>
      </c>
      <c r="J877" t="s">
        <v>110</v>
      </c>
      <c r="K877" s="4">
        <v>40556.25</v>
      </c>
      <c r="L877" s="4" t="s">
        <v>47</v>
      </c>
      <c r="M877" s="4" t="s">
        <v>165</v>
      </c>
      <c r="N877" s="4">
        <v>40557.25</v>
      </c>
      <c r="O877" t="b">
        <v>0</v>
      </c>
      <c r="P877" t="b">
        <v>0</v>
      </c>
      <c r="Q877" t="s">
        <v>112</v>
      </c>
      <c r="R877" t="str" cm="1">
        <f t="array" ref="R877:S877">_xlfn.TEXTSPLIT(Q877, "/", , FALSE)</f>
        <v>music</v>
      </c>
      <c r="S877" t="str">
        <v>rock</v>
      </c>
    </row>
    <row r="878" spans="1:19" ht="34" x14ac:dyDescent="0.2">
      <c r="A878">
        <v>876</v>
      </c>
      <c r="B878" t="s">
        <v>1880</v>
      </c>
      <c r="C878" s="3" t="s">
        <v>1881</v>
      </c>
      <c r="D878">
        <v>8300</v>
      </c>
      <c r="E878">
        <v>2111</v>
      </c>
      <c r="F878" s="5">
        <f t="shared" si="13"/>
        <v>0.25433734939759034</v>
      </c>
      <c r="G878" t="s">
        <v>6</v>
      </c>
      <c r="H878">
        <v>57</v>
      </c>
      <c r="I878" t="s">
        <v>103</v>
      </c>
      <c r="J878" t="s">
        <v>104</v>
      </c>
      <c r="K878" s="4">
        <v>43624.208333333328</v>
      </c>
      <c r="L878" s="4" t="s">
        <v>52</v>
      </c>
      <c r="M878" s="4" t="s">
        <v>121</v>
      </c>
      <c r="N878" s="4">
        <v>43648.208333333328</v>
      </c>
      <c r="O878" t="b">
        <v>0</v>
      </c>
      <c r="P878" t="b">
        <v>0</v>
      </c>
      <c r="Q878" t="s">
        <v>217</v>
      </c>
      <c r="R878" t="str" cm="1">
        <f t="array" ref="R878:S878">_xlfn.TEXTSPLIT(Q878, "/", , FALSE)</f>
        <v>photography</v>
      </c>
      <c r="S878" t="str">
        <v>photography books</v>
      </c>
    </row>
    <row r="879" spans="1:19" ht="17" x14ac:dyDescent="0.2">
      <c r="A879">
        <v>877</v>
      </c>
      <c r="B879" t="s">
        <v>1882</v>
      </c>
      <c r="C879" s="3" t="s">
        <v>1883</v>
      </c>
      <c r="D879">
        <v>163600</v>
      </c>
      <c r="E879">
        <v>126628</v>
      </c>
      <c r="F879" s="5">
        <f t="shared" si="13"/>
        <v>0.77400977995110021</v>
      </c>
      <c r="G879" t="s">
        <v>6</v>
      </c>
      <c r="H879">
        <v>1229</v>
      </c>
      <c r="I879" t="s">
        <v>109</v>
      </c>
      <c r="J879" t="s">
        <v>110</v>
      </c>
      <c r="K879" s="4">
        <v>42577.208333333328</v>
      </c>
      <c r="L879" s="4" t="s">
        <v>53</v>
      </c>
      <c r="M879" s="4" t="s">
        <v>153</v>
      </c>
      <c r="N879" s="4">
        <v>42578.208333333328</v>
      </c>
      <c r="O879" t="b">
        <v>0</v>
      </c>
      <c r="P879" t="b">
        <v>0</v>
      </c>
      <c r="Q879" t="s">
        <v>106</v>
      </c>
      <c r="R879" t="str" cm="1">
        <f t="array" ref="R879:S879">_xlfn.TEXTSPLIT(Q879, "/", , FALSE)</f>
        <v>food</v>
      </c>
      <c r="S879" t="str">
        <v>food trucks</v>
      </c>
    </row>
    <row r="880" spans="1:19" ht="17" x14ac:dyDescent="0.2">
      <c r="A880">
        <v>878</v>
      </c>
      <c r="B880" t="s">
        <v>1884</v>
      </c>
      <c r="C880" s="3" t="s">
        <v>1885</v>
      </c>
      <c r="D880">
        <v>2700</v>
      </c>
      <c r="E880">
        <v>1012</v>
      </c>
      <c r="F880" s="5">
        <f t="shared" si="13"/>
        <v>0.37481481481481482</v>
      </c>
      <c r="G880" t="s">
        <v>6</v>
      </c>
      <c r="H880">
        <v>12</v>
      </c>
      <c r="I880" t="s">
        <v>202</v>
      </c>
      <c r="J880" t="s">
        <v>203</v>
      </c>
      <c r="K880" s="4">
        <v>43845.25</v>
      </c>
      <c r="L880" s="4" t="s">
        <v>47</v>
      </c>
      <c r="M880" s="4" t="s">
        <v>1389</v>
      </c>
      <c r="N880" s="4">
        <v>43869.25</v>
      </c>
      <c r="O880" t="b">
        <v>0</v>
      </c>
      <c r="P880" t="b">
        <v>0</v>
      </c>
      <c r="Q880" t="s">
        <v>243</v>
      </c>
      <c r="R880" t="str" cm="1">
        <f t="array" ref="R880:S880">_xlfn.TEXTSPLIT(Q880, "/", , FALSE)</f>
        <v>music</v>
      </c>
      <c r="S880" t="str">
        <v>metal</v>
      </c>
    </row>
    <row r="881" spans="1:19" ht="17" x14ac:dyDescent="0.2">
      <c r="A881">
        <v>879</v>
      </c>
      <c r="B881" t="s">
        <v>1886</v>
      </c>
      <c r="C881" s="3" t="s">
        <v>1887</v>
      </c>
      <c r="D881">
        <v>1000</v>
      </c>
      <c r="E881">
        <v>5438</v>
      </c>
      <c r="F881" s="5">
        <f t="shared" si="13"/>
        <v>5.4379999999999997</v>
      </c>
      <c r="G881" t="s">
        <v>8</v>
      </c>
      <c r="H881">
        <v>53</v>
      </c>
      <c r="I881" t="s">
        <v>109</v>
      </c>
      <c r="J881" t="s">
        <v>110</v>
      </c>
      <c r="K881" s="4">
        <v>42788.25</v>
      </c>
      <c r="L881" s="4" t="s">
        <v>48</v>
      </c>
      <c r="M881" s="4" t="s">
        <v>134</v>
      </c>
      <c r="N881" s="4">
        <v>42797.25</v>
      </c>
      <c r="O881" t="b">
        <v>0</v>
      </c>
      <c r="P881" t="b">
        <v>0</v>
      </c>
      <c r="Q881" t="s">
        <v>162</v>
      </c>
      <c r="R881" t="str" cm="1">
        <f t="array" ref="R881:S881">_xlfn.TEXTSPLIT(Q881, "/", , FALSE)</f>
        <v>publishing</v>
      </c>
      <c r="S881" t="str">
        <v>nonfiction</v>
      </c>
    </row>
    <row r="882" spans="1:19" ht="17" x14ac:dyDescent="0.2">
      <c r="A882">
        <v>880</v>
      </c>
      <c r="B882" t="s">
        <v>1888</v>
      </c>
      <c r="C882" s="3" t="s">
        <v>1889</v>
      </c>
      <c r="D882">
        <v>84500</v>
      </c>
      <c r="E882">
        <v>193101</v>
      </c>
      <c r="F882" s="5">
        <f t="shared" si="13"/>
        <v>2.2852189349112426</v>
      </c>
      <c r="G882" t="s">
        <v>8</v>
      </c>
      <c r="H882">
        <v>2414</v>
      </c>
      <c r="I882" t="s">
        <v>109</v>
      </c>
      <c r="J882" t="s">
        <v>110</v>
      </c>
      <c r="K882" s="4">
        <v>43667.208333333328</v>
      </c>
      <c r="L882" s="4" t="s">
        <v>53</v>
      </c>
      <c r="M882" s="4" t="s">
        <v>121</v>
      </c>
      <c r="N882" s="4">
        <v>43669.208333333328</v>
      </c>
      <c r="O882" t="b">
        <v>0</v>
      </c>
      <c r="P882" t="b">
        <v>0</v>
      </c>
      <c r="Q882" t="s">
        <v>143</v>
      </c>
      <c r="R882" t="str" cm="1">
        <f t="array" ref="R882:S882">_xlfn.TEXTSPLIT(Q882, "/", , FALSE)</f>
        <v>music</v>
      </c>
      <c r="S882" t="str">
        <v>electric music</v>
      </c>
    </row>
    <row r="883" spans="1:19" ht="17" x14ac:dyDescent="0.2">
      <c r="A883">
        <v>881</v>
      </c>
      <c r="B883" t="s">
        <v>1890</v>
      </c>
      <c r="C883" s="3" t="s">
        <v>1891</v>
      </c>
      <c r="D883">
        <v>81300</v>
      </c>
      <c r="E883">
        <v>31665</v>
      </c>
      <c r="F883" s="5">
        <f t="shared" si="13"/>
        <v>0.38948339483394834</v>
      </c>
      <c r="G883" t="s">
        <v>6</v>
      </c>
      <c r="H883">
        <v>452</v>
      </c>
      <c r="I883" t="s">
        <v>109</v>
      </c>
      <c r="J883" t="s">
        <v>110</v>
      </c>
      <c r="K883" s="4">
        <v>42194.208333333328</v>
      </c>
      <c r="L883" s="4" t="s">
        <v>53</v>
      </c>
      <c r="M883" s="4" t="s">
        <v>105</v>
      </c>
      <c r="N883" s="4">
        <v>42223.208333333328</v>
      </c>
      <c r="O883" t="b">
        <v>0</v>
      </c>
      <c r="P883" t="b">
        <v>1</v>
      </c>
      <c r="Q883" t="s">
        <v>124</v>
      </c>
      <c r="R883" t="str" cm="1">
        <f t="array" ref="R883:S883">_xlfn.TEXTSPLIT(Q883, "/", , FALSE)</f>
        <v>theater</v>
      </c>
      <c r="S883" t="str">
        <v>plays</v>
      </c>
    </row>
    <row r="884" spans="1:19" ht="17" x14ac:dyDescent="0.2">
      <c r="A884">
        <v>882</v>
      </c>
      <c r="B884" t="s">
        <v>1892</v>
      </c>
      <c r="C884" s="3" t="s">
        <v>1893</v>
      </c>
      <c r="D884">
        <v>800</v>
      </c>
      <c r="E884">
        <v>2960</v>
      </c>
      <c r="F884" s="5">
        <f t="shared" si="13"/>
        <v>3.7</v>
      </c>
      <c r="G884" t="s">
        <v>8</v>
      </c>
      <c r="H884">
        <v>80</v>
      </c>
      <c r="I884" t="s">
        <v>109</v>
      </c>
      <c r="J884" t="s">
        <v>110</v>
      </c>
      <c r="K884" s="4">
        <v>42025.25</v>
      </c>
      <c r="L884" s="4" t="s">
        <v>47</v>
      </c>
      <c r="M884" s="4" t="s">
        <v>105</v>
      </c>
      <c r="N884" s="4">
        <v>42029.25</v>
      </c>
      <c r="O884" t="b">
        <v>0</v>
      </c>
      <c r="P884" t="b">
        <v>0</v>
      </c>
      <c r="Q884" t="s">
        <v>124</v>
      </c>
      <c r="R884" t="str" cm="1">
        <f t="array" ref="R884:S884">_xlfn.TEXTSPLIT(Q884, "/", , FALSE)</f>
        <v>theater</v>
      </c>
      <c r="S884" t="str">
        <v>plays</v>
      </c>
    </row>
    <row r="885" spans="1:19" ht="34" x14ac:dyDescent="0.2">
      <c r="A885">
        <v>883</v>
      </c>
      <c r="B885" t="s">
        <v>1894</v>
      </c>
      <c r="C885" s="3" t="s">
        <v>1895</v>
      </c>
      <c r="D885">
        <v>3400</v>
      </c>
      <c r="E885">
        <v>8089</v>
      </c>
      <c r="F885" s="5">
        <f t="shared" si="13"/>
        <v>2.3791176470588233</v>
      </c>
      <c r="G885" t="s">
        <v>8</v>
      </c>
      <c r="H885">
        <v>193</v>
      </c>
      <c r="I885" t="s">
        <v>109</v>
      </c>
      <c r="J885" t="s">
        <v>110</v>
      </c>
      <c r="K885" s="4">
        <v>40323.208333333336</v>
      </c>
      <c r="L885" s="4" t="s">
        <v>51</v>
      </c>
      <c r="M885" s="4" t="s">
        <v>140</v>
      </c>
      <c r="N885" s="4">
        <v>40359.208333333336</v>
      </c>
      <c r="O885" t="b">
        <v>0</v>
      </c>
      <c r="P885" t="b">
        <v>0</v>
      </c>
      <c r="Q885" t="s">
        <v>195</v>
      </c>
      <c r="R885" t="str" cm="1">
        <f t="array" ref="R885:S885">_xlfn.TEXTSPLIT(Q885, "/", , FALSE)</f>
        <v>film &amp; video</v>
      </c>
      <c r="S885" t="str">
        <v>shorts</v>
      </c>
    </row>
    <row r="886" spans="1:19" ht="17" x14ac:dyDescent="0.2">
      <c r="A886">
        <v>884</v>
      </c>
      <c r="B886" t="s">
        <v>1896</v>
      </c>
      <c r="C886" s="3" t="s">
        <v>1897</v>
      </c>
      <c r="D886">
        <v>170800</v>
      </c>
      <c r="E886">
        <v>109374</v>
      </c>
      <c r="F886" s="5">
        <f t="shared" si="13"/>
        <v>0.64036299765807958</v>
      </c>
      <c r="G886" t="s">
        <v>6</v>
      </c>
      <c r="H886">
        <v>1886</v>
      </c>
      <c r="I886" t="s">
        <v>109</v>
      </c>
      <c r="J886" t="s">
        <v>110</v>
      </c>
      <c r="K886" s="4">
        <v>41763.208333333336</v>
      </c>
      <c r="L886" s="4" t="s">
        <v>51</v>
      </c>
      <c r="M886" s="4" t="s">
        <v>111</v>
      </c>
      <c r="N886" s="4">
        <v>41765.208333333336</v>
      </c>
      <c r="O886" t="b">
        <v>0</v>
      </c>
      <c r="P886" t="b">
        <v>1</v>
      </c>
      <c r="Q886" t="s">
        <v>124</v>
      </c>
      <c r="R886" t="str" cm="1">
        <f t="array" ref="R886:S886">_xlfn.TEXTSPLIT(Q886, "/", , FALSE)</f>
        <v>theater</v>
      </c>
      <c r="S886" t="str">
        <v>plays</v>
      </c>
    </row>
    <row r="887" spans="1:19" ht="17" x14ac:dyDescent="0.2">
      <c r="A887">
        <v>885</v>
      </c>
      <c r="B887" t="s">
        <v>1898</v>
      </c>
      <c r="C887" s="3" t="s">
        <v>1899</v>
      </c>
      <c r="D887">
        <v>1800</v>
      </c>
      <c r="E887">
        <v>2129</v>
      </c>
      <c r="F887" s="5">
        <f t="shared" si="13"/>
        <v>1.1827777777777777</v>
      </c>
      <c r="G887" t="s">
        <v>8</v>
      </c>
      <c r="H887">
        <v>52</v>
      </c>
      <c r="I887" t="s">
        <v>109</v>
      </c>
      <c r="J887" t="s">
        <v>110</v>
      </c>
      <c r="K887" s="4">
        <v>40335.208333333336</v>
      </c>
      <c r="L887" s="4" t="s">
        <v>52</v>
      </c>
      <c r="M887" s="4" t="s">
        <v>140</v>
      </c>
      <c r="N887" s="4">
        <v>40373.208333333336</v>
      </c>
      <c r="O887" t="b">
        <v>0</v>
      </c>
      <c r="P887" t="b">
        <v>0</v>
      </c>
      <c r="Q887" t="s">
        <v>124</v>
      </c>
      <c r="R887" t="str" cm="1">
        <f t="array" ref="R887:S887">_xlfn.TEXTSPLIT(Q887, "/", , FALSE)</f>
        <v>theater</v>
      </c>
      <c r="S887" t="str">
        <v>plays</v>
      </c>
    </row>
    <row r="888" spans="1:19" ht="17" x14ac:dyDescent="0.2">
      <c r="A888">
        <v>886</v>
      </c>
      <c r="B888" t="s">
        <v>1900</v>
      </c>
      <c r="C888" s="3" t="s">
        <v>1901</v>
      </c>
      <c r="D888">
        <v>150600</v>
      </c>
      <c r="E888">
        <v>127745</v>
      </c>
      <c r="F888" s="5">
        <f t="shared" si="13"/>
        <v>0.84824037184594958</v>
      </c>
      <c r="G888" t="s">
        <v>6</v>
      </c>
      <c r="H888">
        <v>1825</v>
      </c>
      <c r="I888" t="s">
        <v>109</v>
      </c>
      <c r="J888" t="s">
        <v>110</v>
      </c>
      <c r="K888" s="4">
        <v>40416.208333333336</v>
      </c>
      <c r="L888" s="4" t="s">
        <v>54</v>
      </c>
      <c r="M888" s="4" t="s">
        <v>140</v>
      </c>
      <c r="N888" s="4">
        <v>40434.208333333336</v>
      </c>
      <c r="O888" t="b">
        <v>0</v>
      </c>
      <c r="P888" t="b">
        <v>0</v>
      </c>
      <c r="Q888" t="s">
        <v>154</v>
      </c>
      <c r="R888" t="str" cm="1">
        <f t="array" ref="R888:S888">_xlfn.TEXTSPLIT(Q888, "/", , FALSE)</f>
        <v>music</v>
      </c>
      <c r="S888" t="str">
        <v>indie rock</v>
      </c>
    </row>
    <row r="889" spans="1:19" ht="34" x14ac:dyDescent="0.2">
      <c r="A889">
        <v>887</v>
      </c>
      <c r="B889" t="s">
        <v>1902</v>
      </c>
      <c r="C889" s="3" t="s">
        <v>1903</v>
      </c>
      <c r="D889">
        <v>7800</v>
      </c>
      <c r="E889">
        <v>2289</v>
      </c>
      <c r="F889" s="5">
        <f t="shared" si="13"/>
        <v>0.29346153846153844</v>
      </c>
      <c r="G889" t="s">
        <v>6</v>
      </c>
      <c r="H889">
        <v>31</v>
      </c>
      <c r="I889" t="s">
        <v>109</v>
      </c>
      <c r="J889" t="s">
        <v>110</v>
      </c>
      <c r="K889" s="4">
        <v>42202.208333333328</v>
      </c>
      <c r="L889" s="4" t="s">
        <v>53</v>
      </c>
      <c r="M889" s="4" t="s">
        <v>105</v>
      </c>
      <c r="N889" s="4">
        <v>42249.208333333328</v>
      </c>
      <c r="O889" t="b">
        <v>0</v>
      </c>
      <c r="P889" t="b">
        <v>1</v>
      </c>
      <c r="Q889" t="s">
        <v>124</v>
      </c>
      <c r="R889" t="str" cm="1">
        <f t="array" ref="R889:S889">_xlfn.TEXTSPLIT(Q889, "/", , FALSE)</f>
        <v>theater</v>
      </c>
      <c r="S889" t="str">
        <v>plays</v>
      </c>
    </row>
    <row r="890" spans="1:19" ht="34" x14ac:dyDescent="0.2">
      <c r="A890">
        <v>888</v>
      </c>
      <c r="B890" t="s">
        <v>1904</v>
      </c>
      <c r="C890" s="3" t="s">
        <v>1905</v>
      </c>
      <c r="D890">
        <v>5800</v>
      </c>
      <c r="E890">
        <v>12174</v>
      </c>
      <c r="F890" s="5">
        <f t="shared" si="13"/>
        <v>2.0989655172413793</v>
      </c>
      <c r="G890" t="s">
        <v>8</v>
      </c>
      <c r="H890">
        <v>290</v>
      </c>
      <c r="I890" t="s">
        <v>109</v>
      </c>
      <c r="J890" t="s">
        <v>110</v>
      </c>
      <c r="K890" s="4">
        <v>42836.208333333328</v>
      </c>
      <c r="L890" s="4" t="s">
        <v>50</v>
      </c>
      <c r="M890" s="4" t="s">
        <v>134</v>
      </c>
      <c r="N890" s="4">
        <v>42855.208333333328</v>
      </c>
      <c r="O890" t="b">
        <v>0</v>
      </c>
      <c r="P890" t="b">
        <v>0</v>
      </c>
      <c r="Q890" t="s">
        <v>124</v>
      </c>
      <c r="R890" t="str" cm="1">
        <f t="array" ref="R890:S890">_xlfn.TEXTSPLIT(Q890, "/", , FALSE)</f>
        <v>theater</v>
      </c>
      <c r="S890" t="str">
        <v>plays</v>
      </c>
    </row>
    <row r="891" spans="1:19" ht="17" x14ac:dyDescent="0.2">
      <c r="A891">
        <v>889</v>
      </c>
      <c r="B891" t="s">
        <v>1906</v>
      </c>
      <c r="C891" s="3" t="s">
        <v>1907</v>
      </c>
      <c r="D891">
        <v>5600</v>
      </c>
      <c r="E891">
        <v>9508</v>
      </c>
      <c r="F891" s="5">
        <f t="shared" si="13"/>
        <v>1.697857142857143</v>
      </c>
      <c r="G891" t="s">
        <v>8</v>
      </c>
      <c r="H891">
        <v>122</v>
      </c>
      <c r="I891" t="s">
        <v>109</v>
      </c>
      <c r="J891" t="s">
        <v>110</v>
      </c>
      <c r="K891" s="4">
        <v>41710.208333333336</v>
      </c>
      <c r="L891" s="4" t="s">
        <v>49</v>
      </c>
      <c r="M891" s="4" t="s">
        <v>111</v>
      </c>
      <c r="N891" s="4">
        <v>41717.208333333336</v>
      </c>
      <c r="O891" t="b">
        <v>0</v>
      </c>
      <c r="P891" t="b">
        <v>1</v>
      </c>
      <c r="Q891" t="s">
        <v>143</v>
      </c>
      <c r="R891" t="str" cm="1">
        <f t="array" ref="R891:S891">_xlfn.TEXTSPLIT(Q891, "/", , FALSE)</f>
        <v>music</v>
      </c>
      <c r="S891" t="str">
        <v>electric music</v>
      </c>
    </row>
    <row r="892" spans="1:19" ht="17" x14ac:dyDescent="0.2">
      <c r="A892">
        <v>890</v>
      </c>
      <c r="B892" t="s">
        <v>1908</v>
      </c>
      <c r="C892" s="3" t="s">
        <v>1909</v>
      </c>
      <c r="D892">
        <v>134400</v>
      </c>
      <c r="E892">
        <v>155849</v>
      </c>
      <c r="F892" s="5">
        <f t="shared" si="13"/>
        <v>1.1595907738095239</v>
      </c>
      <c r="G892" t="s">
        <v>8</v>
      </c>
      <c r="H892">
        <v>1470</v>
      </c>
      <c r="I892" t="s">
        <v>109</v>
      </c>
      <c r="J892" t="s">
        <v>110</v>
      </c>
      <c r="K892" s="4">
        <v>43640.208333333328</v>
      </c>
      <c r="L892" s="4" t="s">
        <v>52</v>
      </c>
      <c r="M892" s="4" t="s">
        <v>121</v>
      </c>
      <c r="N892" s="4">
        <v>43641.208333333328</v>
      </c>
      <c r="O892" t="b">
        <v>0</v>
      </c>
      <c r="P892" t="b">
        <v>0</v>
      </c>
      <c r="Q892" t="s">
        <v>154</v>
      </c>
      <c r="R892" t="str" cm="1">
        <f t="array" ref="R892:S892">_xlfn.TEXTSPLIT(Q892, "/", , FALSE)</f>
        <v>music</v>
      </c>
      <c r="S892" t="str">
        <v>indie rock</v>
      </c>
    </row>
    <row r="893" spans="1:19" ht="34" x14ac:dyDescent="0.2">
      <c r="A893">
        <v>891</v>
      </c>
      <c r="B893" t="s">
        <v>1910</v>
      </c>
      <c r="C893" s="3" t="s">
        <v>1911</v>
      </c>
      <c r="D893">
        <v>3000</v>
      </c>
      <c r="E893">
        <v>7758</v>
      </c>
      <c r="F893" s="5">
        <f t="shared" si="13"/>
        <v>2.5859999999999999</v>
      </c>
      <c r="G893" t="s">
        <v>8</v>
      </c>
      <c r="H893">
        <v>165</v>
      </c>
      <c r="I893" t="s">
        <v>103</v>
      </c>
      <c r="J893" t="s">
        <v>104</v>
      </c>
      <c r="K893" s="4">
        <v>40880.25</v>
      </c>
      <c r="L893" s="4" t="s">
        <v>58</v>
      </c>
      <c r="M893" s="4" t="s">
        <v>165</v>
      </c>
      <c r="N893" s="4">
        <v>40924.25</v>
      </c>
      <c r="O893" t="b">
        <v>0</v>
      </c>
      <c r="P893" t="b">
        <v>0</v>
      </c>
      <c r="Q893" t="s">
        <v>135</v>
      </c>
      <c r="R893" t="str" cm="1">
        <f t="array" ref="R893:S893">_xlfn.TEXTSPLIT(Q893, "/", , FALSE)</f>
        <v>film &amp; video</v>
      </c>
      <c r="S893" t="str">
        <v>documentary</v>
      </c>
    </row>
    <row r="894" spans="1:19" ht="17" x14ac:dyDescent="0.2">
      <c r="A894">
        <v>892</v>
      </c>
      <c r="B894" t="s">
        <v>1912</v>
      </c>
      <c r="C894" s="3" t="s">
        <v>1913</v>
      </c>
      <c r="D894">
        <v>6000</v>
      </c>
      <c r="E894">
        <v>13835</v>
      </c>
      <c r="F894" s="5">
        <f t="shared" si="13"/>
        <v>2.3058333333333332</v>
      </c>
      <c r="G894" t="s">
        <v>8</v>
      </c>
      <c r="H894">
        <v>182</v>
      </c>
      <c r="I894" t="s">
        <v>109</v>
      </c>
      <c r="J894" t="s">
        <v>110</v>
      </c>
      <c r="K894" s="4">
        <v>40319.208333333336</v>
      </c>
      <c r="L894" s="4" t="s">
        <v>51</v>
      </c>
      <c r="M894" s="4" t="s">
        <v>140</v>
      </c>
      <c r="N894" s="4">
        <v>40360.208333333336</v>
      </c>
      <c r="O894" t="b">
        <v>0</v>
      </c>
      <c r="P894" t="b">
        <v>0</v>
      </c>
      <c r="Q894" t="s">
        <v>301</v>
      </c>
      <c r="R894" t="str" cm="1">
        <f t="array" ref="R894:S894">_xlfn.TEXTSPLIT(Q894, "/", , FALSE)</f>
        <v>publishing</v>
      </c>
      <c r="S894" t="str">
        <v>translations</v>
      </c>
    </row>
    <row r="895" spans="1:19" ht="17" x14ac:dyDescent="0.2">
      <c r="A895">
        <v>893</v>
      </c>
      <c r="B895" t="s">
        <v>1914</v>
      </c>
      <c r="C895" s="3" t="s">
        <v>1915</v>
      </c>
      <c r="D895">
        <v>8400</v>
      </c>
      <c r="E895">
        <v>10770</v>
      </c>
      <c r="F895" s="5">
        <f t="shared" si="13"/>
        <v>1.2821428571428573</v>
      </c>
      <c r="G895" t="s">
        <v>8</v>
      </c>
      <c r="H895">
        <v>199</v>
      </c>
      <c r="I895" t="s">
        <v>202</v>
      </c>
      <c r="J895" t="s">
        <v>203</v>
      </c>
      <c r="K895" s="4">
        <v>42170.208333333328</v>
      </c>
      <c r="L895" s="4" t="s">
        <v>52</v>
      </c>
      <c r="M895" s="4" t="s">
        <v>105</v>
      </c>
      <c r="N895" s="4">
        <v>42174.208333333328</v>
      </c>
      <c r="O895" t="b">
        <v>0</v>
      </c>
      <c r="P895" t="b">
        <v>1</v>
      </c>
      <c r="Q895" t="s">
        <v>135</v>
      </c>
      <c r="R895" t="str" cm="1">
        <f t="array" ref="R895:S895">_xlfn.TEXTSPLIT(Q895, "/", , FALSE)</f>
        <v>film &amp; video</v>
      </c>
      <c r="S895" t="str">
        <v>documentary</v>
      </c>
    </row>
    <row r="896" spans="1:19" ht="17" x14ac:dyDescent="0.2">
      <c r="A896">
        <v>894</v>
      </c>
      <c r="B896" t="s">
        <v>1916</v>
      </c>
      <c r="C896" s="3" t="s">
        <v>1917</v>
      </c>
      <c r="D896">
        <v>1700</v>
      </c>
      <c r="E896">
        <v>3208</v>
      </c>
      <c r="F896" s="5">
        <f t="shared" si="13"/>
        <v>1.8870588235294117</v>
      </c>
      <c r="G896" t="s">
        <v>8</v>
      </c>
      <c r="H896">
        <v>56</v>
      </c>
      <c r="I896" t="s">
        <v>132</v>
      </c>
      <c r="J896" t="s">
        <v>133</v>
      </c>
      <c r="K896" s="4">
        <v>41466.208333333336</v>
      </c>
      <c r="L896" s="4" t="s">
        <v>53</v>
      </c>
      <c r="M896" s="4" t="s">
        <v>117</v>
      </c>
      <c r="N896" s="4">
        <v>41496.208333333336</v>
      </c>
      <c r="O896" t="b">
        <v>0</v>
      </c>
      <c r="P896" t="b">
        <v>1</v>
      </c>
      <c r="Q896" t="s">
        <v>364</v>
      </c>
      <c r="R896" t="str" cm="1">
        <f t="array" ref="R896:S896">_xlfn.TEXTSPLIT(Q896, "/", , FALSE)</f>
        <v>film &amp; video</v>
      </c>
      <c r="S896" t="str">
        <v>television</v>
      </c>
    </row>
    <row r="897" spans="1:19" ht="34" x14ac:dyDescent="0.2">
      <c r="A897">
        <v>895</v>
      </c>
      <c r="B897" t="s">
        <v>1918</v>
      </c>
      <c r="C897" s="3" t="s">
        <v>1919</v>
      </c>
      <c r="D897">
        <v>159800</v>
      </c>
      <c r="E897">
        <v>11108</v>
      </c>
      <c r="F897" s="5">
        <f t="shared" si="13"/>
        <v>6.9511889862327911E-2</v>
      </c>
      <c r="G897" t="s">
        <v>6</v>
      </c>
      <c r="H897">
        <v>107</v>
      </c>
      <c r="I897" t="s">
        <v>109</v>
      </c>
      <c r="J897" t="s">
        <v>110</v>
      </c>
      <c r="K897" s="4">
        <v>43134.25</v>
      </c>
      <c r="L897" s="4" t="s">
        <v>48</v>
      </c>
      <c r="M897" s="4" t="s">
        <v>169</v>
      </c>
      <c r="N897" s="4">
        <v>43143.25</v>
      </c>
      <c r="O897" t="b">
        <v>0</v>
      </c>
      <c r="P897" t="b">
        <v>0</v>
      </c>
      <c r="Q897" t="s">
        <v>124</v>
      </c>
      <c r="R897" t="str" cm="1">
        <f t="array" ref="R897:S897">_xlfn.TEXTSPLIT(Q897, "/", , FALSE)</f>
        <v>theater</v>
      </c>
      <c r="S897" t="str">
        <v>plays</v>
      </c>
    </row>
    <row r="898" spans="1:19" ht="34" x14ac:dyDescent="0.2">
      <c r="A898">
        <v>896</v>
      </c>
      <c r="B898" t="s">
        <v>1920</v>
      </c>
      <c r="C898" s="3" t="s">
        <v>1921</v>
      </c>
      <c r="D898">
        <v>19800</v>
      </c>
      <c r="E898">
        <v>153338</v>
      </c>
      <c r="F898" s="5">
        <f t="shared" si="13"/>
        <v>7.7443434343434348</v>
      </c>
      <c r="G898" t="s">
        <v>8</v>
      </c>
      <c r="H898">
        <v>1460</v>
      </c>
      <c r="I898" t="s">
        <v>115</v>
      </c>
      <c r="J898" t="s">
        <v>116</v>
      </c>
      <c r="K898" s="4">
        <v>40738.208333333336</v>
      </c>
      <c r="L898" s="4" t="s">
        <v>53</v>
      </c>
      <c r="M898" s="4" t="s">
        <v>165</v>
      </c>
      <c r="N898" s="4">
        <v>40741.208333333336</v>
      </c>
      <c r="O898" t="b">
        <v>0</v>
      </c>
      <c r="P898" t="b">
        <v>1</v>
      </c>
      <c r="Q898" t="s">
        <v>106</v>
      </c>
      <c r="R898" t="str" cm="1">
        <f t="array" ref="R898:S898">_xlfn.TEXTSPLIT(Q898, "/", , FALSE)</f>
        <v>food</v>
      </c>
      <c r="S898" t="str">
        <v>food trucks</v>
      </c>
    </row>
    <row r="899" spans="1:19" ht="17" x14ac:dyDescent="0.2">
      <c r="A899">
        <v>897</v>
      </c>
      <c r="B899" t="s">
        <v>1922</v>
      </c>
      <c r="C899" s="3" t="s">
        <v>1923</v>
      </c>
      <c r="D899">
        <v>8800</v>
      </c>
      <c r="E899">
        <v>2437</v>
      </c>
      <c r="F899" s="5">
        <f t="shared" ref="F899:F962" si="14">E899/D899</f>
        <v>0.27693181818181817</v>
      </c>
      <c r="G899" t="s">
        <v>6</v>
      </c>
      <c r="H899">
        <v>27</v>
      </c>
      <c r="I899" t="s">
        <v>109</v>
      </c>
      <c r="J899" t="s">
        <v>110</v>
      </c>
      <c r="K899" s="4">
        <v>43583.208333333328</v>
      </c>
      <c r="L899" s="4" t="s">
        <v>50</v>
      </c>
      <c r="M899" s="4" t="s">
        <v>121</v>
      </c>
      <c r="N899" s="4">
        <v>43585.208333333328</v>
      </c>
      <c r="O899" t="b">
        <v>0</v>
      </c>
      <c r="P899" t="b">
        <v>0</v>
      </c>
      <c r="Q899" t="s">
        <v>124</v>
      </c>
      <c r="R899" t="str" cm="1">
        <f t="array" ref="R899:S899">_xlfn.TEXTSPLIT(Q899, "/", , FALSE)</f>
        <v>theater</v>
      </c>
      <c r="S899" t="str">
        <v>plays</v>
      </c>
    </row>
    <row r="900" spans="1:19" ht="17" x14ac:dyDescent="0.2">
      <c r="A900">
        <v>898</v>
      </c>
      <c r="B900" t="s">
        <v>1924</v>
      </c>
      <c r="C900" s="3" t="s">
        <v>1925</v>
      </c>
      <c r="D900">
        <v>179100</v>
      </c>
      <c r="E900">
        <v>93991</v>
      </c>
      <c r="F900" s="5">
        <f t="shared" si="14"/>
        <v>0.52479620323841425</v>
      </c>
      <c r="G900" t="s">
        <v>6</v>
      </c>
      <c r="H900">
        <v>1221</v>
      </c>
      <c r="I900" t="s">
        <v>109</v>
      </c>
      <c r="J900" t="s">
        <v>110</v>
      </c>
      <c r="K900" s="4">
        <v>43815.25</v>
      </c>
      <c r="L900" s="4" t="s">
        <v>58</v>
      </c>
      <c r="M900" s="4" t="s">
        <v>121</v>
      </c>
      <c r="N900" s="4">
        <v>43821.25</v>
      </c>
      <c r="O900" t="b">
        <v>0</v>
      </c>
      <c r="P900" t="b">
        <v>0</v>
      </c>
      <c r="Q900" t="s">
        <v>135</v>
      </c>
      <c r="R900" t="str" cm="1">
        <f t="array" ref="R900:S900">_xlfn.TEXTSPLIT(Q900, "/", , FALSE)</f>
        <v>film &amp; video</v>
      </c>
      <c r="S900" t="str">
        <v>documentary</v>
      </c>
    </row>
    <row r="901" spans="1:19" ht="17" x14ac:dyDescent="0.2">
      <c r="A901">
        <v>899</v>
      </c>
      <c r="B901" t="s">
        <v>1926</v>
      </c>
      <c r="C901" s="3" t="s">
        <v>1927</v>
      </c>
      <c r="D901">
        <v>3100</v>
      </c>
      <c r="E901">
        <v>12620</v>
      </c>
      <c r="F901" s="5">
        <f t="shared" si="14"/>
        <v>4.0709677419354842</v>
      </c>
      <c r="G901" t="s">
        <v>8</v>
      </c>
      <c r="H901">
        <v>123</v>
      </c>
      <c r="I901" t="s">
        <v>193</v>
      </c>
      <c r="J901" t="s">
        <v>194</v>
      </c>
      <c r="K901" s="4">
        <v>41554.208333333336</v>
      </c>
      <c r="L901" s="4" t="s">
        <v>56</v>
      </c>
      <c r="M901" s="4" t="s">
        <v>117</v>
      </c>
      <c r="N901" s="4">
        <v>41572.208333333336</v>
      </c>
      <c r="O901" t="b">
        <v>0</v>
      </c>
      <c r="P901" t="b">
        <v>0</v>
      </c>
      <c r="Q901" t="s">
        <v>254</v>
      </c>
      <c r="R901" t="str" cm="1">
        <f t="array" ref="R901:S901">_xlfn.TEXTSPLIT(Q901, "/", , FALSE)</f>
        <v>music</v>
      </c>
      <c r="S901" t="str">
        <v>jazz</v>
      </c>
    </row>
    <row r="902" spans="1:19" ht="17" x14ac:dyDescent="0.2">
      <c r="A902">
        <v>900</v>
      </c>
      <c r="B902" t="s">
        <v>1928</v>
      </c>
      <c r="C902" s="3" t="s">
        <v>1929</v>
      </c>
      <c r="D902">
        <v>100</v>
      </c>
      <c r="E902">
        <v>2</v>
      </c>
      <c r="F902" s="5">
        <f t="shared" si="14"/>
        <v>0.02</v>
      </c>
      <c r="G902" t="s">
        <v>6</v>
      </c>
      <c r="H902">
        <v>1</v>
      </c>
      <c r="I902" t="s">
        <v>109</v>
      </c>
      <c r="J902" t="s">
        <v>110</v>
      </c>
      <c r="K902" s="4">
        <v>41901.208333333336</v>
      </c>
      <c r="L902" s="4" t="s">
        <v>55</v>
      </c>
      <c r="M902" s="4" t="s">
        <v>111</v>
      </c>
      <c r="N902" s="4">
        <v>41902.208333333336</v>
      </c>
      <c r="O902" t="b">
        <v>0</v>
      </c>
      <c r="P902" t="b">
        <v>1</v>
      </c>
      <c r="Q902" t="s">
        <v>118</v>
      </c>
      <c r="R902" t="str" cm="1">
        <f t="array" ref="R902:S902">_xlfn.TEXTSPLIT(Q902, "/", , FALSE)</f>
        <v>technology</v>
      </c>
      <c r="S902" t="str">
        <v>web</v>
      </c>
    </row>
    <row r="903" spans="1:19" ht="17" x14ac:dyDescent="0.2">
      <c r="A903">
        <v>901</v>
      </c>
      <c r="B903" t="s">
        <v>1930</v>
      </c>
      <c r="C903" s="3" t="s">
        <v>1931</v>
      </c>
      <c r="D903">
        <v>5600</v>
      </c>
      <c r="E903">
        <v>8746</v>
      </c>
      <c r="F903" s="5">
        <f t="shared" si="14"/>
        <v>1.5617857142857143</v>
      </c>
      <c r="G903" t="s">
        <v>8</v>
      </c>
      <c r="H903">
        <v>159</v>
      </c>
      <c r="I903" t="s">
        <v>109</v>
      </c>
      <c r="J903" t="s">
        <v>110</v>
      </c>
      <c r="K903" s="4">
        <v>43298.208333333328</v>
      </c>
      <c r="L903" s="4" t="s">
        <v>53</v>
      </c>
      <c r="M903" s="4" t="s">
        <v>169</v>
      </c>
      <c r="N903" s="4">
        <v>43331.208333333328</v>
      </c>
      <c r="O903" t="b">
        <v>0</v>
      </c>
      <c r="P903" t="b">
        <v>1</v>
      </c>
      <c r="Q903" t="s">
        <v>112</v>
      </c>
      <c r="R903" t="str" cm="1">
        <f t="array" ref="R903:S903">_xlfn.TEXTSPLIT(Q903, "/", , FALSE)</f>
        <v>music</v>
      </c>
      <c r="S903" t="str">
        <v>rock</v>
      </c>
    </row>
    <row r="904" spans="1:19" ht="17" x14ac:dyDescent="0.2">
      <c r="A904">
        <v>902</v>
      </c>
      <c r="B904" t="s">
        <v>1932</v>
      </c>
      <c r="C904" s="3" t="s">
        <v>1933</v>
      </c>
      <c r="D904">
        <v>1400</v>
      </c>
      <c r="E904">
        <v>3534</v>
      </c>
      <c r="F904" s="5">
        <f t="shared" si="14"/>
        <v>2.5242857142857145</v>
      </c>
      <c r="G904" t="s">
        <v>8</v>
      </c>
      <c r="H904">
        <v>110</v>
      </c>
      <c r="I904" t="s">
        <v>109</v>
      </c>
      <c r="J904" t="s">
        <v>110</v>
      </c>
      <c r="K904" s="4">
        <v>42399.25</v>
      </c>
      <c r="L904" s="4" t="s">
        <v>47</v>
      </c>
      <c r="M904" s="4" t="s">
        <v>153</v>
      </c>
      <c r="N904" s="4">
        <v>42441.25</v>
      </c>
      <c r="O904" t="b">
        <v>0</v>
      </c>
      <c r="P904" t="b">
        <v>0</v>
      </c>
      <c r="Q904" t="s">
        <v>118</v>
      </c>
      <c r="R904" t="str" cm="1">
        <f t="array" ref="R904:S904">_xlfn.TEXTSPLIT(Q904, "/", , FALSE)</f>
        <v>technology</v>
      </c>
      <c r="S904" t="str">
        <v>web</v>
      </c>
    </row>
    <row r="905" spans="1:19" ht="34" x14ac:dyDescent="0.2">
      <c r="A905">
        <v>903</v>
      </c>
      <c r="B905" t="s">
        <v>1934</v>
      </c>
      <c r="C905" s="3" t="s">
        <v>1935</v>
      </c>
      <c r="D905">
        <v>41000</v>
      </c>
      <c r="E905">
        <v>709</v>
      </c>
      <c r="F905" s="5">
        <f t="shared" si="14"/>
        <v>1.729268292682927E-2</v>
      </c>
      <c r="G905" t="s">
        <v>7</v>
      </c>
      <c r="H905">
        <v>14</v>
      </c>
      <c r="I905" t="s">
        <v>109</v>
      </c>
      <c r="J905" t="s">
        <v>110</v>
      </c>
      <c r="K905" s="4">
        <v>41034.208333333336</v>
      </c>
      <c r="L905" s="4" t="s">
        <v>51</v>
      </c>
      <c r="M905" s="4" t="s">
        <v>129</v>
      </c>
      <c r="N905" s="4">
        <v>41049.208333333336</v>
      </c>
      <c r="O905" t="b">
        <v>0</v>
      </c>
      <c r="P905" t="b">
        <v>1</v>
      </c>
      <c r="Q905" t="s">
        <v>162</v>
      </c>
      <c r="R905" t="str" cm="1">
        <f t="array" ref="R905:S905">_xlfn.TEXTSPLIT(Q905, "/", , FALSE)</f>
        <v>publishing</v>
      </c>
      <c r="S905" t="str">
        <v>nonfiction</v>
      </c>
    </row>
    <row r="906" spans="1:19" ht="17" x14ac:dyDescent="0.2">
      <c r="A906">
        <v>904</v>
      </c>
      <c r="B906" t="s">
        <v>1936</v>
      </c>
      <c r="C906" s="3" t="s">
        <v>1937</v>
      </c>
      <c r="D906">
        <v>6500</v>
      </c>
      <c r="E906">
        <v>795</v>
      </c>
      <c r="F906" s="5">
        <f t="shared" si="14"/>
        <v>0.12230769230769231</v>
      </c>
      <c r="G906" t="s">
        <v>6</v>
      </c>
      <c r="H906">
        <v>16</v>
      </c>
      <c r="I906" t="s">
        <v>109</v>
      </c>
      <c r="J906" t="s">
        <v>110</v>
      </c>
      <c r="K906" s="4">
        <v>41186.208333333336</v>
      </c>
      <c r="L906" s="4" t="s">
        <v>56</v>
      </c>
      <c r="M906" s="4" t="s">
        <v>129</v>
      </c>
      <c r="N906" s="4">
        <v>41190.208333333336</v>
      </c>
      <c r="O906" t="b">
        <v>0</v>
      </c>
      <c r="P906" t="b">
        <v>0</v>
      </c>
      <c r="Q906" t="s">
        <v>228</v>
      </c>
      <c r="R906" t="str" cm="1">
        <f t="array" ref="R906:S906">_xlfn.TEXTSPLIT(Q906, "/", , FALSE)</f>
        <v>publishing</v>
      </c>
      <c r="S906" t="str">
        <v>radio &amp; podcasts</v>
      </c>
    </row>
    <row r="907" spans="1:19" ht="17" x14ac:dyDescent="0.2">
      <c r="A907">
        <v>905</v>
      </c>
      <c r="B907" t="s">
        <v>1938</v>
      </c>
      <c r="C907" s="3" t="s">
        <v>1939</v>
      </c>
      <c r="D907">
        <v>7900</v>
      </c>
      <c r="E907">
        <v>12955</v>
      </c>
      <c r="F907" s="5">
        <f t="shared" si="14"/>
        <v>1.6398734177215191</v>
      </c>
      <c r="G907" t="s">
        <v>8</v>
      </c>
      <c r="H907">
        <v>236</v>
      </c>
      <c r="I907" t="s">
        <v>109</v>
      </c>
      <c r="J907" t="s">
        <v>110</v>
      </c>
      <c r="K907" s="4">
        <v>41536.208333333336</v>
      </c>
      <c r="L907" s="4" t="s">
        <v>55</v>
      </c>
      <c r="M907" s="4" t="s">
        <v>117</v>
      </c>
      <c r="N907" s="4">
        <v>41539.208333333336</v>
      </c>
      <c r="O907" t="b">
        <v>0</v>
      </c>
      <c r="P907" t="b">
        <v>0</v>
      </c>
      <c r="Q907" t="s">
        <v>124</v>
      </c>
      <c r="R907" t="str" cm="1">
        <f t="array" ref="R907:S907">_xlfn.TEXTSPLIT(Q907, "/", , FALSE)</f>
        <v>theater</v>
      </c>
      <c r="S907" t="str">
        <v>plays</v>
      </c>
    </row>
    <row r="908" spans="1:19" ht="34" x14ac:dyDescent="0.2">
      <c r="A908">
        <v>906</v>
      </c>
      <c r="B908" t="s">
        <v>1940</v>
      </c>
      <c r="C908" s="3" t="s">
        <v>1941</v>
      </c>
      <c r="D908">
        <v>5500</v>
      </c>
      <c r="E908">
        <v>8964</v>
      </c>
      <c r="F908" s="5">
        <f t="shared" si="14"/>
        <v>1.6298181818181818</v>
      </c>
      <c r="G908" t="s">
        <v>8</v>
      </c>
      <c r="H908">
        <v>191</v>
      </c>
      <c r="I908" t="s">
        <v>109</v>
      </c>
      <c r="J908" t="s">
        <v>110</v>
      </c>
      <c r="K908" s="4">
        <v>42868.208333333328</v>
      </c>
      <c r="L908" s="4" t="s">
        <v>51</v>
      </c>
      <c r="M908" s="4" t="s">
        <v>134</v>
      </c>
      <c r="N908" s="4">
        <v>42904.208333333328</v>
      </c>
      <c r="O908" t="b">
        <v>1</v>
      </c>
      <c r="P908" t="b">
        <v>1</v>
      </c>
      <c r="Q908" t="s">
        <v>135</v>
      </c>
      <c r="R908" t="str" cm="1">
        <f t="array" ref="R908:S908">_xlfn.TEXTSPLIT(Q908, "/", , FALSE)</f>
        <v>film &amp; video</v>
      </c>
      <c r="S908" t="str">
        <v>documentary</v>
      </c>
    </row>
    <row r="909" spans="1:19" ht="17" x14ac:dyDescent="0.2">
      <c r="A909">
        <v>907</v>
      </c>
      <c r="B909" t="s">
        <v>1942</v>
      </c>
      <c r="C909" s="3" t="s">
        <v>1943</v>
      </c>
      <c r="D909">
        <v>9100</v>
      </c>
      <c r="E909">
        <v>1843</v>
      </c>
      <c r="F909" s="5">
        <f t="shared" si="14"/>
        <v>0.20252747252747252</v>
      </c>
      <c r="G909" t="s">
        <v>6</v>
      </c>
      <c r="H909">
        <v>41</v>
      </c>
      <c r="I909" t="s">
        <v>109</v>
      </c>
      <c r="J909" t="s">
        <v>110</v>
      </c>
      <c r="K909" s="4">
        <v>40660.208333333336</v>
      </c>
      <c r="L909" s="4" t="s">
        <v>50</v>
      </c>
      <c r="M909" s="4" t="s">
        <v>165</v>
      </c>
      <c r="N909" s="4">
        <v>40667.208333333336</v>
      </c>
      <c r="O909" t="b">
        <v>0</v>
      </c>
      <c r="P909" t="b">
        <v>0</v>
      </c>
      <c r="Q909" t="s">
        <v>124</v>
      </c>
      <c r="R909" t="str" cm="1">
        <f t="array" ref="R909:S909">_xlfn.TEXTSPLIT(Q909, "/", , FALSE)</f>
        <v>theater</v>
      </c>
      <c r="S909" t="str">
        <v>plays</v>
      </c>
    </row>
    <row r="910" spans="1:19" ht="17" x14ac:dyDescent="0.2">
      <c r="A910">
        <v>908</v>
      </c>
      <c r="B910" t="s">
        <v>1944</v>
      </c>
      <c r="C910" s="3" t="s">
        <v>1945</v>
      </c>
      <c r="D910">
        <v>38200</v>
      </c>
      <c r="E910">
        <v>121950</v>
      </c>
      <c r="F910" s="5">
        <f t="shared" si="14"/>
        <v>3.1924083769633507</v>
      </c>
      <c r="G910" t="s">
        <v>8</v>
      </c>
      <c r="H910">
        <v>3934</v>
      </c>
      <c r="I910" t="s">
        <v>109</v>
      </c>
      <c r="J910" t="s">
        <v>110</v>
      </c>
      <c r="K910" s="4">
        <v>41031.208333333336</v>
      </c>
      <c r="L910" s="4" t="s">
        <v>51</v>
      </c>
      <c r="M910" s="4" t="s">
        <v>129</v>
      </c>
      <c r="N910" s="4">
        <v>41042.208333333336</v>
      </c>
      <c r="O910" t="b">
        <v>0</v>
      </c>
      <c r="P910" t="b">
        <v>0</v>
      </c>
      <c r="Q910" t="s">
        <v>184</v>
      </c>
      <c r="R910" t="str" cm="1">
        <f t="array" ref="R910:S910">_xlfn.TEXTSPLIT(Q910, "/", , FALSE)</f>
        <v>games</v>
      </c>
      <c r="S910" t="str">
        <v>video games</v>
      </c>
    </row>
    <row r="911" spans="1:19" ht="17" x14ac:dyDescent="0.2">
      <c r="A911">
        <v>909</v>
      </c>
      <c r="B911" t="s">
        <v>1946</v>
      </c>
      <c r="C911" s="3" t="s">
        <v>1947</v>
      </c>
      <c r="D911">
        <v>1800</v>
      </c>
      <c r="E911">
        <v>8621</v>
      </c>
      <c r="F911" s="5">
        <f t="shared" si="14"/>
        <v>4.7894444444444444</v>
      </c>
      <c r="G911" t="s">
        <v>8</v>
      </c>
      <c r="H911">
        <v>80</v>
      </c>
      <c r="I911" t="s">
        <v>103</v>
      </c>
      <c r="J911" t="s">
        <v>104</v>
      </c>
      <c r="K911" s="4">
        <v>43255.208333333328</v>
      </c>
      <c r="L911" s="4" t="s">
        <v>52</v>
      </c>
      <c r="M911" s="4" t="s">
        <v>169</v>
      </c>
      <c r="N911" s="4">
        <v>43282.208333333328</v>
      </c>
      <c r="O911" t="b">
        <v>0</v>
      </c>
      <c r="P911" t="b">
        <v>1</v>
      </c>
      <c r="Q911" t="s">
        <v>124</v>
      </c>
      <c r="R911" t="str" cm="1">
        <f t="array" ref="R911:S911">_xlfn.TEXTSPLIT(Q911, "/", , FALSE)</f>
        <v>theater</v>
      </c>
      <c r="S911" t="str">
        <v>plays</v>
      </c>
    </row>
    <row r="912" spans="1:19" ht="17" x14ac:dyDescent="0.2">
      <c r="A912">
        <v>910</v>
      </c>
      <c r="B912" t="s">
        <v>1948</v>
      </c>
      <c r="C912" s="3" t="s">
        <v>1949</v>
      </c>
      <c r="D912">
        <v>154500</v>
      </c>
      <c r="E912">
        <v>30215</v>
      </c>
      <c r="F912" s="5">
        <f t="shared" si="14"/>
        <v>0.19556634304207121</v>
      </c>
      <c r="G912" t="s">
        <v>5</v>
      </c>
      <c r="H912">
        <v>296</v>
      </c>
      <c r="I912" t="s">
        <v>109</v>
      </c>
      <c r="J912" t="s">
        <v>110</v>
      </c>
      <c r="K912" s="4">
        <v>42026.25</v>
      </c>
      <c r="L912" s="4" t="s">
        <v>47</v>
      </c>
      <c r="M912" s="4" t="s">
        <v>105</v>
      </c>
      <c r="N912" s="4">
        <v>42027.25</v>
      </c>
      <c r="O912" t="b">
        <v>0</v>
      </c>
      <c r="P912" t="b">
        <v>0</v>
      </c>
      <c r="Q912" t="s">
        <v>124</v>
      </c>
      <c r="R912" t="str" cm="1">
        <f t="array" ref="R912:S912">_xlfn.TEXTSPLIT(Q912, "/", , FALSE)</f>
        <v>theater</v>
      </c>
      <c r="S912" t="str">
        <v>plays</v>
      </c>
    </row>
    <row r="913" spans="1:19" ht="17" x14ac:dyDescent="0.2">
      <c r="A913">
        <v>911</v>
      </c>
      <c r="B913" t="s">
        <v>1950</v>
      </c>
      <c r="C913" s="3" t="s">
        <v>1951</v>
      </c>
      <c r="D913">
        <v>5800</v>
      </c>
      <c r="E913">
        <v>11539</v>
      </c>
      <c r="F913" s="5">
        <f t="shared" si="14"/>
        <v>1.9894827586206896</v>
      </c>
      <c r="G913" t="s">
        <v>8</v>
      </c>
      <c r="H913">
        <v>462</v>
      </c>
      <c r="I913" t="s">
        <v>109</v>
      </c>
      <c r="J913" t="s">
        <v>110</v>
      </c>
      <c r="K913" s="4">
        <v>43717.208333333328</v>
      </c>
      <c r="L913" s="4" t="s">
        <v>55</v>
      </c>
      <c r="M913" s="4" t="s">
        <v>121</v>
      </c>
      <c r="N913" s="4">
        <v>43719.208333333328</v>
      </c>
      <c r="O913" t="b">
        <v>1</v>
      </c>
      <c r="P913" t="b">
        <v>0</v>
      </c>
      <c r="Q913" t="s">
        <v>118</v>
      </c>
      <c r="R913" t="str" cm="1">
        <f t="array" ref="R913:S913">_xlfn.TEXTSPLIT(Q913, "/", , FALSE)</f>
        <v>technology</v>
      </c>
      <c r="S913" t="str">
        <v>web</v>
      </c>
    </row>
    <row r="914" spans="1:19" ht="17" x14ac:dyDescent="0.2">
      <c r="A914">
        <v>912</v>
      </c>
      <c r="B914" t="s">
        <v>1952</v>
      </c>
      <c r="C914" s="3" t="s">
        <v>1953</v>
      </c>
      <c r="D914">
        <v>1800</v>
      </c>
      <c r="E914">
        <v>14310</v>
      </c>
      <c r="F914" s="5">
        <f t="shared" si="14"/>
        <v>7.95</v>
      </c>
      <c r="G914" t="s">
        <v>8</v>
      </c>
      <c r="H914">
        <v>179</v>
      </c>
      <c r="I914" t="s">
        <v>109</v>
      </c>
      <c r="J914" t="s">
        <v>110</v>
      </c>
      <c r="K914" s="4">
        <v>41157.208333333336</v>
      </c>
      <c r="L914" s="4" t="s">
        <v>55</v>
      </c>
      <c r="M914" s="4" t="s">
        <v>129</v>
      </c>
      <c r="N914" s="4">
        <v>41170.208333333336</v>
      </c>
      <c r="O914" t="b">
        <v>1</v>
      </c>
      <c r="P914" t="b">
        <v>0</v>
      </c>
      <c r="Q914" t="s">
        <v>146</v>
      </c>
      <c r="R914" t="str" cm="1">
        <f t="array" ref="R914:S914">_xlfn.TEXTSPLIT(Q914, "/", , FALSE)</f>
        <v>film &amp; video</v>
      </c>
      <c r="S914" t="str">
        <v>drama</v>
      </c>
    </row>
    <row r="915" spans="1:19" ht="17" x14ac:dyDescent="0.2">
      <c r="A915">
        <v>913</v>
      </c>
      <c r="B915" t="s">
        <v>1954</v>
      </c>
      <c r="C915" s="3" t="s">
        <v>1955</v>
      </c>
      <c r="D915">
        <v>70200</v>
      </c>
      <c r="E915">
        <v>35536</v>
      </c>
      <c r="F915" s="5">
        <f t="shared" si="14"/>
        <v>0.50621082621082625</v>
      </c>
      <c r="G915" t="s">
        <v>6</v>
      </c>
      <c r="H915">
        <v>523</v>
      </c>
      <c r="I915" t="s">
        <v>115</v>
      </c>
      <c r="J915" t="s">
        <v>116</v>
      </c>
      <c r="K915" s="4">
        <v>43597.208333333328</v>
      </c>
      <c r="L915" s="4" t="s">
        <v>51</v>
      </c>
      <c r="M915" s="4" t="s">
        <v>121</v>
      </c>
      <c r="N915" s="4">
        <v>43610.208333333328</v>
      </c>
      <c r="O915" t="b">
        <v>0</v>
      </c>
      <c r="P915" t="b">
        <v>0</v>
      </c>
      <c r="Q915" t="s">
        <v>146</v>
      </c>
      <c r="R915" t="str" cm="1">
        <f t="array" ref="R915:S915">_xlfn.TEXTSPLIT(Q915, "/", , FALSE)</f>
        <v>film &amp; video</v>
      </c>
      <c r="S915" t="str">
        <v>drama</v>
      </c>
    </row>
    <row r="916" spans="1:19" ht="17" x14ac:dyDescent="0.2">
      <c r="A916">
        <v>914</v>
      </c>
      <c r="B916" t="s">
        <v>1956</v>
      </c>
      <c r="C916" s="3" t="s">
        <v>1957</v>
      </c>
      <c r="D916">
        <v>6400</v>
      </c>
      <c r="E916">
        <v>3676</v>
      </c>
      <c r="F916" s="5">
        <f t="shared" si="14"/>
        <v>0.57437499999999997</v>
      </c>
      <c r="G916" t="s">
        <v>6</v>
      </c>
      <c r="H916">
        <v>141</v>
      </c>
      <c r="I916" t="s">
        <v>132</v>
      </c>
      <c r="J916" t="s">
        <v>133</v>
      </c>
      <c r="K916" s="4">
        <v>41490.208333333336</v>
      </c>
      <c r="L916" s="4" t="s">
        <v>54</v>
      </c>
      <c r="M916" s="4" t="s">
        <v>117</v>
      </c>
      <c r="N916" s="4">
        <v>41502.208333333336</v>
      </c>
      <c r="O916" t="b">
        <v>0</v>
      </c>
      <c r="P916" t="b">
        <v>0</v>
      </c>
      <c r="Q916" t="s">
        <v>124</v>
      </c>
      <c r="R916" t="str" cm="1">
        <f t="array" ref="R916:S916">_xlfn.TEXTSPLIT(Q916, "/", , FALSE)</f>
        <v>theater</v>
      </c>
      <c r="S916" t="str">
        <v>plays</v>
      </c>
    </row>
    <row r="917" spans="1:19" ht="17" x14ac:dyDescent="0.2">
      <c r="A917">
        <v>915</v>
      </c>
      <c r="B917" t="s">
        <v>1958</v>
      </c>
      <c r="C917" s="3" t="s">
        <v>1959</v>
      </c>
      <c r="D917">
        <v>125900</v>
      </c>
      <c r="E917">
        <v>195936</v>
      </c>
      <c r="F917" s="5">
        <f t="shared" si="14"/>
        <v>1.5562827640984909</v>
      </c>
      <c r="G917" t="s">
        <v>8</v>
      </c>
      <c r="H917">
        <v>1866</v>
      </c>
      <c r="I917" t="s">
        <v>132</v>
      </c>
      <c r="J917" t="s">
        <v>133</v>
      </c>
      <c r="K917" s="4">
        <v>42976.208333333328</v>
      </c>
      <c r="L917" s="4" t="s">
        <v>54</v>
      </c>
      <c r="M917" s="4" t="s">
        <v>134</v>
      </c>
      <c r="N917" s="4">
        <v>42985.208333333328</v>
      </c>
      <c r="O917" t="b">
        <v>0</v>
      </c>
      <c r="P917" t="b">
        <v>0</v>
      </c>
      <c r="Q917" t="s">
        <v>364</v>
      </c>
      <c r="R917" t="str" cm="1">
        <f t="array" ref="R917:S917">_xlfn.TEXTSPLIT(Q917, "/", , FALSE)</f>
        <v>film &amp; video</v>
      </c>
      <c r="S917" t="str">
        <v>television</v>
      </c>
    </row>
    <row r="918" spans="1:19" ht="34" x14ac:dyDescent="0.2">
      <c r="A918">
        <v>916</v>
      </c>
      <c r="B918" t="s">
        <v>1960</v>
      </c>
      <c r="C918" s="3" t="s">
        <v>1961</v>
      </c>
      <c r="D918">
        <v>3700</v>
      </c>
      <c r="E918">
        <v>1343</v>
      </c>
      <c r="F918" s="5">
        <f t="shared" si="14"/>
        <v>0.36297297297297298</v>
      </c>
      <c r="G918" t="s">
        <v>6</v>
      </c>
      <c r="H918">
        <v>52</v>
      </c>
      <c r="I918" t="s">
        <v>109</v>
      </c>
      <c r="J918" t="s">
        <v>110</v>
      </c>
      <c r="K918" s="4">
        <v>41991.25</v>
      </c>
      <c r="L918" s="4" t="s">
        <v>58</v>
      </c>
      <c r="M918" s="4" t="s">
        <v>111</v>
      </c>
      <c r="N918" s="4">
        <v>42000.25</v>
      </c>
      <c r="O918" t="b">
        <v>0</v>
      </c>
      <c r="P918" t="b">
        <v>0</v>
      </c>
      <c r="Q918" t="s">
        <v>217</v>
      </c>
      <c r="R918" t="str" cm="1">
        <f t="array" ref="R918:S918">_xlfn.TEXTSPLIT(Q918, "/", , FALSE)</f>
        <v>photography</v>
      </c>
      <c r="S918" t="str">
        <v>photography books</v>
      </c>
    </row>
    <row r="919" spans="1:19" ht="17" x14ac:dyDescent="0.2">
      <c r="A919">
        <v>917</v>
      </c>
      <c r="B919" t="s">
        <v>1962</v>
      </c>
      <c r="C919" s="3" t="s">
        <v>1963</v>
      </c>
      <c r="D919">
        <v>3600</v>
      </c>
      <c r="E919">
        <v>2097</v>
      </c>
      <c r="F919" s="5">
        <f t="shared" si="14"/>
        <v>0.58250000000000002</v>
      </c>
      <c r="G919" t="s">
        <v>7</v>
      </c>
      <c r="H919">
        <v>27</v>
      </c>
      <c r="I919" t="s">
        <v>132</v>
      </c>
      <c r="J919" t="s">
        <v>133</v>
      </c>
      <c r="K919" s="4">
        <v>40722.208333333336</v>
      </c>
      <c r="L919" s="4" t="s">
        <v>52</v>
      </c>
      <c r="M919" s="4" t="s">
        <v>165</v>
      </c>
      <c r="N919" s="4">
        <v>40746.208333333336</v>
      </c>
      <c r="O919" t="b">
        <v>0</v>
      </c>
      <c r="P919" t="b">
        <v>1</v>
      </c>
      <c r="Q919" t="s">
        <v>195</v>
      </c>
      <c r="R919" t="str" cm="1">
        <f t="array" ref="R919:S919">_xlfn.TEXTSPLIT(Q919, "/", , FALSE)</f>
        <v>film &amp; video</v>
      </c>
      <c r="S919" t="str">
        <v>shorts</v>
      </c>
    </row>
    <row r="920" spans="1:19" ht="17" x14ac:dyDescent="0.2">
      <c r="A920">
        <v>918</v>
      </c>
      <c r="B920" t="s">
        <v>1964</v>
      </c>
      <c r="C920" s="3" t="s">
        <v>1965</v>
      </c>
      <c r="D920">
        <v>3800</v>
      </c>
      <c r="E920">
        <v>9021</v>
      </c>
      <c r="F920" s="5">
        <f t="shared" si="14"/>
        <v>2.3739473684210526</v>
      </c>
      <c r="G920" t="s">
        <v>8</v>
      </c>
      <c r="H920">
        <v>156</v>
      </c>
      <c r="I920" t="s">
        <v>193</v>
      </c>
      <c r="J920" t="s">
        <v>194</v>
      </c>
      <c r="K920" s="4">
        <v>41117.208333333336</v>
      </c>
      <c r="L920" s="4" t="s">
        <v>53</v>
      </c>
      <c r="M920" s="4" t="s">
        <v>129</v>
      </c>
      <c r="N920" s="4">
        <v>41128.208333333336</v>
      </c>
      <c r="O920" t="b">
        <v>0</v>
      </c>
      <c r="P920" t="b">
        <v>0</v>
      </c>
      <c r="Q920" t="s">
        <v>228</v>
      </c>
      <c r="R920" t="str" cm="1">
        <f t="array" ref="R920:S920">_xlfn.TEXTSPLIT(Q920, "/", , FALSE)</f>
        <v>publishing</v>
      </c>
      <c r="S920" t="str">
        <v>radio &amp; podcasts</v>
      </c>
    </row>
    <row r="921" spans="1:19" ht="17" x14ac:dyDescent="0.2">
      <c r="A921">
        <v>919</v>
      </c>
      <c r="B921" t="s">
        <v>1966</v>
      </c>
      <c r="C921" s="3" t="s">
        <v>1967</v>
      </c>
      <c r="D921">
        <v>35600</v>
      </c>
      <c r="E921">
        <v>20915</v>
      </c>
      <c r="F921" s="5">
        <f t="shared" si="14"/>
        <v>0.58750000000000002</v>
      </c>
      <c r="G921" t="s">
        <v>6</v>
      </c>
      <c r="H921">
        <v>225</v>
      </c>
      <c r="I921" t="s">
        <v>115</v>
      </c>
      <c r="J921" t="s">
        <v>116</v>
      </c>
      <c r="K921" s="4">
        <v>43022.208333333328</v>
      </c>
      <c r="L921" s="4" t="s">
        <v>56</v>
      </c>
      <c r="M921" s="4" t="s">
        <v>134</v>
      </c>
      <c r="N921" s="4">
        <v>43054.25</v>
      </c>
      <c r="O921" t="b">
        <v>0</v>
      </c>
      <c r="P921" t="b">
        <v>1</v>
      </c>
      <c r="Q921" t="s">
        <v>124</v>
      </c>
      <c r="R921" t="str" cm="1">
        <f t="array" ref="R921:S921">_xlfn.TEXTSPLIT(Q921, "/", , FALSE)</f>
        <v>theater</v>
      </c>
      <c r="S921" t="str">
        <v>plays</v>
      </c>
    </row>
    <row r="922" spans="1:19" ht="17" x14ac:dyDescent="0.2">
      <c r="A922">
        <v>920</v>
      </c>
      <c r="B922" t="s">
        <v>1968</v>
      </c>
      <c r="C922" s="3" t="s">
        <v>1969</v>
      </c>
      <c r="D922">
        <v>5300</v>
      </c>
      <c r="E922">
        <v>9676</v>
      </c>
      <c r="F922" s="5">
        <f t="shared" si="14"/>
        <v>1.8256603773584905</v>
      </c>
      <c r="G922" t="s">
        <v>8</v>
      </c>
      <c r="H922">
        <v>255</v>
      </c>
      <c r="I922" t="s">
        <v>109</v>
      </c>
      <c r="J922" t="s">
        <v>110</v>
      </c>
      <c r="K922" s="4">
        <v>43503.25</v>
      </c>
      <c r="L922" s="4" t="s">
        <v>48</v>
      </c>
      <c r="M922" s="4" t="s">
        <v>121</v>
      </c>
      <c r="N922" s="4">
        <v>43523.25</v>
      </c>
      <c r="O922" t="b">
        <v>1</v>
      </c>
      <c r="P922" t="b">
        <v>0</v>
      </c>
      <c r="Q922" t="s">
        <v>166</v>
      </c>
      <c r="R922" t="str" cm="1">
        <f t="array" ref="R922:S922">_xlfn.TEXTSPLIT(Q922, "/", , FALSE)</f>
        <v>film &amp; video</v>
      </c>
      <c r="S922" t="str">
        <v>animation</v>
      </c>
    </row>
    <row r="923" spans="1:19" ht="17" x14ac:dyDescent="0.2">
      <c r="A923">
        <v>921</v>
      </c>
      <c r="B923" t="s">
        <v>1970</v>
      </c>
      <c r="C923" s="3" t="s">
        <v>1971</v>
      </c>
      <c r="D923">
        <v>160400</v>
      </c>
      <c r="E923">
        <v>1210</v>
      </c>
      <c r="F923" s="5">
        <f t="shared" si="14"/>
        <v>7.5436408977556111E-3</v>
      </c>
      <c r="G923" t="s">
        <v>6</v>
      </c>
      <c r="H923">
        <v>38</v>
      </c>
      <c r="I923" t="s">
        <v>109</v>
      </c>
      <c r="J923" t="s">
        <v>110</v>
      </c>
      <c r="K923" s="4">
        <v>40951.25</v>
      </c>
      <c r="L923" s="4" t="s">
        <v>48</v>
      </c>
      <c r="M923" s="4" t="s">
        <v>129</v>
      </c>
      <c r="N923" s="4">
        <v>40965.25</v>
      </c>
      <c r="O923" t="b">
        <v>0</v>
      </c>
      <c r="P923" t="b">
        <v>0</v>
      </c>
      <c r="Q923" t="s">
        <v>118</v>
      </c>
      <c r="R923" t="str" cm="1">
        <f t="array" ref="R923:S923">_xlfn.TEXTSPLIT(Q923, "/", , FALSE)</f>
        <v>technology</v>
      </c>
      <c r="S923" t="str">
        <v>web</v>
      </c>
    </row>
    <row r="924" spans="1:19" ht="17" x14ac:dyDescent="0.2">
      <c r="A924">
        <v>922</v>
      </c>
      <c r="B924" t="s">
        <v>1972</v>
      </c>
      <c r="C924" s="3" t="s">
        <v>1973</v>
      </c>
      <c r="D924">
        <v>51400</v>
      </c>
      <c r="E924">
        <v>90440</v>
      </c>
      <c r="F924" s="5">
        <f t="shared" si="14"/>
        <v>1.7595330739299611</v>
      </c>
      <c r="G924" t="s">
        <v>8</v>
      </c>
      <c r="H924">
        <v>2261</v>
      </c>
      <c r="I924" t="s">
        <v>109</v>
      </c>
      <c r="J924" t="s">
        <v>110</v>
      </c>
      <c r="K924" s="4">
        <v>43443.25</v>
      </c>
      <c r="L924" s="4" t="s">
        <v>58</v>
      </c>
      <c r="M924" s="4" t="s">
        <v>169</v>
      </c>
      <c r="N924" s="4">
        <v>43452.25</v>
      </c>
      <c r="O924" t="b">
        <v>0</v>
      </c>
      <c r="P924" t="b">
        <v>1</v>
      </c>
      <c r="Q924" t="s">
        <v>414</v>
      </c>
      <c r="R924" t="str" cm="1">
        <f t="array" ref="R924:S924">_xlfn.TEXTSPLIT(Q924, "/", , FALSE)</f>
        <v>music</v>
      </c>
      <c r="S924" t="str">
        <v>world music</v>
      </c>
    </row>
    <row r="925" spans="1:19" ht="17" x14ac:dyDescent="0.2">
      <c r="A925">
        <v>923</v>
      </c>
      <c r="B925" t="s">
        <v>1974</v>
      </c>
      <c r="C925" s="3" t="s">
        <v>1975</v>
      </c>
      <c r="D925">
        <v>1700</v>
      </c>
      <c r="E925">
        <v>4044</v>
      </c>
      <c r="F925" s="5">
        <f t="shared" si="14"/>
        <v>2.3788235294117648</v>
      </c>
      <c r="G925" t="s">
        <v>8</v>
      </c>
      <c r="H925">
        <v>40</v>
      </c>
      <c r="I925" t="s">
        <v>109</v>
      </c>
      <c r="J925" t="s">
        <v>110</v>
      </c>
      <c r="K925" s="4">
        <v>40373.208333333336</v>
      </c>
      <c r="L925" s="4" t="s">
        <v>53</v>
      </c>
      <c r="M925" s="4" t="s">
        <v>140</v>
      </c>
      <c r="N925" s="4">
        <v>40374.208333333336</v>
      </c>
      <c r="O925" t="b">
        <v>0</v>
      </c>
      <c r="P925" t="b">
        <v>0</v>
      </c>
      <c r="Q925" t="s">
        <v>124</v>
      </c>
      <c r="R925" t="str" cm="1">
        <f t="array" ref="R925:S925">_xlfn.TEXTSPLIT(Q925, "/", , FALSE)</f>
        <v>theater</v>
      </c>
      <c r="S925" t="str">
        <v>plays</v>
      </c>
    </row>
    <row r="926" spans="1:19" ht="17" x14ac:dyDescent="0.2">
      <c r="A926">
        <v>924</v>
      </c>
      <c r="B926" t="s">
        <v>1976</v>
      </c>
      <c r="C926" s="3" t="s">
        <v>1977</v>
      </c>
      <c r="D926">
        <v>39400</v>
      </c>
      <c r="E926">
        <v>192292</v>
      </c>
      <c r="F926" s="5">
        <f t="shared" si="14"/>
        <v>4.8805076142131982</v>
      </c>
      <c r="G926" t="s">
        <v>8</v>
      </c>
      <c r="H926">
        <v>2289</v>
      </c>
      <c r="I926" t="s">
        <v>202</v>
      </c>
      <c r="J926" t="s">
        <v>203</v>
      </c>
      <c r="K926" s="4">
        <v>43769.208333333328</v>
      </c>
      <c r="L926" s="4" t="s">
        <v>56</v>
      </c>
      <c r="M926" s="4" t="s">
        <v>121</v>
      </c>
      <c r="N926" s="4">
        <v>43780.25</v>
      </c>
      <c r="O926" t="b">
        <v>0</v>
      </c>
      <c r="P926" t="b">
        <v>0</v>
      </c>
      <c r="Q926" t="s">
        <v>124</v>
      </c>
      <c r="R926" t="str" cm="1">
        <f t="array" ref="R926:S926">_xlfn.TEXTSPLIT(Q926, "/", , FALSE)</f>
        <v>theater</v>
      </c>
      <c r="S926" t="str">
        <v>plays</v>
      </c>
    </row>
    <row r="927" spans="1:19" ht="34" x14ac:dyDescent="0.2">
      <c r="A927">
        <v>925</v>
      </c>
      <c r="B927" t="s">
        <v>1978</v>
      </c>
      <c r="C927" s="3" t="s">
        <v>1979</v>
      </c>
      <c r="D927">
        <v>3000</v>
      </c>
      <c r="E927">
        <v>6722</v>
      </c>
      <c r="F927" s="5">
        <f t="shared" si="14"/>
        <v>2.2406666666666668</v>
      </c>
      <c r="G927" t="s">
        <v>8</v>
      </c>
      <c r="H927">
        <v>65</v>
      </c>
      <c r="I927" t="s">
        <v>109</v>
      </c>
      <c r="J927" t="s">
        <v>110</v>
      </c>
      <c r="K927" s="4">
        <v>43000.208333333328</v>
      </c>
      <c r="L927" s="4" t="s">
        <v>55</v>
      </c>
      <c r="M927" s="4" t="s">
        <v>134</v>
      </c>
      <c r="N927" s="4">
        <v>43012.208333333328</v>
      </c>
      <c r="O927" t="b">
        <v>0</v>
      </c>
      <c r="P927" t="b">
        <v>0</v>
      </c>
      <c r="Q927" t="s">
        <v>124</v>
      </c>
      <c r="R927" t="str" cm="1">
        <f t="array" ref="R927:S927">_xlfn.TEXTSPLIT(Q927, "/", , FALSE)</f>
        <v>theater</v>
      </c>
      <c r="S927" t="str">
        <v>plays</v>
      </c>
    </row>
    <row r="928" spans="1:19" ht="17" x14ac:dyDescent="0.2">
      <c r="A928">
        <v>926</v>
      </c>
      <c r="B928" t="s">
        <v>1980</v>
      </c>
      <c r="C928" s="3" t="s">
        <v>1981</v>
      </c>
      <c r="D928">
        <v>8700</v>
      </c>
      <c r="E928">
        <v>1577</v>
      </c>
      <c r="F928" s="5">
        <f t="shared" si="14"/>
        <v>0.18126436781609195</v>
      </c>
      <c r="G928" t="s">
        <v>6</v>
      </c>
      <c r="H928">
        <v>15</v>
      </c>
      <c r="I928" t="s">
        <v>109</v>
      </c>
      <c r="J928" t="s">
        <v>110</v>
      </c>
      <c r="K928" s="4">
        <v>42502.208333333328</v>
      </c>
      <c r="L928" s="4" t="s">
        <v>51</v>
      </c>
      <c r="M928" s="4" t="s">
        <v>153</v>
      </c>
      <c r="N928" s="4">
        <v>42506.208333333328</v>
      </c>
      <c r="O928" t="b">
        <v>0</v>
      </c>
      <c r="P928" t="b">
        <v>0</v>
      </c>
      <c r="Q928" t="s">
        <v>106</v>
      </c>
      <c r="R928" t="str" cm="1">
        <f t="array" ref="R928:S928">_xlfn.TEXTSPLIT(Q928, "/", , FALSE)</f>
        <v>food</v>
      </c>
      <c r="S928" t="str">
        <v>food trucks</v>
      </c>
    </row>
    <row r="929" spans="1:19" ht="17" x14ac:dyDescent="0.2">
      <c r="A929">
        <v>927</v>
      </c>
      <c r="B929" t="s">
        <v>1982</v>
      </c>
      <c r="C929" s="3" t="s">
        <v>1983</v>
      </c>
      <c r="D929">
        <v>7200</v>
      </c>
      <c r="E929">
        <v>3301</v>
      </c>
      <c r="F929" s="5">
        <f t="shared" si="14"/>
        <v>0.45847222222222223</v>
      </c>
      <c r="G929" t="s">
        <v>6</v>
      </c>
      <c r="H929">
        <v>37</v>
      </c>
      <c r="I929" t="s">
        <v>109</v>
      </c>
      <c r="J929" t="s">
        <v>110</v>
      </c>
      <c r="K929" s="4">
        <v>41102.208333333336</v>
      </c>
      <c r="L929" s="4" t="s">
        <v>53</v>
      </c>
      <c r="M929" s="4" t="s">
        <v>129</v>
      </c>
      <c r="N929" s="4">
        <v>41131.208333333336</v>
      </c>
      <c r="O929" t="b">
        <v>0</v>
      </c>
      <c r="P929" t="b">
        <v>0</v>
      </c>
      <c r="Q929" t="s">
        <v>124</v>
      </c>
      <c r="R929" t="str" cm="1">
        <f t="array" ref="R929:S929">_xlfn.TEXTSPLIT(Q929, "/", , FALSE)</f>
        <v>theater</v>
      </c>
      <c r="S929" t="str">
        <v>plays</v>
      </c>
    </row>
    <row r="930" spans="1:19" ht="17" x14ac:dyDescent="0.2">
      <c r="A930">
        <v>928</v>
      </c>
      <c r="B930" t="s">
        <v>1984</v>
      </c>
      <c r="C930" s="3" t="s">
        <v>1985</v>
      </c>
      <c r="D930">
        <v>167400</v>
      </c>
      <c r="E930">
        <v>196386</v>
      </c>
      <c r="F930" s="5">
        <f t="shared" si="14"/>
        <v>1.1731541218637993</v>
      </c>
      <c r="G930" t="s">
        <v>8</v>
      </c>
      <c r="H930">
        <v>3777</v>
      </c>
      <c r="I930" t="s">
        <v>202</v>
      </c>
      <c r="J930" t="s">
        <v>203</v>
      </c>
      <c r="K930" s="4">
        <v>41637.25</v>
      </c>
      <c r="L930" s="4" t="s">
        <v>58</v>
      </c>
      <c r="M930" s="4" t="s">
        <v>117</v>
      </c>
      <c r="N930" s="4">
        <v>41646.25</v>
      </c>
      <c r="O930" t="b">
        <v>0</v>
      </c>
      <c r="P930" t="b">
        <v>0</v>
      </c>
      <c r="Q930" t="s">
        <v>118</v>
      </c>
      <c r="R930" t="str" cm="1">
        <f t="array" ref="R930:S930">_xlfn.TEXTSPLIT(Q930, "/", , FALSE)</f>
        <v>technology</v>
      </c>
      <c r="S930" t="str">
        <v>web</v>
      </c>
    </row>
    <row r="931" spans="1:19" ht="17" x14ac:dyDescent="0.2">
      <c r="A931">
        <v>929</v>
      </c>
      <c r="B931" t="s">
        <v>1986</v>
      </c>
      <c r="C931" s="3" t="s">
        <v>1987</v>
      </c>
      <c r="D931">
        <v>5500</v>
      </c>
      <c r="E931">
        <v>11952</v>
      </c>
      <c r="F931" s="5">
        <f t="shared" si="14"/>
        <v>2.173090909090909</v>
      </c>
      <c r="G931" t="s">
        <v>8</v>
      </c>
      <c r="H931">
        <v>184</v>
      </c>
      <c r="I931" t="s">
        <v>132</v>
      </c>
      <c r="J931" t="s">
        <v>133</v>
      </c>
      <c r="K931" s="4">
        <v>42858.208333333328</v>
      </c>
      <c r="L931" s="4" t="s">
        <v>51</v>
      </c>
      <c r="M931" s="4" t="s">
        <v>134</v>
      </c>
      <c r="N931" s="4">
        <v>42872.208333333328</v>
      </c>
      <c r="O931" t="b">
        <v>0</v>
      </c>
      <c r="P931" t="b">
        <v>0</v>
      </c>
      <c r="Q931" t="s">
        <v>124</v>
      </c>
      <c r="R931" t="str" cm="1">
        <f t="array" ref="R931:S931">_xlfn.TEXTSPLIT(Q931, "/", , FALSE)</f>
        <v>theater</v>
      </c>
      <c r="S931" t="str">
        <v>plays</v>
      </c>
    </row>
    <row r="932" spans="1:19" ht="17" x14ac:dyDescent="0.2">
      <c r="A932">
        <v>930</v>
      </c>
      <c r="B932" t="s">
        <v>1988</v>
      </c>
      <c r="C932" s="3" t="s">
        <v>1989</v>
      </c>
      <c r="D932">
        <v>3500</v>
      </c>
      <c r="E932">
        <v>3930</v>
      </c>
      <c r="F932" s="5">
        <f t="shared" si="14"/>
        <v>1.1228571428571428</v>
      </c>
      <c r="G932" t="s">
        <v>8</v>
      </c>
      <c r="H932">
        <v>85</v>
      </c>
      <c r="I932" t="s">
        <v>109</v>
      </c>
      <c r="J932" t="s">
        <v>110</v>
      </c>
      <c r="K932" s="4">
        <v>42060.25</v>
      </c>
      <c r="L932" s="4" t="s">
        <v>48</v>
      </c>
      <c r="M932" s="4" t="s">
        <v>105</v>
      </c>
      <c r="N932" s="4">
        <v>42067.25</v>
      </c>
      <c r="O932" t="b">
        <v>0</v>
      </c>
      <c r="P932" t="b">
        <v>1</v>
      </c>
      <c r="Q932" t="s">
        <v>124</v>
      </c>
      <c r="R932" t="str" cm="1">
        <f t="array" ref="R932:S932">_xlfn.TEXTSPLIT(Q932, "/", , FALSE)</f>
        <v>theater</v>
      </c>
      <c r="S932" t="str">
        <v>plays</v>
      </c>
    </row>
    <row r="933" spans="1:19" ht="17" x14ac:dyDescent="0.2">
      <c r="A933">
        <v>931</v>
      </c>
      <c r="B933" t="s">
        <v>1990</v>
      </c>
      <c r="C933" s="3" t="s">
        <v>1991</v>
      </c>
      <c r="D933">
        <v>7900</v>
      </c>
      <c r="E933">
        <v>5729</v>
      </c>
      <c r="F933" s="5">
        <f t="shared" si="14"/>
        <v>0.72518987341772156</v>
      </c>
      <c r="G933" t="s">
        <v>6</v>
      </c>
      <c r="H933">
        <v>112</v>
      </c>
      <c r="I933" t="s">
        <v>109</v>
      </c>
      <c r="J933" t="s">
        <v>110</v>
      </c>
      <c r="K933" s="4">
        <v>41818.208333333336</v>
      </c>
      <c r="L933" s="4" t="s">
        <v>52</v>
      </c>
      <c r="M933" s="4" t="s">
        <v>111</v>
      </c>
      <c r="N933" s="4">
        <v>41820.208333333336</v>
      </c>
      <c r="O933" t="b">
        <v>0</v>
      </c>
      <c r="P933" t="b">
        <v>1</v>
      </c>
      <c r="Q933" t="s">
        <v>124</v>
      </c>
      <c r="R933" t="str" cm="1">
        <f t="array" ref="R933:S933">_xlfn.TEXTSPLIT(Q933, "/", , FALSE)</f>
        <v>theater</v>
      </c>
      <c r="S933" t="str">
        <v>plays</v>
      </c>
    </row>
    <row r="934" spans="1:19" ht="17" x14ac:dyDescent="0.2">
      <c r="A934">
        <v>932</v>
      </c>
      <c r="B934" t="s">
        <v>1992</v>
      </c>
      <c r="C934" s="3" t="s">
        <v>1993</v>
      </c>
      <c r="D934">
        <v>2300</v>
      </c>
      <c r="E934">
        <v>4883</v>
      </c>
      <c r="F934" s="5">
        <f t="shared" si="14"/>
        <v>2.1230434782608696</v>
      </c>
      <c r="G934" t="s">
        <v>8</v>
      </c>
      <c r="H934">
        <v>144</v>
      </c>
      <c r="I934" t="s">
        <v>109</v>
      </c>
      <c r="J934" t="s">
        <v>110</v>
      </c>
      <c r="K934" s="4">
        <v>41709.208333333336</v>
      </c>
      <c r="L934" s="4" t="s">
        <v>49</v>
      </c>
      <c r="M934" s="4" t="s">
        <v>111</v>
      </c>
      <c r="N934" s="4">
        <v>41712.208333333336</v>
      </c>
      <c r="O934" t="b">
        <v>0</v>
      </c>
      <c r="P934" t="b">
        <v>0</v>
      </c>
      <c r="Q934" t="s">
        <v>112</v>
      </c>
      <c r="R934" t="str" cm="1">
        <f t="array" ref="R934:S934">_xlfn.TEXTSPLIT(Q934, "/", , FALSE)</f>
        <v>music</v>
      </c>
      <c r="S934" t="str">
        <v>rock</v>
      </c>
    </row>
    <row r="935" spans="1:19" ht="17" x14ac:dyDescent="0.2">
      <c r="A935">
        <v>933</v>
      </c>
      <c r="B935" t="s">
        <v>1994</v>
      </c>
      <c r="C935" s="3" t="s">
        <v>1995</v>
      </c>
      <c r="D935">
        <v>73000</v>
      </c>
      <c r="E935">
        <v>175015</v>
      </c>
      <c r="F935" s="5">
        <f t="shared" si="14"/>
        <v>2.3974657534246577</v>
      </c>
      <c r="G935" t="s">
        <v>8</v>
      </c>
      <c r="H935">
        <v>1902</v>
      </c>
      <c r="I935" t="s">
        <v>109</v>
      </c>
      <c r="J935" t="s">
        <v>110</v>
      </c>
      <c r="K935" s="4">
        <v>41372.208333333336</v>
      </c>
      <c r="L935" s="4" t="s">
        <v>50</v>
      </c>
      <c r="M935" s="4" t="s">
        <v>117</v>
      </c>
      <c r="N935" s="4">
        <v>41385.208333333336</v>
      </c>
      <c r="O935" t="b">
        <v>0</v>
      </c>
      <c r="P935" t="b">
        <v>0</v>
      </c>
      <c r="Q935" t="s">
        <v>124</v>
      </c>
      <c r="R935" t="str" cm="1">
        <f t="array" ref="R935:S935">_xlfn.TEXTSPLIT(Q935, "/", , FALSE)</f>
        <v>theater</v>
      </c>
      <c r="S935" t="str">
        <v>plays</v>
      </c>
    </row>
    <row r="936" spans="1:19" ht="17" x14ac:dyDescent="0.2">
      <c r="A936">
        <v>934</v>
      </c>
      <c r="B936" t="s">
        <v>1996</v>
      </c>
      <c r="C936" s="3" t="s">
        <v>1997</v>
      </c>
      <c r="D936">
        <v>6200</v>
      </c>
      <c r="E936">
        <v>11280</v>
      </c>
      <c r="F936" s="5">
        <f t="shared" si="14"/>
        <v>1.8193548387096774</v>
      </c>
      <c r="G936" t="s">
        <v>8</v>
      </c>
      <c r="H936">
        <v>105</v>
      </c>
      <c r="I936" t="s">
        <v>109</v>
      </c>
      <c r="J936" t="s">
        <v>110</v>
      </c>
      <c r="K936" s="4">
        <v>42422.25</v>
      </c>
      <c r="L936" s="4" t="s">
        <v>48</v>
      </c>
      <c r="M936" s="4" t="s">
        <v>153</v>
      </c>
      <c r="N936" s="4">
        <v>42428.25</v>
      </c>
      <c r="O936" t="b">
        <v>0</v>
      </c>
      <c r="P936" t="b">
        <v>0</v>
      </c>
      <c r="Q936" t="s">
        <v>124</v>
      </c>
      <c r="R936" t="str" cm="1">
        <f t="array" ref="R936:S936">_xlfn.TEXTSPLIT(Q936, "/", , FALSE)</f>
        <v>theater</v>
      </c>
      <c r="S936" t="str">
        <v>plays</v>
      </c>
    </row>
    <row r="937" spans="1:19" ht="34" x14ac:dyDescent="0.2">
      <c r="A937">
        <v>935</v>
      </c>
      <c r="B937" t="s">
        <v>1998</v>
      </c>
      <c r="C937" s="3" t="s">
        <v>1999</v>
      </c>
      <c r="D937">
        <v>6100</v>
      </c>
      <c r="E937">
        <v>10012</v>
      </c>
      <c r="F937" s="5">
        <f t="shared" si="14"/>
        <v>1.6413114754098361</v>
      </c>
      <c r="G937" t="s">
        <v>8</v>
      </c>
      <c r="H937">
        <v>132</v>
      </c>
      <c r="I937" t="s">
        <v>109</v>
      </c>
      <c r="J937" t="s">
        <v>110</v>
      </c>
      <c r="K937" s="4">
        <v>42209.208333333328</v>
      </c>
      <c r="L937" s="4" t="s">
        <v>53</v>
      </c>
      <c r="M937" s="4" t="s">
        <v>105</v>
      </c>
      <c r="N937" s="4">
        <v>42216.208333333328</v>
      </c>
      <c r="O937" t="b">
        <v>0</v>
      </c>
      <c r="P937" t="b">
        <v>0</v>
      </c>
      <c r="Q937" t="s">
        <v>124</v>
      </c>
      <c r="R937" t="str" cm="1">
        <f t="array" ref="R937:S937">_xlfn.TEXTSPLIT(Q937, "/", , FALSE)</f>
        <v>theater</v>
      </c>
      <c r="S937" t="str">
        <v>plays</v>
      </c>
    </row>
    <row r="938" spans="1:19" ht="17" x14ac:dyDescent="0.2">
      <c r="A938">
        <v>936</v>
      </c>
      <c r="B938" t="s">
        <v>1341</v>
      </c>
      <c r="C938" s="3" t="s">
        <v>2000</v>
      </c>
      <c r="D938">
        <v>103200</v>
      </c>
      <c r="E938">
        <v>1690</v>
      </c>
      <c r="F938" s="5">
        <f t="shared" si="14"/>
        <v>1.6375968992248063E-2</v>
      </c>
      <c r="G938" t="s">
        <v>6</v>
      </c>
      <c r="H938">
        <v>21</v>
      </c>
      <c r="I938" t="s">
        <v>109</v>
      </c>
      <c r="J938" t="s">
        <v>110</v>
      </c>
      <c r="K938" s="4">
        <v>43668.208333333328</v>
      </c>
      <c r="L938" s="4" t="s">
        <v>53</v>
      </c>
      <c r="M938" s="4" t="s">
        <v>121</v>
      </c>
      <c r="N938" s="4">
        <v>43671.208333333328</v>
      </c>
      <c r="O938" t="b">
        <v>1</v>
      </c>
      <c r="P938" t="b">
        <v>0</v>
      </c>
      <c r="Q938" t="s">
        <v>124</v>
      </c>
      <c r="R938" t="str" cm="1">
        <f t="array" ref="R938:S938">_xlfn.TEXTSPLIT(Q938, "/", , FALSE)</f>
        <v>theater</v>
      </c>
      <c r="S938" t="str">
        <v>plays</v>
      </c>
    </row>
    <row r="939" spans="1:19" ht="17" x14ac:dyDescent="0.2">
      <c r="A939">
        <v>937</v>
      </c>
      <c r="B939" t="s">
        <v>2001</v>
      </c>
      <c r="C939" s="3" t="s">
        <v>2002</v>
      </c>
      <c r="D939">
        <v>171000</v>
      </c>
      <c r="E939">
        <v>84891</v>
      </c>
      <c r="F939" s="5">
        <f t="shared" si="14"/>
        <v>0.49643859649122807</v>
      </c>
      <c r="G939" t="s">
        <v>5</v>
      </c>
      <c r="H939">
        <v>976</v>
      </c>
      <c r="I939" t="s">
        <v>109</v>
      </c>
      <c r="J939" t="s">
        <v>110</v>
      </c>
      <c r="K939" s="4">
        <v>42334.25</v>
      </c>
      <c r="L939" s="4" t="s">
        <v>57</v>
      </c>
      <c r="M939" s="4" t="s">
        <v>105</v>
      </c>
      <c r="N939" s="4">
        <v>42343.25</v>
      </c>
      <c r="O939" t="b">
        <v>0</v>
      </c>
      <c r="P939" t="b">
        <v>0</v>
      </c>
      <c r="Q939" t="s">
        <v>135</v>
      </c>
      <c r="R939" t="str" cm="1">
        <f t="array" ref="R939:S939">_xlfn.TEXTSPLIT(Q939, "/", , FALSE)</f>
        <v>film &amp; video</v>
      </c>
      <c r="S939" t="str">
        <v>documentary</v>
      </c>
    </row>
    <row r="940" spans="1:19" ht="17" x14ac:dyDescent="0.2">
      <c r="A940">
        <v>938</v>
      </c>
      <c r="B940" t="s">
        <v>2003</v>
      </c>
      <c r="C940" s="3" t="s">
        <v>2004</v>
      </c>
      <c r="D940">
        <v>9200</v>
      </c>
      <c r="E940">
        <v>10093</v>
      </c>
      <c r="F940" s="5">
        <f t="shared" si="14"/>
        <v>1.0970652173913042</v>
      </c>
      <c r="G940" t="s">
        <v>8</v>
      </c>
      <c r="H940">
        <v>96</v>
      </c>
      <c r="I940" t="s">
        <v>109</v>
      </c>
      <c r="J940" t="s">
        <v>110</v>
      </c>
      <c r="K940" s="4">
        <v>43263.208333333328</v>
      </c>
      <c r="L940" s="4" t="s">
        <v>52</v>
      </c>
      <c r="M940" s="4" t="s">
        <v>169</v>
      </c>
      <c r="N940" s="4">
        <v>43299.208333333328</v>
      </c>
      <c r="O940" t="b">
        <v>0</v>
      </c>
      <c r="P940" t="b">
        <v>1</v>
      </c>
      <c r="Q940" t="s">
        <v>214</v>
      </c>
      <c r="R940" t="str" cm="1">
        <f t="array" ref="R940:S940">_xlfn.TEXTSPLIT(Q940, "/", , FALSE)</f>
        <v>publishing</v>
      </c>
      <c r="S940" t="str">
        <v>fiction</v>
      </c>
    </row>
    <row r="941" spans="1:19" ht="34" x14ac:dyDescent="0.2">
      <c r="A941">
        <v>939</v>
      </c>
      <c r="B941" t="s">
        <v>2005</v>
      </c>
      <c r="C941" s="3" t="s">
        <v>2006</v>
      </c>
      <c r="D941">
        <v>7800</v>
      </c>
      <c r="E941">
        <v>3839</v>
      </c>
      <c r="F941" s="5">
        <f t="shared" si="14"/>
        <v>0.49217948717948717</v>
      </c>
      <c r="G941" t="s">
        <v>6</v>
      </c>
      <c r="H941">
        <v>67</v>
      </c>
      <c r="I941" t="s">
        <v>109</v>
      </c>
      <c r="J941" t="s">
        <v>110</v>
      </c>
      <c r="K941" s="4">
        <v>40670.208333333336</v>
      </c>
      <c r="L941" s="4" t="s">
        <v>51</v>
      </c>
      <c r="M941" s="4" t="s">
        <v>165</v>
      </c>
      <c r="N941" s="4">
        <v>40687.208333333336</v>
      </c>
      <c r="O941" t="b">
        <v>0</v>
      </c>
      <c r="P941" t="b">
        <v>1</v>
      </c>
      <c r="Q941" t="s">
        <v>184</v>
      </c>
      <c r="R941" t="str" cm="1">
        <f t="array" ref="R941:S941">_xlfn.TEXTSPLIT(Q941, "/", , FALSE)</f>
        <v>games</v>
      </c>
      <c r="S941" t="str">
        <v>video games</v>
      </c>
    </row>
    <row r="942" spans="1:19" ht="17" x14ac:dyDescent="0.2">
      <c r="A942">
        <v>940</v>
      </c>
      <c r="B942" t="s">
        <v>2007</v>
      </c>
      <c r="C942" s="3" t="s">
        <v>2008</v>
      </c>
      <c r="D942">
        <v>9900</v>
      </c>
      <c r="E942">
        <v>6161</v>
      </c>
      <c r="F942" s="5">
        <f t="shared" si="14"/>
        <v>0.62232323232323228</v>
      </c>
      <c r="G942" t="s">
        <v>7</v>
      </c>
      <c r="H942">
        <v>66</v>
      </c>
      <c r="I942" t="s">
        <v>103</v>
      </c>
      <c r="J942" t="s">
        <v>104</v>
      </c>
      <c r="K942" s="4">
        <v>41244.25</v>
      </c>
      <c r="L942" s="4" t="s">
        <v>58</v>
      </c>
      <c r="M942" s="4" t="s">
        <v>129</v>
      </c>
      <c r="N942" s="4">
        <v>41266.25</v>
      </c>
      <c r="O942" t="b">
        <v>0</v>
      </c>
      <c r="P942" t="b">
        <v>0</v>
      </c>
      <c r="Q942" t="s">
        <v>118</v>
      </c>
      <c r="R942" t="str" cm="1">
        <f t="array" ref="R942:S942">_xlfn.TEXTSPLIT(Q942, "/", , FALSE)</f>
        <v>technology</v>
      </c>
      <c r="S942" t="str">
        <v>web</v>
      </c>
    </row>
    <row r="943" spans="1:19" ht="17" x14ac:dyDescent="0.2">
      <c r="A943">
        <v>941</v>
      </c>
      <c r="B943" t="s">
        <v>2009</v>
      </c>
      <c r="C943" s="3" t="s">
        <v>2010</v>
      </c>
      <c r="D943">
        <v>43000</v>
      </c>
      <c r="E943">
        <v>5615</v>
      </c>
      <c r="F943" s="5">
        <f t="shared" si="14"/>
        <v>0.1305813953488372</v>
      </c>
      <c r="G943" t="s">
        <v>6</v>
      </c>
      <c r="H943">
        <v>78</v>
      </c>
      <c r="I943" t="s">
        <v>109</v>
      </c>
      <c r="J943" t="s">
        <v>110</v>
      </c>
      <c r="K943" s="4">
        <v>40552.25</v>
      </c>
      <c r="L943" s="4" t="s">
        <v>47</v>
      </c>
      <c r="M943" s="4" t="s">
        <v>165</v>
      </c>
      <c r="N943" s="4">
        <v>40587.25</v>
      </c>
      <c r="O943" t="b">
        <v>1</v>
      </c>
      <c r="P943" t="b">
        <v>0</v>
      </c>
      <c r="Q943" t="s">
        <v>124</v>
      </c>
      <c r="R943" t="str" cm="1">
        <f t="array" ref="R943:S943">_xlfn.TEXTSPLIT(Q943, "/", , FALSE)</f>
        <v>theater</v>
      </c>
      <c r="S943" t="str">
        <v>plays</v>
      </c>
    </row>
    <row r="944" spans="1:19" ht="17" x14ac:dyDescent="0.2">
      <c r="A944">
        <v>942</v>
      </c>
      <c r="B944" t="s">
        <v>2003</v>
      </c>
      <c r="C944" s="3" t="s">
        <v>2011</v>
      </c>
      <c r="D944">
        <v>9600</v>
      </c>
      <c r="E944">
        <v>6205</v>
      </c>
      <c r="F944" s="5">
        <f t="shared" si="14"/>
        <v>0.64635416666666667</v>
      </c>
      <c r="G944" t="s">
        <v>6</v>
      </c>
      <c r="H944">
        <v>67</v>
      </c>
      <c r="I944" t="s">
        <v>115</v>
      </c>
      <c r="J944" t="s">
        <v>116</v>
      </c>
      <c r="K944" s="4">
        <v>40568.25</v>
      </c>
      <c r="L944" s="4" t="s">
        <v>47</v>
      </c>
      <c r="M944" s="4" t="s">
        <v>165</v>
      </c>
      <c r="N944" s="4">
        <v>40571.25</v>
      </c>
      <c r="O944" t="b">
        <v>0</v>
      </c>
      <c r="P944" t="b">
        <v>0</v>
      </c>
      <c r="Q944" t="s">
        <v>124</v>
      </c>
      <c r="R944" t="str" cm="1">
        <f t="array" ref="R944:S944">_xlfn.TEXTSPLIT(Q944, "/", , FALSE)</f>
        <v>theater</v>
      </c>
      <c r="S944" t="str">
        <v>plays</v>
      </c>
    </row>
    <row r="945" spans="1:19" ht="17" x14ac:dyDescent="0.2">
      <c r="A945">
        <v>943</v>
      </c>
      <c r="B945" t="s">
        <v>2012</v>
      </c>
      <c r="C945" s="3" t="s">
        <v>2013</v>
      </c>
      <c r="D945">
        <v>7500</v>
      </c>
      <c r="E945">
        <v>11969</v>
      </c>
      <c r="F945" s="5">
        <f t="shared" si="14"/>
        <v>1.5958666666666668</v>
      </c>
      <c r="G945" t="s">
        <v>8</v>
      </c>
      <c r="H945">
        <v>114</v>
      </c>
      <c r="I945" t="s">
        <v>109</v>
      </c>
      <c r="J945" t="s">
        <v>110</v>
      </c>
      <c r="K945" s="4">
        <v>41906.208333333336</v>
      </c>
      <c r="L945" s="4" t="s">
        <v>55</v>
      </c>
      <c r="M945" s="4" t="s">
        <v>111</v>
      </c>
      <c r="N945" s="4">
        <v>41941.208333333336</v>
      </c>
      <c r="O945" t="b">
        <v>0</v>
      </c>
      <c r="P945" t="b">
        <v>0</v>
      </c>
      <c r="Q945" t="s">
        <v>106</v>
      </c>
      <c r="R945" t="str" cm="1">
        <f t="array" ref="R945:S945">_xlfn.TEXTSPLIT(Q945, "/", , FALSE)</f>
        <v>food</v>
      </c>
      <c r="S945" t="str">
        <v>food trucks</v>
      </c>
    </row>
    <row r="946" spans="1:19" ht="17" x14ac:dyDescent="0.2">
      <c r="A946">
        <v>944</v>
      </c>
      <c r="B946" t="s">
        <v>2014</v>
      </c>
      <c r="C946" s="3" t="s">
        <v>2015</v>
      </c>
      <c r="D946">
        <v>10000</v>
      </c>
      <c r="E946">
        <v>8142</v>
      </c>
      <c r="F946" s="5">
        <f t="shared" si="14"/>
        <v>0.81420000000000003</v>
      </c>
      <c r="G946" t="s">
        <v>6</v>
      </c>
      <c r="H946">
        <v>263</v>
      </c>
      <c r="I946" t="s">
        <v>115</v>
      </c>
      <c r="J946" t="s">
        <v>116</v>
      </c>
      <c r="K946" s="4">
        <v>42776.25</v>
      </c>
      <c r="L946" s="4" t="s">
        <v>48</v>
      </c>
      <c r="M946" s="4" t="s">
        <v>134</v>
      </c>
      <c r="N946" s="4">
        <v>42795.25</v>
      </c>
      <c r="O946" t="b">
        <v>0</v>
      </c>
      <c r="P946" t="b">
        <v>0</v>
      </c>
      <c r="Q946" t="s">
        <v>217</v>
      </c>
      <c r="R946" t="str" cm="1">
        <f t="array" ref="R946:S946">_xlfn.TEXTSPLIT(Q946, "/", , FALSE)</f>
        <v>photography</v>
      </c>
      <c r="S946" t="str">
        <v>photography books</v>
      </c>
    </row>
    <row r="947" spans="1:19" ht="17" x14ac:dyDescent="0.2">
      <c r="A947">
        <v>945</v>
      </c>
      <c r="B947" t="s">
        <v>2016</v>
      </c>
      <c r="C947" s="3" t="s">
        <v>2017</v>
      </c>
      <c r="D947">
        <v>172000</v>
      </c>
      <c r="E947">
        <v>55805</v>
      </c>
      <c r="F947" s="5">
        <f t="shared" si="14"/>
        <v>0.32444767441860467</v>
      </c>
      <c r="G947" t="s">
        <v>6</v>
      </c>
      <c r="H947">
        <v>1691</v>
      </c>
      <c r="I947" t="s">
        <v>109</v>
      </c>
      <c r="J947" t="s">
        <v>110</v>
      </c>
      <c r="K947" s="4">
        <v>41004.208333333336</v>
      </c>
      <c r="L947" s="4" t="s">
        <v>50</v>
      </c>
      <c r="M947" s="4" t="s">
        <v>129</v>
      </c>
      <c r="N947" s="4">
        <v>41019.208333333336</v>
      </c>
      <c r="O947" t="b">
        <v>1</v>
      </c>
      <c r="P947" t="b">
        <v>0</v>
      </c>
      <c r="Q947" t="s">
        <v>217</v>
      </c>
      <c r="R947" t="str" cm="1">
        <f t="array" ref="R947:S947">_xlfn.TEXTSPLIT(Q947, "/", , FALSE)</f>
        <v>photography</v>
      </c>
      <c r="S947" t="str">
        <v>photography books</v>
      </c>
    </row>
    <row r="948" spans="1:19" ht="34" x14ac:dyDescent="0.2">
      <c r="A948">
        <v>946</v>
      </c>
      <c r="B948" t="s">
        <v>2018</v>
      </c>
      <c r="C948" s="3" t="s">
        <v>2019</v>
      </c>
      <c r="D948">
        <v>153700</v>
      </c>
      <c r="E948">
        <v>15238</v>
      </c>
      <c r="F948" s="5">
        <f t="shared" si="14"/>
        <v>9.9141184124918666E-2</v>
      </c>
      <c r="G948" t="s">
        <v>6</v>
      </c>
      <c r="H948">
        <v>181</v>
      </c>
      <c r="I948" t="s">
        <v>109</v>
      </c>
      <c r="J948" t="s">
        <v>110</v>
      </c>
      <c r="K948" s="4">
        <v>40710.208333333336</v>
      </c>
      <c r="L948" s="4" t="s">
        <v>52</v>
      </c>
      <c r="M948" s="4" t="s">
        <v>165</v>
      </c>
      <c r="N948" s="4">
        <v>40712.208333333336</v>
      </c>
      <c r="O948" t="b">
        <v>0</v>
      </c>
      <c r="P948" t="b">
        <v>0</v>
      </c>
      <c r="Q948" t="s">
        <v>124</v>
      </c>
      <c r="R948" t="str" cm="1">
        <f t="array" ref="R948:S948">_xlfn.TEXTSPLIT(Q948, "/", , FALSE)</f>
        <v>theater</v>
      </c>
      <c r="S948" t="str">
        <v>plays</v>
      </c>
    </row>
    <row r="949" spans="1:19" ht="17" x14ac:dyDescent="0.2">
      <c r="A949">
        <v>947</v>
      </c>
      <c r="B949" t="s">
        <v>2020</v>
      </c>
      <c r="C949" s="3" t="s">
        <v>2021</v>
      </c>
      <c r="D949">
        <v>3600</v>
      </c>
      <c r="E949">
        <v>961</v>
      </c>
      <c r="F949" s="5">
        <f t="shared" si="14"/>
        <v>0.26694444444444443</v>
      </c>
      <c r="G949" t="s">
        <v>6</v>
      </c>
      <c r="H949">
        <v>13</v>
      </c>
      <c r="I949" t="s">
        <v>109</v>
      </c>
      <c r="J949" t="s">
        <v>110</v>
      </c>
      <c r="K949" s="4">
        <v>41908.208333333336</v>
      </c>
      <c r="L949" s="4" t="s">
        <v>55</v>
      </c>
      <c r="M949" s="4" t="s">
        <v>111</v>
      </c>
      <c r="N949" s="4">
        <v>41915.208333333336</v>
      </c>
      <c r="O949" t="b">
        <v>0</v>
      </c>
      <c r="P949" t="b">
        <v>0</v>
      </c>
      <c r="Q949" t="s">
        <v>124</v>
      </c>
      <c r="R949" t="str" cm="1">
        <f t="array" ref="R949:S949">_xlfn.TEXTSPLIT(Q949, "/", , FALSE)</f>
        <v>theater</v>
      </c>
      <c r="S949" t="str">
        <v>plays</v>
      </c>
    </row>
    <row r="950" spans="1:19" ht="17" x14ac:dyDescent="0.2">
      <c r="A950">
        <v>948</v>
      </c>
      <c r="B950" t="s">
        <v>2022</v>
      </c>
      <c r="C950" s="3" t="s">
        <v>2023</v>
      </c>
      <c r="D950">
        <v>9400</v>
      </c>
      <c r="E950">
        <v>5918</v>
      </c>
      <c r="F950" s="5">
        <f t="shared" si="14"/>
        <v>0.62957446808510642</v>
      </c>
      <c r="G950" t="s">
        <v>5</v>
      </c>
      <c r="H950">
        <v>160</v>
      </c>
      <c r="I950" t="s">
        <v>109</v>
      </c>
      <c r="J950" t="s">
        <v>110</v>
      </c>
      <c r="K950" s="4">
        <v>41985.25</v>
      </c>
      <c r="L950" s="4" t="s">
        <v>58</v>
      </c>
      <c r="M950" s="4" t="s">
        <v>111</v>
      </c>
      <c r="N950" s="4">
        <v>41995.25</v>
      </c>
      <c r="O950" t="b">
        <v>1</v>
      </c>
      <c r="P950" t="b">
        <v>1</v>
      </c>
      <c r="Q950" t="s">
        <v>135</v>
      </c>
      <c r="R950" t="str" cm="1">
        <f t="array" ref="R950:S950">_xlfn.TEXTSPLIT(Q950, "/", , FALSE)</f>
        <v>film &amp; video</v>
      </c>
      <c r="S950" t="str">
        <v>documentary</v>
      </c>
    </row>
    <row r="951" spans="1:19" ht="34" x14ac:dyDescent="0.2">
      <c r="A951">
        <v>949</v>
      </c>
      <c r="B951" t="s">
        <v>2024</v>
      </c>
      <c r="C951" s="3" t="s">
        <v>2025</v>
      </c>
      <c r="D951">
        <v>5900</v>
      </c>
      <c r="E951">
        <v>9520</v>
      </c>
      <c r="F951" s="5">
        <f t="shared" si="14"/>
        <v>1.6135593220338984</v>
      </c>
      <c r="G951" t="s">
        <v>8</v>
      </c>
      <c r="H951">
        <v>203</v>
      </c>
      <c r="I951" t="s">
        <v>109</v>
      </c>
      <c r="J951" t="s">
        <v>110</v>
      </c>
      <c r="K951" s="4">
        <v>42112.208333333328</v>
      </c>
      <c r="L951" s="4" t="s">
        <v>50</v>
      </c>
      <c r="M951" s="4" t="s">
        <v>105</v>
      </c>
      <c r="N951" s="4">
        <v>42131.208333333328</v>
      </c>
      <c r="O951" t="b">
        <v>0</v>
      </c>
      <c r="P951" t="b">
        <v>0</v>
      </c>
      <c r="Q951" t="s">
        <v>118</v>
      </c>
      <c r="R951" t="str" cm="1">
        <f t="array" ref="R951:S951">_xlfn.TEXTSPLIT(Q951, "/", , FALSE)</f>
        <v>technology</v>
      </c>
      <c r="S951" t="str">
        <v>web</v>
      </c>
    </row>
    <row r="952" spans="1:19" ht="17" x14ac:dyDescent="0.2">
      <c r="A952">
        <v>950</v>
      </c>
      <c r="B952" t="s">
        <v>2026</v>
      </c>
      <c r="C952" s="3" t="s">
        <v>2027</v>
      </c>
      <c r="D952">
        <v>100</v>
      </c>
      <c r="E952">
        <v>5</v>
      </c>
      <c r="F952" s="5">
        <f t="shared" si="14"/>
        <v>0.05</v>
      </c>
      <c r="G952" t="s">
        <v>6</v>
      </c>
      <c r="H952">
        <v>1</v>
      </c>
      <c r="I952" t="s">
        <v>109</v>
      </c>
      <c r="J952" t="s">
        <v>110</v>
      </c>
      <c r="K952" s="4">
        <v>43571.208333333328</v>
      </c>
      <c r="L952" s="4" t="s">
        <v>50</v>
      </c>
      <c r="M952" s="4" t="s">
        <v>121</v>
      </c>
      <c r="N952" s="4">
        <v>43576.208333333328</v>
      </c>
      <c r="O952" t="b">
        <v>0</v>
      </c>
      <c r="P952" t="b">
        <v>1</v>
      </c>
      <c r="Q952" t="s">
        <v>124</v>
      </c>
      <c r="R952" t="str" cm="1">
        <f t="array" ref="R952:S952">_xlfn.TEXTSPLIT(Q952, "/", , FALSE)</f>
        <v>theater</v>
      </c>
      <c r="S952" t="str">
        <v>plays</v>
      </c>
    </row>
    <row r="953" spans="1:19" ht="17" x14ac:dyDescent="0.2">
      <c r="A953">
        <v>951</v>
      </c>
      <c r="B953" t="s">
        <v>2028</v>
      </c>
      <c r="C953" s="3" t="s">
        <v>2029</v>
      </c>
      <c r="D953">
        <v>14500</v>
      </c>
      <c r="E953">
        <v>159056</v>
      </c>
      <c r="F953" s="5">
        <f t="shared" si="14"/>
        <v>10.969379310344827</v>
      </c>
      <c r="G953" t="s">
        <v>8</v>
      </c>
      <c r="H953">
        <v>1559</v>
      </c>
      <c r="I953" t="s">
        <v>109</v>
      </c>
      <c r="J953" t="s">
        <v>110</v>
      </c>
      <c r="K953" s="4">
        <v>42730.25</v>
      </c>
      <c r="L953" s="4" t="s">
        <v>58</v>
      </c>
      <c r="M953" s="4" t="s">
        <v>153</v>
      </c>
      <c r="N953" s="4">
        <v>42731.25</v>
      </c>
      <c r="O953" t="b">
        <v>0</v>
      </c>
      <c r="P953" t="b">
        <v>1</v>
      </c>
      <c r="Q953" t="s">
        <v>112</v>
      </c>
      <c r="R953" t="str" cm="1">
        <f t="array" ref="R953:S953">_xlfn.TEXTSPLIT(Q953, "/", , FALSE)</f>
        <v>music</v>
      </c>
      <c r="S953" t="str">
        <v>rock</v>
      </c>
    </row>
    <row r="954" spans="1:19" ht="17" x14ac:dyDescent="0.2">
      <c r="A954">
        <v>952</v>
      </c>
      <c r="B954" t="s">
        <v>2030</v>
      </c>
      <c r="C954" s="3" t="s">
        <v>2031</v>
      </c>
      <c r="D954">
        <v>145500</v>
      </c>
      <c r="E954">
        <v>101987</v>
      </c>
      <c r="F954" s="5">
        <f t="shared" si="14"/>
        <v>0.70094158075601376</v>
      </c>
      <c r="G954" t="s">
        <v>5</v>
      </c>
      <c r="H954">
        <v>2266</v>
      </c>
      <c r="I954" t="s">
        <v>109</v>
      </c>
      <c r="J954" t="s">
        <v>110</v>
      </c>
      <c r="K954" s="4">
        <v>42591.208333333328</v>
      </c>
      <c r="L954" s="4" t="s">
        <v>54</v>
      </c>
      <c r="M954" s="4" t="s">
        <v>153</v>
      </c>
      <c r="N954" s="4">
        <v>42605.208333333328</v>
      </c>
      <c r="O954" t="b">
        <v>0</v>
      </c>
      <c r="P954" t="b">
        <v>0</v>
      </c>
      <c r="Q954" t="s">
        <v>135</v>
      </c>
      <c r="R954" t="str" cm="1">
        <f t="array" ref="R954:S954">_xlfn.TEXTSPLIT(Q954, "/", , FALSE)</f>
        <v>film &amp; video</v>
      </c>
      <c r="S954" t="str">
        <v>documentary</v>
      </c>
    </row>
    <row r="955" spans="1:19" ht="34" x14ac:dyDescent="0.2">
      <c r="A955">
        <v>953</v>
      </c>
      <c r="B955" t="s">
        <v>2032</v>
      </c>
      <c r="C955" s="3" t="s">
        <v>2033</v>
      </c>
      <c r="D955">
        <v>3300</v>
      </c>
      <c r="E955">
        <v>1980</v>
      </c>
      <c r="F955" s="5">
        <f t="shared" si="14"/>
        <v>0.6</v>
      </c>
      <c r="G955" t="s">
        <v>6</v>
      </c>
      <c r="H955">
        <v>21</v>
      </c>
      <c r="I955" t="s">
        <v>109</v>
      </c>
      <c r="J955" t="s">
        <v>110</v>
      </c>
      <c r="K955" s="4">
        <v>42358.25</v>
      </c>
      <c r="L955" s="4" t="s">
        <v>58</v>
      </c>
      <c r="M955" s="4" t="s">
        <v>105</v>
      </c>
      <c r="N955" s="4">
        <v>42394.25</v>
      </c>
      <c r="O955" t="b">
        <v>0</v>
      </c>
      <c r="P955" t="b">
        <v>1</v>
      </c>
      <c r="Q955" t="s">
        <v>569</v>
      </c>
      <c r="R955" t="str" cm="1">
        <f t="array" ref="R955:S955">_xlfn.TEXTSPLIT(Q955, "/", , FALSE)</f>
        <v>film &amp; video</v>
      </c>
      <c r="S955" t="str">
        <v>science fiction</v>
      </c>
    </row>
    <row r="956" spans="1:19" ht="17" x14ac:dyDescent="0.2">
      <c r="A956">
        <v>954</v>
      </c>
      <c r="B956" t="s">
        <v>2034</v>
      </c>
      <c r="C956" s="3" t="s">
        <v>2035</v>
      </c>
      <c r="D956">
        <v>42600</v>
      </c>
      <c r="E956">
        <v>156384</v>
      </c>
      <c r="F956" s="5">
        <f t="shared" si="14"/>
        <v>3.6709859154929578</v>
      </c>
      <c r="G956" t="s">
        <v>8</v>
      </c>
      <c r="H956">
        <v>1548</v>
      </c>
      <c r="I956" t="s">
        <v>115</v>
      </c>
      <c r="J956" t="s">
        <v>116</v>
      </c>
      <c r="K956" s="4">
        <v>41174.208333333336</v>
      </c>
      <c r="L956" s="4" t="s">
        <v>55</v>
      </c>
      <c r="M956" s="4" t="s">
        <v>129</v>
      </c>
      <c r="N956" s="4">
        <v>41198.208333333336</v>
      </c>
      <c r="O956" t="b">
        <v>0</v>
      </c>
      <c r="P956" t="b">
        <v>0</v>
      </c>
      <c r="Q956" t="s">
        <v>118</v>
      </c>
      <c r="R956" t="str" cm="1">
        <f t="array" ref="R956:S956">_xlfn.TEXTSPLIT(Q956, "/", , FALSE)</f>
        <v>technology</v>
      </c>
      <c r="S956" t="str">
        <v>web</v>
      </c>
    </row>
    <row r="957" spans="1:19" ht="34" x14ac:dyDescent="0.2">
      <c r="A957">
        <v>955</v>
      </c>
      <c r="B957" t="s">
        <v>2036</v>
      </c>
      <c r="C957" s="3" t="s">
        <v>2037</v>
      </c>
      <c r="D957">
        <v>700</v>
      </c>
      <c r="E957">
        <v>7763</v>
      </c>
      <c r="F957" s="5">
        <f t="shared" si="14"/>
        <v>11.09</v>
      </c>
      <c r="G957" t="s">
        <v>8</v>
      </c>
      <c r="H957">
        <v>80</v>
      </c>
      <c r="I957" t="s">
        <v>109</v>
      </c>
      <c r="J957" t="s">
        <v>110</v>
      </c>
      <c r="K957" s="4">
        <v>41238.25</v>
      </c>
      <c r="L957" s="4" t="s">
        <v>57</v>
      </c>
      <c r="M957" s="4" t="s">
        <v>129</v>
      </c>
      <c r="N957" s="4">
        <v>41240.25</v>
      </c>
      <c r="O957" t="b">
        <v>0</v>
      </c>
      <c r="P957" t="b">
        <v>0</v>
      </c>
      <c r="Q957" t="s">
        <v>124</v>
      </c>
      <c r="R957" t="str" cm="1">
        <f t="array" ref="R957:S957">_xlfn.TEXTSPLIT(Q957, "/", , FALSE)</f>
        <v>theater</v>
      </c>
      <c r="S957" t="str">
        <v>plays</v>
      </c>
    </row>
    <row r="958" spans="1:19" ht="17" x14ac:dyDescent="0.2">
      <c r="A958">
        <v>956</v>
      </c>
      <c r="B958" t="s">
        <v>2038</v>
      </c>
      <c r="C958" s="3" t="s">
        <v>2039</v>
      </c>
      <c r="D958">
        <v>187600</v>
      </c>
      <c r="E958">
        <v>35698</v>
      </c>
      <c r="F958" s="5">
        <f t="shared" si="14"/>
        <v>0.19028784648187633</v>
      </c>
      <c r="G958" t="s">
        <v>6</v>
      </c>
      <c r="H958">
        <v>830</v>
      </c>
      <c r="I958" t="s">
        <v>109</v>
      </c>
      <c r="J958" t="s">
        <v>110</v>
      </c>
      <c r="K958" s="4">
        <v>42360.25</v>
      </c>
      <c r="L958" s="4" t="s">
        <v>58</v>
      </c>
      <c r="M958" s="4" t="s">
        <v>105</v>
      </c>
      <c r="N958" s="4">
        <v>42364.25</v>
      </c>
      <c r="O958" t="b">
        <v>0</v>
      </c>
      <c r="P958" t="b">
        <v>0</v>
      </c>
      <c r="Q958" t="s">
        <v>569</v>
      </c>
      <c r="R958" t="str" cm="1">
        <f t="array" ref="R958:S958">_xlfn.TEXTSPLIT(Q958, "/", , FALSE)</f>
        <v>film &amp; video</v>
      </c>
      <c r="S958" t="str">
        <v>science fiction</v>
      </c>
    </row>
    <row r="959" spans="1:19" ht="17" x14ac:dyDescent="0.2">
      <c r="A959">
        <v>957</v>
      </c>
      <c r="B959" t="s">
        <v>2040</v>
      </c>
      <c r="C959" s="3" t="s">
        <v>2041</v>
      </c>
      <c r="D959">
        <v>9800</v>
      </c>
      <c r="E959">
        <v>12434</v>
      </c>
      <c r="F959" s="5">
        <f t="shared" si="14"/>
        <v>1.2687755102040816</v>
      </c>
      <c r="G959" t="s">
        <v>8</v>
      </c>
      <c r="H959">
        <v>131</v>
      </c>
      <c r="I959" t="s">
        <v>109</v>
      </c>
      <c r="J959" t="s">
        <v>110</v>
      </c>
      <c r="K959" s="4">
        <v>40955.25</v>
      </c>
      <c r="L959" s="4" t="s">
        <v>48</v>
      </c>
      <c r="M959" s="4" t="s">
        <v>129</v>
      </c>
      <c r="N959" s="4">
        <v>40958.25</v>
      </c>
      <c r="O959" t="b">
        <v>0</v>
      </c>
      <c r="P959" t="b">
        <v>0</v>
      </c>
      <c r="Q959" t="s">
        <v>124</v>
      </c>
      <c r="R959" t="str" cm="1">
        <f t="array" ref="R959:S959">_xlfn.TEXTSPLIT(Q959, "/", , FALSE)</f>
        <v>theater</v>
      </c>
      <c r="S959" t="str">
        <v>plays</v>
      </c>
    </row>
    <row r="960" spans="1:19" ht="34" x14ac:dyDescent="0.2">
      <c r="A960">
        <v>958</v>
      </c>
      <c r="B960" t="s">
        <v>2042</v>
      </c>
      <c r="C960" s="3" t="s">
        <v>2043</v>
      </c>
      <c r="D960">
        <v>1100</v>
      </c>
      <c r="E960">
        <v>8081</v>
      </c>
      <c r="F960" s="5">
        <f t="shared" si="14"/>
        <v>7.3463636363636367</v>
      </c>
      <c r="G960" t="s">
        <v>8</v>
      </c>
      <c r="H960">
        <v>112</v>
      </c>
      <c r="I960" t="s">
        <v>109</v>
      </c>
      <c r="J960" t="s">
        <v>110</v>
      </c>
      <c r="K960" s="4">
        <v>40350.208333333336</v>
      </c>
      <c r="L960" s="4" t="s">
        <v>52</v>
      </c>
      <c r="M960" s="4" t="s">
        <v>140</v>
      </c>
      <c r="N960" s="4">
        <v>40372.208333333336</v>
      </c>
      <c r="O960" t="b">
        <v>0</v>
      </c>
      <c r="P960" t="b">
        <v>0</v>
      </c>
      <c r="Q960" t="s">
        <v>166</v>
      </c>
      <c r="R960" t="str" cm="1">
        <f t="array" ref="R960:S960">_xlfn.TEXTSPLIT(Q960, "/", , FALSE)</f>
        <v>film &amp; video</v>
      </c>
      <c r="S960" t="str">
        <v>animation</v>
      </c>
    </row>
    <row r="961" spans="1:19" ht="17" x14ac:dyDescent="0.2">
      <c r="A961">
        <v>959</v>
      </c>
      <c r="B961" t="s">
        <v>2044</v>
      </c>
      <c r="C961" s="3" t="s">
        <v>2045</v>
      </c>
      <c r="D961">
        <v>145000</v>
      </c>
      <c r="E961">
        <v>6631</v>
      </c>
      <c r="F961" s="5">
        <f t="shared" si="14"/>
        <v>4.5731034482758622E-2</v>
      </c>
      <c r="G961" t="s">
        <v>6</v>
      </c>
      <c r="H961">
        <v>130</v>
      </c>
      <c r="I961" t="s">
        <v>109</v>
      </c>
      <c r="J961" t="s">
        <v>110</v>
      </c>
      <c r="K961" s="4">
        <v>40357.208333333336</v>
      </c>
      <c r="L961" s="4" t="s">
        <v>52</v>
      </c>
      <c r="M961" s="4" t="s">
        <v>140</v>
      </c>
      <c r="N961" s="4">
        <v>40385.208333333336</v>
      </c>
      <c r="O961" t="b">
        <v>0</v>
      </c>
      <c r="P961" t="b">
        <v>0</v>
      </c>
      <c r="Q961" t="s">
        <v>301</v>
      </c>
      <c r="R961" t="str" cm="1">
        <f t="array" ref="R961:S961">_xlfn.TEXTSPLIT(Q961, "/", , FALSE)</f>
        <v>publishing</v>
      </c>
      <c r="S961" t="str">
        <v>translations</v>
      </c>
    </row>
    <row r="962" spans="1:19" ht="17" x14ac:dyDescent="0.2">
      <c r="A962">
        <v>960</v>
      </c>
      <c r="B962" t="s">
        <v>2046</v>
      </c>
      <c r="C962" s="3" t="s">
        <v>2047</v>
      </c>
      <c r="D962">
        <v>5500</v>
      </c>
      <c r="E962">
        <v>4678</v>
      </c>
      <c r="F962" s="5">
        <f t="shared" si="14"/>
        <v>0.85054545454545449</v>
      </c>
      <c r="G962" t="s">
        <v>6</v>
      </c>
      <c r="H962">
        <v>55</v>
      </c>
      <c r="I962" t="s">
        <v>109</v>
      </c>
      <c r="J962" t="s">
        <v>110</v>
      </c>
      <c r="K962" s="4">
        <v>42408.25</v>
      </c>
      <c r="L962" s="4" t="s">
        <v>48</v>
      </c>
      <c r="M962" s="4" t="s">
        <v>153</v>
      </c>
      <c r="N962" s="4">
        <v>42445.208333333328</v>
      </c>
      <c r="O962" t="b">
        <v>0</v>
      </c>
      <c r="P962" t="b">
        <v>0</v>
      </c>
      <c r="Q962" t="s">
        <v>118</v>
      </c>
      <c r="R962" t="str" cm="1">
        <f t="array" ref="R962:S962">_xlfn.TEXTSPLIT(Q962, "/", , FALSE)</f>
        <v>technology</v>
      </c>
      <c r="S962" t="str">
        <v>web</v>
      </c>
    </row>
    <row r="963" spans="1:19" ht="34" x14ac:dyDescent="0.2">
      <c r="A963">
        <v>961</v>
      </c>
      <c r="B963" t="s">
        <v>2048</v>
      </c>
      <c r="C963" s="3" t="s">
        <v>2049</v>
      </c>
      <c r="D963">
        <v>5700</v>
      </c>
      <c r="E963">
        <v>6800</v>
      </c>
      <c r="F963" s="5">
        <f t="shared" ref="F963:F1001" si="15">E963/D963</f>
        <v>1.1929824561403508</v>
      </c>
      <c r="G963" t="s">
        <v>8</v>
      </c>
      <c r="H963">
        <v>155</v>
      </c>
      <c r="I963" t="s">
        <v>109</v>
      </c>
      <c r="J963" t="s">
        <v>110</v>
      </c>
      <c r="K963" s="4">
        <v>40591.25</v>
      </c>
      <c r="L963" s="4" t="s">
        <v>48</v>
      </c>
      <c r="M963" s="4" t="s">
        <v>165</v>
      </c>
      <c r="N963" s="4">
        <v>40595.25</v>
      </c>
      <c r="O963" t="b">
        <v>0</v>
      </c>
      <c r="P963" t="b">
        <v>0</v>
      </c>
      <c r="Q963" t="s">
        <v>301</v>
      </c>
      <c r="R963" t="str" cm="1">
        <f t="array" ref="R963:S963">_xlfn.TEXTSPLIT(Q963, "/", , FALSE)</f>
        <v>publishing</v>
      </c>
      <c r="S963" t="str">
        <v>translations</v>
      </c>
    </row>
    <row r="964" spans="1:19" ht="17" x14ac:dyDescent="0.2">
      <c r="A964">
        <v>962</v>
      </c>
      <c r="B964" t="s">
        <v>2050</v>
      </c>
      <c r="C964" s="3" t="s">
        <v>2051</v>
      </c>
      <c r="D964">
        <v>3600</v>
      </c>
      <c r="E964">
        <v>10657</v>
      </c>
      <c r="F964" s="5">
        <f t="shared" si="15"/>
        <v>2.9602777777777778</v>
      </c>
      <c r="G964" t="s">
        <v>8</v>
      </c>
      <c r="H964">
        <v>266</v>
      </c>
      <c r="I964" t="s">
        <v>109</v>
      </c>
      <c r="J964" t="s">
        <v>110</v>
      </c>
      <c r="K964" s="4">
        <v>41592.25</v>
      </c>
      <c r="L964" s="4" t="s">
        <v>57</v>
      </c>
      <c r="M964" s="4" t="s">
        <v>117</v>
      </c>
      <c r="N964" s="4">
        <v>41613.25</v>
      </c>
      <c r="O964" t="b">
        <v>0</v>
      </c>
      <c r="P964" t="b">
        <v>0</v>
      </c>
      <c r="Q964" t="s">
        <v>106</v>
      </c>
      <c r="R964" t="str" cm="1">
        <f t="array" ref="R964:S964">_xlfn.TEXTSPLIT(Q964, "/", , FALSE)</f>
        <v>food</v>
      </c>
      <c r="S964" t="str">
        <v>food trucks</v>
      </c>
    </row>
    <row r="965" spans="1:19" ht="17" x14ac:dyDescent="0.2">
      <c r="A965">
        <v>963</v>
      </c>
      <c r="B965" t="s">
        <v>2052</v>
      </c>
      <c r="C965" s="3" t="s">
        <v>2053</v>
      </c>
      <c r="D965">
        <v>5900</v>
      </c>
      <c r="E965">
        <v>4997</v>
      </c>
      <c r="F965" s="5">
        <f t="shared" si="15"/>
        <v>0.84694915254237291</v>
      </c>
      <c r="G965" t="s">
        <v>6</v>
      </c>
      <c r="H965">
        <v>114</v>
      </c>
      <c r="I965" t="s">
        <v>202</v>
      </c>
      <c r="J965" t="s">
        <v>203</v>
      </c>
      <c r="K965" s="4">
        <v>40607.25</v>
      </c>
      <c r="L965" s="4" t="s">
        <v>49</v>
      </c>
      <c r="M965" s="4" t="s">
        <v>165</v>
      </c>
      <c r="N965" s="4">
        <v>40613.25</v>
      </c>
      <c r="O965" t="b">
        <v>0</v>
      </c>
      <c r="P965" t="b">
        <v>1</v>
      </c>
      <c r="Q965" t="s">
        <v>217</v>
      </c>
      <c r="R965" t="str" cm="1">
        <f t="array" ref="R965:S965">_xlfn.TEXTSPLIT(Q965, "/", , FALSE)</f>
        <v>photography</v>
      </c>
      <c r="S965" t="str">
        <v>photography books</v>
      </c>
    </row>
    <row r="966" spans="1:19" ht="17" x14ac:dyDescent="0.2">
      <c r="A966">
        <v>964</v>
      </c>
      <c r="B966" t="s">
        <v>2054</v>
      </c>
      <c r="C966" s="3" t="s">
        <v>2055</v>
      </c>
      <c r="D966">
        <v>3700</v>
      </c>
      <c r="E966">
        <v>13164</v>
      </c>
      <c r="F966" s="5">
        <f t="shared" si="15"/>
        <v>3.5578378378378379</v>
      </c>
      <c r="G966" t="s">
        <v>8</v>
      </c>
      <c r="H966">
        <v>155</v>
      </c>
      <c r="I966" t="s">
        <v>109</v>
      </c>
      <c r="J966" t="s">
        <v>110</v>
      </c>
      <c r="K966" s="4">
        <v>42135.208333333328</v>
      </c>
      <c r="L966" s="4" t="s">
        <v>51</v>
      </c>
      <c r="M966" s="4" t="s">
        <v>105</v>
      </c>
      <c r="N966" s="4">
        <v>42140.208333333328</v>
      </c>
      <c r="O966" t="b">
        <v>0</v>
      </c>
      <c r="P966" t="b">
        <v>0</v>
      </c>
      <c r="Q966" t="s">
        <v>124</v>
      </c>
      <c r="R966" t="str" cm="1">
        <f t="array" ref="R966:S966">_xlfn.TEXTSPLIT(Q966, "/", , FALSE)</f>
        <v>theater</v>
      </c>
      <c r="S966" t="str">
        <v>plays</v>
      </c>
    </row>
    <row r="967" spans="1:19" ht="17" x14ac:dyDescent="0.2">
      <c r="A967">
        <v>965</v>
      </c>
      <c r="B967" t="s">
        <v>2056</v>
      </c>
      <c r="C967" s="3" t="s">
        <v>2057</v>
      </c>
      <c r="D967">
        <v>2200</v>
      </c>
      <c r="E967">
        <v>8501</v>
      </c>
      <c r="F967" s="5">
        <f t="shared" si="15"/>
        <v>3.8640909090909092</v>
      </c>
      <c r="G967" t="s">
        <v>8</v>
      </c>
      <c r="H967">
        <v>207</v>
      </c>
      <c r="I967" t="s">
        <v>132</v>
      </c>
      <c r="J967" t="s">
        <v>133</v>
      </c>
      <c r="K967" s="4">
        <v>40203.25</v>
      </c>
      <c r="L967" s="4" t="s">
        <v>47</v>
      </c>
      <c r="M967" s="4" t="s">
        <v>140</v>
      </c>
      <c r="N967" s="4">
        <v>40243.25</v>
      </c>
      <c r="O967" t="b">
        <v>0</v>
      </c>
      <c r="P967" t="b">
        <v>0</v>
      </c>
      <c r="Q967" t="s">
        <v>112</v>
      </c>
      <c r="R967" t="str" cm="1">
        <f t="array" ref="R967:S967">_xlfn.TEXTSPLIT(Q967, "/", , FALSE)</f>
        <v>music</v>
      </c>
      <c r="S967" t="str">
        <v>rock</v>
      </c>
    </row>
    <row r="968" spans="1:19" ht="17" x14ac:dyDescent="0.2">
      <c r="A968">
        <v>966</v>
      </c>
      <c r="B968" t="s">
        <v>973</v>
      </c>
      <c r="C968" s="3" t="s">
        <v>2058</v>
      </c>
      <c r="D968">
        <v>1700</v>
      </c>
      <c r="E968">
        <v>13468</v>
      </c>
      <c r="F968" s="5">
        <f t="shared" si="15"/>
        <v>7.9223529411764702</v>
      </c>
      <c r="G968" t="s">
        <v>8</v>
      </c>
      <c r="H968">
        <v>245</v>
      </c>
      <c r="I968" t="s">
        <v>109</v>
      </c>
      <c r="J968" t="s">
        <v>110</v>
      </c>
      <c r="K968" s="4">
        <v>42901.208333333328</v>
      </c>
      <c r="L968" s="4" t="s">
        <v>52</v>
      </c>
      <c r="M968" s="4" t="s">
        <v>134</v>
      </c>
      <c r="N968" s="4">
        <v>42903.208333333328</v>
      </c>
      <c r="O968" t="b">
        <v>0</v>
      </c>
      <c r="P968" t="b">
        <v>0</v>
      </c>
      <c r="Q968" t="s">
        <v>124</v>
      </c>
      <c r="R968" t="str" cm="1">
        <f t="array" ref="R968:S968">_xlfn.TEXTSPLIT(Q968, "/", , FALSE)</f>
        <v>theater</v>
      </c>
      <c r="S968" t="str">
        <v>plays</v>
      </c>
    </row>
    <row r="969" spans="1:19" ht="17" x14ac:dyDescent="0.2">
      <c r="A969">
        <v>967</v>
      </c>
      <c r="B969" t="s">
        <v>2059</v>
      </c>
      <c r="C969" s="3" t="s">
        <v>2060</v>
      </c>
      <c r="D969">
        <v>88400</v>
      </c>
      <c r="E969">
        <v>121138</v>
      </c>
      <c r="F969" s="5">
        <f t="shared" si="15"/>
        <v>1.3703393665158372</v>
      </c>
      <c r="G969" t="s">
        <v>8</v>
      </c>
      <c r="H969">
        <v>1573</v>
      </c>
      <c r="I969" t="s">
        <v>109</v>
      </c>
      <c r="J969" t="s">
        <v>110</v>
      </c>
      <c r="K969" s="4">
        <v>41005.208333333336</v>
      </c>
      <c r="L969" s="4" t="s">
        <v>50</v>
      </c>
      <c r="M969" s="4" t="s">
        <v>129</v>
      </c>
      <c r="N969" s="4">
        <v>41042.208333333336</v>
      </c>
      <c r="O969" t="b">
        <v>0</v>
      </c>
      <c r="P969" t="b">
        <v>0</v>
      </c>
      <c r="Q969" t="s">
        <v>414</v>
      </c>
      <c r="R969" t="str" cm="1">
        <f t="array" ref="R969:S969">_xlfn.TEXTSPLIT(Q969, "/", , FALSE)</f>
        <v>music</v>
      </c>
      <c r="S969" t="str">
        <v>world music</v>
      </c>
    </row>
    <row r="970" spans="1:19" ht="34" x14ac:dyDescent="0.2">
      <c r="A970">
        <v>968</v>
      </c>
      <c r="B970" t="s">
        <v>2061</v>
      </c>
      <c r="C970" s="3" t="s">
        <v>2062</v>
      </c>
      <c r="D970">
        <v>2400</v>
      </c>
      <c r="E970">
        <v>8117</v>
      </c>
      <c r="F970" s="5">
        <f t="shared" si="15"/>
        <v>3.3820833333333336</v>
      </c>
      <c r="G970" t="s">
        <v>8</v>
      </c>
      <c r="H970">
        <v>114</v>
      </c>
      <c r="I970" t="s">
        <v>109</v>
      </c>
      <c r="J970" t="s">
        <v>110</v>
      </c>
      <c r="K970" s="4">
        <v>40544.25</v>
      </c>
      <c r="L970" s="4" t="s">
        <v>47</v>
      </c>
      <c r="M970" s="4" t="s">
        <v>165</v>
      </c>
      <c r="N970" s="4">
        <v>40559.25</v>
      </c>
      <c r="O970" t="b">
        <v>0</v>
      </c>
      <c r="P970" t="b">
        <v>0</v>
      </c>
      <c r="Q970" t="s">
        <v>106</v>
      </c>
      <c r="R970" t="str" cm="1">
        <f t="array" ref="R970:S970">_xlfn.TEXTSPLIT(Q970, "/", , FALSE)</f>
        <v>food</v>
      </c>
      <c r="S970" t="str">
        <v>food trucks</v>
      </c>
    </row>
    <row r="971" spans="1:19" ht="17" x14ac:dyDescent="0.2">
      <c r="A971">
        <v>969</v>
      </c>
      <c r="B971" t="s">
        <v>2063</v>
      </c>
      <c r="C971" s="3" t="s">
        <v>2064</v>
      </c>
      <c r="D971">
        <v>7900</v>
      </c>
      <c r="E971">
        <v>8550</v>
      </c>
      <c r="F971" s="5">
        <f t="shared" si="15"/>
        <v>1.0822784810126582</v>
      </c>
      <c r="G971" t="s">
        <v>8</v>
      </c>
      <c r="H971">
        <v>93</v>
      </c>
      <c r="I971" t="s">
        <v>109</v>
      </c>
      <c r="J971" t="s">
        <v>110</v>
      </c>
      <c r="K971" s="4">
        <v>43821.25</v>
      </c>
      <c r="L971" s="4" t="s">
        <v>58</v>
      </c>
      <c r="M971" s="4" t="s">
        <v>121</v>
      </c>
      <c r="N971" s="4">
        <v>43828.25</v>
      </c>
      <c r="O971" t="b">
        <v>0</v>
      </c>
      <c r="P971" t="b">
        <v>0</v>
      </c>
      <c r="Q971" t="s">
        <v>124</v>
      </c>
      <c r="R971" t="str" cm="1">
        <f t="array" ref="R971:S971">_xlfn.TEXTSPLIT(Q971, "/", , FALSE)</f>
        <v>theater</v>
      </c>
      <c r="S971" t="str">
        <v>plays</v>
      </c>
    </row>
    <row r="972" spans="1:19" ht="34" x14ac:dyDescent="0.2">
      <c r="A972">
        <v>970</v>
      </c>
      <c r="B972" t="s">
        <v>2065</v>
      </c>
      <c r="C972" s="3" t="s">
        <v>2066</v>
      </c>
      <c r="D972">
        <v>94900</v>
      </c>
      <c r="E972">
        <v>57659</v>
      </c>
      <c r="F972" s="5">
        <f t="shared" si="15"/>
        <v>0.60757639620653314</v>
      </c>
      <c r="G972" t="s">
        <v>6</v>
      </c>
      <c r="H972">
        <v>594</v>
      </c>
      <c r="I972" t="s">
        <v>109</v>
      </c>
      <c r="J972" t="s">
        <v>110</v>
      </c>
      <c r="K972" s="4">
        <v>40672.208333333336</v>
      </c>
      <c r="L972" s="4" t="s">
        <v>51</v>
      </c>
      <c r="M972" s="4" t="s">
        <v>165</v>
      </c>
      <c r="N972" s="4">
        <v>40673.208333333336</v>
      </c>
      <c r="O972" t="b">
        <v>0</v>
      </c>
      <c r="P972" t="b">
        <v>0</v>
      </c>
      <c r="Q972" t="s">
        <v>124</v>
      </c>
      <c r="R972" t="str" cm="1">
        <f t="array" ref="R972:S972">_xlfn.TEXTSPLIT(Q972, "/", , FALSE)</f>
        <v>theater</v>
      </c>
      <c r="S972" t="str">
        <v>plays</v>
      </c>
    </row>
    <row r="973" spans="1:19" ht="17" x14ac:dyDescent="0.2">
      <c r="A973">
        <v>971</v>
      </c>
      <c r="B973" t="s">
        <v>2067</v>
      </c>
      <c r="C973" s="3" t="s">
        <v>2068</v>
      </c>
      <c r="D973">
        <v>5100</v>
      </c>
      <c r="E973">
        <v>1414</v>
      </c>
      <c r="F973" s="5">
        <f t="shared" si="15"/>
        <v>0.27725490196078434</v>
      </c>
      <c r="G973" t="s">
        <v>6</v>
      </c>
      <c r="H973">
        <v>24</v>
      </c>
      <c r="I973" t="s">
        <v>109</v>
      </c>
      <c r="J973" t="s">
        <v>110</v>
      </c>
      <c r="K973" s="4">
        <v>41555.208333333336</v>
      </c>
      <c r="L973" s="4" t="s">
        <v>56</v>
      </c>
      <c r="M973" s="4" t="s">
        <v>117</v>
      </c>
      <c r="N973" s="4">
        <v>41561.208333333336</v>
      </c>
      <c r="O973" t="b">
        <v>0</v>
      </c>
      <c r="P973" t="b">
        <v>0</v>
      </c>
      <c r="Q973" t="s">
        <v>364</v>
      </c>
      <c r="R973" t="str" cm="1">
        <f t="array" ref="R973:S973">_xlfn.TEXTSPLIT(Q973, "/", , FALSE)</f>
        <v>film &amp; video</v>
      </c>
      <c r="S973" t="str">
        <v>television</v>
      </c>
    </row>
    <row r="974" spans="1:19" ht="34" x14ac:dyDescent="0.2">
      <c r="A974">
        <v>972</v>
      </c>
      <c r="B974" t="s">
        <v>2069</v>
      </c>
      <c r="C974" s="3" t="s">
        <v>2070</v>
      </c>
      <c r="D974">
        <v>42700</v>
      </c>
      <c r="E974">
        <v>97524</v>
      </c>
      <c r="F974" s="5">
        <f t="shared" si="15"/>
        <v>2.283934426229508</v>
      </c>
      <c r="G974" t="s">
        <v>8</v>
      </c>
      <c r="H974">
        <v>1681</v>
      </c>
      <c r="I974" t="s">
        <v>109</v>
      </c>
      <c r="J974" t="s">
        <v>110</v>
      </c>
      <c r="K974" s="4">
        <v>41792.208333333336</v>
      </c>
      <c r="L974" s="4" t="s">
        <v>52</v>
      </c>
      <c r="M974" s="4" t="s">
        <v>111</v>
      </c>
      <c r="N974" s="4">
        <v>41801.208333333336</v>
      </c>
      <c r="O974" t="b">
        <v>0</v>
      </c>
      <c r="P974" t="b">
        <v>1</v>
      </c>
      <c r="Q974" t="s">
        <v>118</v>
      </c>
      <c r="R974" t="str" cm="1">
        <f t="array" ref="R974:S974">_xlfn.TEXTSPLIT(Q974, "/", , FALSE)</f>
        <v>technology</v>
      </c>
      <c r="S974" t="str">
        <v>web</v>
      </c>
    </row>
    <row r="975" spans="1:19" ht="17" x14ac:dyDescent="0.2">
      <c r="A975">
        <v>973</v>
      </c>
      <c r="B975" t="s">
        <v>2071</v>
      </c>
      <c r="C975" s="3" t="s">
        <v>2072</v>
      </c>
      <c r="D975">
        <v>121100</v>
      </c>
      <c r="E975">
        <v>26176</v>
      </c>
      <c r="F975" s="5">
        <f t="shared" si="15"/>
        <v>0.21615194054500414</v>
      </c>
      <c r="G975" t="s">
        <v>6</v>
      </c>
      <c r="H975">
        <v>252</v>
      </c>
      <c r="I975" t="s">
        <v>109</v>
      </c>
      <c r="J975" t="s">
        <v>110</v>
      </c>
      <c r="K975" s="4">
        <v>40522.25</v>
      </c>
      <c r="L975" s="4" t="s">
        <v>58</v>
      </c>
      <c r="M975" s="4" t="s">
        <v>140</v>
      </c>
      <c r="N975" s="4">
        <v>40524.25</v>
      </c>
      <c r="O975" t="b">
        <v>0</v>
      </c>
      <c r="P975" t="b">
        <v>1</v>
      </c>
      <c r="Q975" t="s">
        <v>124</v>
      </c>
      <c r="R975" t="str" cm="1">
        <f t="array" ref="R975:S975">_xlfn.TEXTSPLIT(Q975, "/", , FALSE)</f>
        <v>theater</v>
      </c>
      <c r="S975" t="str">
        <v>plays</v>
      </c>
    </row>
    <row r="976" spans="1:19" ht="17" x14ac:dyDescent="0.2">
      <c r="A976">
        <v>974</v>
      </c>
      <c r="B976" t="s">
        <v>2073</v>
      </c>
      <c r="C976" s="3" t="s">
        <v>2074</v>
      </c>
      <c r="D976">
        <v>800</v>
      </c>
      <c r="E976">
        <v>2991</v>
      </c>
      <c r="F976" s="5">
        <f t="shared" si="15"/>
        <v>3.73875</v>
      </c>
      <c r="G976" t="s">
        <v>8</v>
      </c>
      <c r="H976">
        <v>32</v>
      </c>
      <c r="I976" t="s">
        <v>109</v>
      </c>
      <c r="J976" t="s">
        <v>110</v>
      </c>
      <c r="K976" s="4">
        <v>41412.208333333336</v>
      </c>
      <c r="L976" s="4" t="s">
        <v>51</v>
      </c>
      <c r="M976" s="4" t="s">
        <v>117</v>
      </c>
      <c r="N976" s="4">
        <v>41413.208333333336</v>
      </c>
      <c r="O976" t="b">
        <v>0</v>
      </c>
      <c r="P976" t="b">
        <v>0</v>
      </c>
      <c r="Q976" t="s">
        <v>154</v>
      </c>
      <c r="R976" t="str" cm="1">
        <f t="array" ref="R976:S976">_xlfn.TEXTSPLIT(Q976, "/", , FALSE)</f>
        <v>music</v>
      </c>
      <c r="S976" t="str">
        <v>indie rock</v>
      </c>
    </row>
    <row r="977" spans="1:19" ht="17" x14ac:dyDescent="0.2">
      <c r="A977">
        <v>975</v>
      </c>
      <c r="B977" t="s">
        <v>2075</v>
      </c>
      <c r="C977" s="3" t="s">
        <v>2076</v>
      </c>
      <c r="D977">
        <v>5400</v>
      </c>
      <c r="E977">
        <v>8366</v>
      </c>
      <c r="F977" s="5">
        <f t="shared" si="15"/>
        <v>1.5492592592592593</v>
      </c>
      <c r="G977" t="s">
        <v>8</v>
      </c>
      <c r="H977">
        <v>135</v>
      </c>
      <c r="I977" t="s">
        <v>109</v>
      </c>
      <c r="J977" t="s">
        <v>110</v>
      </c>
      <c r="K977" s="4">
        <v>42337.25</v>
      </c>
      <c r="L977" s="4" t="s">
        <v>57</v>
      </c>
      <c r="M977" s="4" t="s">
        <v>105</v>
      </c>
      <c r="N977" s="4">
        <v>42376.25</v>
      </c>
      <c r="O977" t="b">
        <v>0</v>
      </c>
      <c r="P977" t="b">
        <v>1</v>
      </c>
      <c r="Q977" t="s">
        <v>124</v>
      </c>
      <c r="R977" t="str" cm="1">
        <f t="array" ref="R977:S977">_xlfn.TEXTSPLIT(Q977, "/", , FALSE)</f>
        <v>theater</v>
      </c>
      <c r="S977" t="str">
        <v>plays</v>
      </c>
    </row>
    <row r="978" spans="1:19" ht="34" x14ac:dyDescent="0.2">
      <c r="A978">
        <v>976</v>
      </c>
      <c r="B978" t="s">
        <v>2077</v>
      </c>
      <c r="C978" s="3" t="s">
        <v>2078</v>
      </c>
      <c r="D978">
        <v>4000</v>
      </c>
      <c r="E978">
        <v>12886</v>
      </c>
      <c r="F978" s="5">
        <f t="shared" si="15"/>
        <v>3.2214999999999998</v>
      </c>
      <c r="G978" t="s">
        <v>8</v>
      </c>
      <c r="H978">
        <v>140</v>
      </c>
      <c r="I978" t="s">
        <v>109</v>
      </c>
      <c r="J978" t="s">
        <v>110</v>
      </c>
      <c r="K978" s="4">
        <v>40571.25</v>
      </c>
      <c r="L978" s="4" t="s">
        <v>47</v>
      </c>
      <c r="M978" s="4" t="s">
        <v>165</v>
      </c>
      <c r="N978" s="4">
        <v>40577.25</v>
      </c>
      <c r="O978" t="b">
        <v>0</v>
      </c>
      <c r="P978" t="b">
        <v>1</v>
      </c>
      <c r="Q978" t="s">
        <v>124</v>
      </c>
      <c r="R978" t="str" cm="1">
        <f t="array" ref="R978:S978">_xlfn.TEXTSPLIT(Q978, "/", , FALSE)</f>
        <v>theater</v>
      </c>
      <c r="S978" t="str">
        <v>plays</v>
      </c>
    </row>
    <row r="979" spans="1:19" ht="17" x14ac:dyDescent="0.2">
      <c r="A979">
        <v>977</v>
      </c>
      <c r="B979" t="s">
        <v>1353</v>
      </c>
      <c r="C979" s="3" t="s">
        <v>2079</v>
      </c>
      <c r="D979">
        <v>7000</v>
      </c>
      <c r="E979">
        <v>5177</v>
      </c>
      <c r="F979" s="5">
        <f t="shared" si="15"/>
        <v>0.73957142857142855</v>
      </c>
      <c r="G979" t="s">
        <v>6</v>
      </c>
      <c r="H979">
        <v>67</v>
      </c>
      <c r="I979" t="s">
        <v>109</v>
      </c>
      <c r="J979" t="s">
        <v>110</v>
      </c>
      <c r="K979" s="4">
        <v>43138.25</v>
      </c>
      <c r="L979" s="4" t="s">
        <v>48</v>
      </c>
      <c r="M979" s="4" t="s">
        <v>169</v>
      </c>
      <c r="N979" s="4">
        <v>43170.25</v>
      </c>
      <c r="O979" t="b">
        <v>0</v>
      </c>
      <c r="P979" t="b">
        <v>0</v>
      </c>
      <c r="Q979" t="s">
        <v>106</v>
      </c>
      <c r="R979" t="str" cm="1">
        <f t="array" ref="R979:S979">_xlfn.TEXTSPLIT(Q979, "/", , FALSE)</f>
        <v>food</v>
      </c>
      <c r="S979" t="str">
        <v>food trucks</v>
      </c>
    </row>
    <row r="980" spans="1:19" ht="17" x14ac:dyDescent="0.2">
      <c r="A980">
        <v>978</v>
      </c>
      <c r="B980" t="s">
        <v>2080</v>
      </c>
      <c r="C980" s="3" t="s">
        <v>2081</v>
      </c>
      <c r="D980">
        <v>1000</v>
      </c>
      <c r="E980">
        <v>8641</v>
      </c>
      <c r="F980" s="5">
        <f t="shared" si="15"/>
        <v>8.641</v>
      </c>
      <c r="G980" t="s">
        <v>8</v>
      </c>
      <c r="H980">
        <v>92</v>
      </c>
      <c r="I980" t="s">
        <v>109</v>
      </c>
      <c r="J980" t="s">
        <v>110</v>
      </c>
      <c r="K980" s="4">
        <v>42686.25</v>
      </c>
      <c r="L980" s="4" t="s">
        <v>57</v>
      </c>
      <c r="M980" s="4" t="s">
        <v>153</v>
      </c>
      <c r="N980" s="4">
        <v>42708.25</v>
      </c>
      <c r="O980" t="b">
        <v>0</v>
      </c>
      <c r="P980" t="b">
        <v>0</v>
      </c>
      <c r="Q980" t="s">
        <v>184</v>
      </c>
      <c r="R980" t="str" cm="1">
        <f t="array" ref="R980:S980">_xlfn.TEXTSPLIT(Q980, "/", , FALSE)</f>
        <v>games</v>
      </c>
      <c r="S980" t="str">
        <v>video games</v>
      </c>
    </row>
    <row r="981" spans="1:19" ht="17" x14ac:dyDescent="0.2">
      <c r="A981">
        <v>979</v>
      </c>
      <c r="B981" t="s">
        <v>2082</v>
      </c>
      <c r="C981" s="3" t="s">
        <v>2083</v>
      </c>
      <c r="D981">
        <v>60200</v>
      </c>
      <c r="E981">
        <v>86244</v>
      </c>
      <c r="F981" s="5">
        <f t="shared" si="15"/>
        <v>1.432624584717608</v>
      </c>
      <c r="G981" t="s">
        <v>8</v>
      </c>
      <c r="H981">
        <v>1015</v>
      </c>
      <c r="I981" t="s">
        <v>132</v>
      </c>
      <c r="J981" t="s">
        <v>133</v>
      </c>
      <c r="K981" s="4">
        <v>42078.208333333328</v>
      </c>
      <c r="L981" s="4" t="s">
        <v>49</v>
      </c>
      <c r="M981" s="4" t="s">
        <v>105</v>
      </c>
      <c r="N981" s="4">
        <v>42084.208333333328</v>
      </c>
      <c r="O981" t="b">
        <v>0</v>
      </c>
      <c r="P981" t="b">
        <v>0</v>
      </c>
      <c r="Q981" t="s">
        <v>124</v>
      </c>
      <c r="R981" t="str" cm="1">
        <f t="array" ref="R981:S981">_xlfn.TEXTSPLIT(Q981, "/", , FALSE)</f>
        <v>theater</v>
      </c>
      <c r="S981" t="str">
        <v>plays</v>
      </c>
    </row>
    <row r="982" spans="1:19" ht="17" x14ac:dyDescent="0.2">
      <c r="A982">
        <v>980</v>
      </c>
      <c r="B982" t="s">
        <v>2084</v>
      </c>
      <c r="C982" s="3" t="s">
        <v>2085</v>
      </c>
      <c r="D982">
        <v>195200</v>
      </c>
      <c r="E982">
        <v>78630</v>
      </c>
      <c r="F982" s="5">
        <f t="shared" si="15"/>
        <v>0.40281762295081969</v>
      </c>
      <c r="G982" t="s">
        <v>6</v>
      </c>
      <c r="H982">
        <v>742</v>
      </c>
      <c r="I982" t="s">
        <v>109</v>
      </c>
      <c r="J982" t="s">
        <v>110</v>
      </c>
      <c r="K982" s="4">
        <v>42307.208333333328</v>
      </c>
      <c r="L982" s="4" t="s">
        <v>56</v>
      </c>
      <c r="M982" s="4" t="s">
        <v>105</v>
      </c>
      <c r="N982" s="4">
        <v>42312.25</v>
      </c>
      <c r="O982" t="b">
        <v>1</v>
      </c>
      <c r="P982" t="b">
        <v>0</v>
      </c>
      <c r="Q982" t="s">
        <v>162</v>
      </c>
      <c r="R982" t="str" cm="1">
        <f t="array" ref="R982:S982">_xlfn.TEXTSPLIT(Q982, "/", , FALSE)</f>
        <v>publishing</v>
      </c>
      <c r="S982" t="str">
        <v>nonfiction</v>
      </c>
    </row>
    <row r="983" spans="1:19" ht="17" x14ac:dyDescent="0.2">
      <c r="A983">
        <v>981</v>
      </c>
      <c r="B983" t="s">
        <v>2086</v>
      </c>
      <c r="C983" s="3" t="s">
        <v>2087</v>
      </c>
      <c r="D983">
        <v>6700</v>
      </c>
      <c r="E983">
        <v>11941</v>
      </c>
      <c r="F983" s="5">
        <f t="shared" si="15"/>
        <v>1.7822388059701493</v>
      </c>
      <c r="G983" t="s">
        <v>8</v>
      </c>
      <c r="H983">
        <v>323</v>
      </c>
      <c r="I983" t="s">
        <v>109</v>
      </c>
      <c r="J983" t="s">
        <v>110</v>
      </c>
      <c r="K983" s="4">
        <v>43094.25</v>
      </c>
      <c r="L983" s="4" t="s">
        <v>58</v>
      </c>
      <c r="M983" s="4" t="s">
        <v>134</v>
      </c>
      <c r="N983" s="4">
        <v>43127.25</v>
      </c>
      <c r="O983" t="b">
        <v>0</v>
      </c>
      <c r="P983" t="b">
        <v>0</v>
      </c>
      <c r="Q983" t="s">
        <v>118</v>
      </c>
      <c r="R983" t="str" cm="1">
        <f t="array" ref="R983:S983">_xlfn.TEXTSPLIT(Q983, "/", , FALSE)</f>
        <v>technology</v>
      </c>
      <c r="S983" t="str">
        <v>web</v>
      </c>
    </row>
    <row r="984" spans="1:19" ht="17" x14ac:dyDescent="0.2">
      <c r="A984">
        <v>982</v>
      </c>
      <c r="B984" t="s">
        <v>2088</v>
      </c>
      <c r="C984" s="3" t="s">
        <v>2089</v>
      </c>
      <c r="D984">
        <v>7200</v>
      </c>
      <c r="E984">
        <v>6115</v>
      </c>
      <c r="F984" s="5">
        <f t="shared" si="15"/>
        <v>0.84930555555555554</v>
      </c>
      <c r="G984" t="s">
        <v>6</v>
      </c>
      <c r="H984">
        <v>75</v>
      </c>
      <c r="I984" t="s">
        <v>109</v>
      </c>
      <c r="J984" t="s">
        <v>110</v>
      </c>
      <c r="K984" s="4">
        <v>40743.208333333336</v>
      </c>
      <c r="L984" s="4" t="s">
        <v>53</v>
      </c>
      <c r="M984" s="4" t="s">
        <v>165</v>
      </c>
      <c r="N984" s="4">
        <v>40745.208333333336</v>
      </c>
      <c r="O984" t="b">
        <v>0</v>
      </c>
      <c r="P984" t="b">
        <v>1</v>
      </c>
      <c r="Q984" t="s">
        <v>135</v>
      </c>
      <c r="R984" t="str" cm="1">
        <f t="array" ref="R984:S984">_xlfn.TEXTSPLIT(Q984, "/", , FALSE)</f>
        <v>film &amp; video</v>
      </c>
      <c r="S984" t="str">
        <v>documentary</v>
      </c>
    </row>
    <row r="985" spans="1:19" ht="17" x14ac:dyDescent="0.2">
      <c r="A985">
        <v>983</v>
      </c>
      <c r="B985" t="s">
        <v>2090</v>
      </c>
      <c r="C985" s="3" t="s">
        <v>2091</v>
      </c>
      <c r="D985">
        <v>129100</v>
      </c>
      <c r="E985">
        <v>188404</v>
      </c>
      <c r="F985" s="5">
        <f t="shared" si="15"/>
        <v>1.4593648334624323</v>
      </c>
      <c r="G985" t="s">
        <v>8</v>
      </c>
      <c r="H985">
        <v>2326</v>
      </c>
      <c r="I985" t="s">
        <v>109</v>
      </c>
      <c r="J985" t="s">
        <v>110</v>
      </c>
      <c r="K985" s="4">
        <v>43681.208333333328</v>
      </c>
      <c r="L985" s="4" t="s">
        <v>54</v>
      </c>
      <c r="M985" s="4" t="s">
        <v>121</v>
      </c>
      <c r="N985" s="4">
        <v>43696.208333333328</v>
      </c>
      <c r="O985" t="b">
        <v>0</v>
      </c>
      <c r="P985" t="b">
        <v>0</v>
      </c>
      <c r="Q985" t="s">
        <v>135</v>
      </c>
      <c r="R985" t="str" cm="1">
        <f t="array" ref="R985:S985">_xlfn.TEXTSPLIT(Q985, "/", , FALSE)</f>
        <v>film &amp; video</v>
      </c>
      <c r="S985" t="str">
        <v>documentary</v>
      </c>
    </row>
    <row r="986" spans="1:19" ht="34" x14ac:dyDescent="0.2">
      <c r="A986">
        <v>984</v>
      </c>
      <c r="B986" t="s">
        <v>2092</v>
      </c>
      <c r="C986" s="3" t="s">
        <v>2093</v>
      </c>
      <c r="D986">
        <v>6500</v>
      </c>
      <c r="E986">
        <v>9910</v>
      </c>
      <c r="F986" s="5">
        <f t="shared" si="15"/>
        <v>1.5246153846153847</v>
      </c>
      <c r="G986" t="s">
        <v>8</v>
      </c>
      <c r="H986">
        <v>381</v>
      </c>
      <c r="I986" t="s">
        <v>109</v>
      </c>
      <c r="J986" t="s">
        <v>110</v>
      </c>
      <c r="K986" s="4">
        <v>43716.208333333328</v>
      </c>
      <c r="L986" s="4" t="s">
        <v>55</v>
      </c>
      <c r="M986" s="4" t="s">
        <v>121</v>
      </c>
      <c r="N986" s="4">
        <v>43742.208333333328</v>
      </c>
      <c r="O986" t="b">
        <v>0</v>
      </c>
      <c r="P986" t="b">
        <v>0</v>
      </c>
      <c r="Q986" t="s">
        <v>124</v>
      </c>
      <c r="R986" t="str" cm="1">
        <f t="array" ref="R986:S986">_xlfn.TEXTSPLIT(Q986, "/", , FALSE)</f>
        <v>theater</v>
      </c>
      <c r="S986" t="str">
        <v>plays</v>
      </c>
    </row>
    <row r="987" spans="1:19" ht="17" x14ac:dyDescent="0.2">
      <c r="A987">
        <v>985</v>
      </c>
      <c r="B987" t="s">
        <v>2094</v>
      </c>
      <c r="C987" s="3" t="s">
        <v>2095</v>
      </c>
      <c r="D987">
        <v>170600</v>
      </c>
      <c r="E987">
        <v>114523</v>
      </c>
      <c r="F987" s="5">
        <f t="shared" si="15"/>
        <v>0.67129542790152408</v>
      </c>
      <c r="G987" t="s">
        <v>6</v>
      </c>
      <c r="H987">
        <v>4405</v>
      </c>
      <c r="I987" t="s">
        <v>109</v>
      </c>
      <c r="J987" t="s">
        <v>110</v>
      </c>
      <c r="K987" s="4">
        <v>41614.25</v>
      </c>
      <c r="L987" s="4" t="s">
        <v>58</v>
      </c>
      <c r="M987" s="4" t="s">
        <v>117</v>
      </c>
      <c r="N987" s="4">
        <v>41640.25</v>
      </c>
      <c r="O987" t="b">
        <v>0</v>
      </c>
      <c r="P987" t="b">
        <v>1</v>
      </c>
      <c r="Q987" t="s">
        <v>112</v>
      </c>
      <c r="R987" t="str" cm="1">
        <f t="array" ref="R987:S987">_xlfn.TEXTSPLIT(Q987, "/", , FALSE)</f>
        <v>music</v>
      </c>
      <c r="S987" t="str">
        <v>rock</v>
      </c>
    </row>
    <row r="988" spans="1:19" ht="34" x14ac:dyDescent="0.2">
      <c r="A988">
        <v>986</v>
      </c>
      <c r="B988" t="s">
        <v>2096</v>
      </c>
      <c r="C988" s="3" t="s">
        <v>2097</v>
      </c>
      <c r="D988">
        <v>7800</v>
      </c>
      <c r="E988">
        <v>3144</v>
      </c>
      <c r="F988" s="5">
        <f t="shared" si="15"/>
        <v>0.40307692307692305</v>
      </c>
      <c r="G988" t="s">
        <v>6</v>
      </c>
      <c r="H988">
        <v>92</v>
      </c>
      <c r="I988" t="s">
        <v>109</v>
      </c>
      <c r="J988" t="s">
        <v>110</v>
      </c>
      <c r="K988" s="4">
        <v>40638.208333333336</v>
      </c>
      <c r="L988" s="4" t="s">
        <v>50</v>
      </c>
      <c r="M988" s="4" t="s">
        <v>165</v>
      </c>
      <c r="N988" s="4">
        <v>40652.208333333336</v>
      </c>
      <c r="O988" t="b">
        <v>0</v>
      </c>
      <c r="P988" t="b">
        <v>0</v>
      </c>
      <c r="Q988" t="s">
        <v>112</v>
      </c>
      <c r="R988" t="str" cm="1">
        <f t="array" ref="R988:S988">_xlfn.TEXTSPLIT(Q988, "/", , FALSE)</f>
        <v>music</v>
      </c>
      <c r="S988" t="str">
        <v>rock</v>
      </c>
    </row>
    <row r="989" spans="1:19" ht="17" x14ac:dyDescent="0.2">
      <c r="A989">
        <v>987</v>
      </c>
      <c r="B989" t="s">
        <v>2098</v>
      </c>
      <c r="C989" s="3" t="s">
        <v>2099</v>
      </c>
      <c r="D989">
        <v>6200</v>
      </c>
      <c r="E989">
        <v>13441</v>
      </c>
      <c r="F989" s="5">
        <f t="shared" si="15"/>
        <v>2.1679032258064517</v>
      </c>
      <c r="G989" t="s">
        <v>8</v>
      </c>
      <c r="H989">
        <v>480</v>
      </c>
      <c r="I989" t="s">
        <v>109</v>
      </c>
      <c r="J989" t="s">
        <v>110</v>
      </c>
      <c r="K989" s="4">
        <v>42852.208333333328</v>
      </c>
      <c r="L989" s="4" t="s">
        <v>50</v>
      </c>
      <c r="M989" s="4" t="s">
        <v>134</v>
      </c>
      <c r="N989" s="4">
        <v>42866.208333333328</v>
      </c>
      <c r="O989" t="b">
        <v>0</v>
      </c>
      <c r="P989" t="b">
        <v>0</v>
      </c>
      <c r="Q989" t="s">
        <v>135</v>
      </c>
      <c r="R989" t="str" cm="1">
        <f t="array" ref="R989:S989">_xlfn.TEXTSPLIT(Q989, "/", , FALSE)</f>
        <v>film &amp; video</v>
      </c>
      <c r="S989" t="str">
        <v>documentary</v>
      </c>
    </row>
    <row r="990" spans="1:19" ht="17" x14ac:dyDescent="0.2">
      <c r="A990">
        <v>988</v>
      </c>
      <c r="B990" t="s">
        <v>2100</v>
      </c>
      <c r="C990" s="3" t="s">
        <v>2101</v>
      </c>
      <c r="D990">
        <v>9400</v>
      </c>
      <c r="E990">
        <v>4899</v>
      </c>
      <c r="F990" s="5">
        <f t="shared" si="15"/>
        <v>0.52117021276595743</v>
      </c>
      <c r="G990" t="s">
        <v>6</v>
      </c>
      <c r="H990">
        <v>64</v>
      </c>
      <c r="I990" t="s">
        <v>109</v>
      </c>
      <c r="J990" t="s">
        <v>110</v>
      </c>
      <c r="K990" s="4">
        <v>42686.25</v>
      </c>
      <c r="L990" s="4" t="s">
        <v>57</v>
      </c>
      <c r="M990" s="4" t="s">
        <v>153</v>
      </c>
      <c r="N990" s="4">
        <v>42707.25</v>
      </c>
      <c r="O990" t="b">
        <v>0</v>
      </c>
      <c r="P990" t="b">
        <v>0</v>
      </c>
      <c r="Q990" t="s">
        <v>228</v>
      </c>
      <c r="R990" t="str" cm="1">
        <f t="array" ref="R990:S990">_xlfn.TEXTSPLIT(Q990, "/", , FALSE)</f>
        <v>publishing</v>
      </c>
      <c r="S990" t="str">
        <v>radio &amp; podcasts</v>
      </c>
    </row>
    <row r="991" spans="1:19" ht="17" x14ac:dyDescent="0.2">
      <c r="A991">
        <v>989</v>
      </c>
      <c r="B991" t="s">
        <v>2102</v>
      </c>
      <c r="C991" s="3" t="s">
        <v>2103</v>
      </c>
      <c r="D991">
        <v>2400</v>
      </c>
      <c r="E991">
        <v>11990</v>
      </c>
      <c r="F991" s="5">
        <f t="shared" si="15"/>
        <v>4.9958333333333336</v>
      </c>
      <c r="G991" t="s">
        <v>8</v>
      </c>
      <c r="H991">
        <v>226</v>
      </c>
      <c r="I991" t="s">
        <v>109</v>
      </c>
      <c r="J991" t="s">
        <v>110</v>
      </c>
      <c r="K991" s="4">
        <v>43571.208333333328</v>
      </c>
      <c r="L991" s="4" t="s">
        <v>50</v>
      </c>
      <c r="M991" s="4" t="s">
        <v>121</v>
      </c>
      <c r="N991" s="4">
        <v>43576.208333333328</v>
      </c>
      <c r="O991" t="b">
        <v>0</v>
      </c>
      <c r="P991" t="b">
        <v>0</v>
      </c>
      <c r="Q991" t="s">
        <v>301</v>
      </c>
      <c r="R991" t="str" cm="1">
        <f t="array" ref="R991:S991">_xlfn.TEXTSPLIT(Q991, "/", , FALSE)</f>
        <v>publishing</v>
      </c>
      <c r="S991" t="str">
        <v>translations</v>
      </c>
    </row>
    <row r="992" spans="1:19" ht="17" x14ac:dyDescent="0.2">
      <c r="A992">
        <v>990</v>
      </c>
      <c r="B992" t="s">
        <v>2104</v>
      </c>
      <c r="C992" s="3" t="s">
        <v>2105</v>
      </c>
      <c r="D992">
        <v>7800</v>
      </c>
      <c r="E992">
        <v>6839</v>
      </c>
      <c r="F992" s="5">
        <f t="shared" si="15"/>
        <v>0.87679487179487181</v>
      </c>
      <c r="G992" t="s">
        <v>6</v>
      </c>
      <c r="H992">
        <v>64</v>
      </c>
      <c r="I992" t="s">
        <v>109</v>
      </c>
      <c r="J992" t="s">
        <v>110</v>
      </c>
      <c r="K992" s="4">
        <v>42432.25</v>
      </c>
      <c r="L992" s="4" t="s">
        <v>49</v>
      </c>
      <c r="M992" s="4" t="s">
        <v>153</v>
      </c>
      <c r="N992" s="4">
        <v>42454.208333333328</v>
      </c>
      <c r="O992" t="b">
        <v>0</v>
      </c>
      <c r="P992" t="b">
        <v>1</v>
      </c>
      <c r="Q992" t="s">
        <v>146</v>
      </c>
      <c r="R992" t="str" cm="1">
        <f t="array" ref="R992:S992">_xlfn.TEXTSPLIT(Q992, "/", , FALSE)</f>
        <v>film &amp; video</v>
      </c>
      <c r="S992" t="str">
        <v>drama</v>
      </c>
    </row>
    <row r="993" spans="1:19" ht="17" x14ac:dyDescent="0.2">
      <c r="A993">
        <v>991</v>
      </c>
      <c r="B993" t="s">
        <v>1175</v>
      </c>
      <c r="C993" s="3" t="s">
        <v>2106</v>
      </c>
      <c r="D993">
        <v>9800</v>
      </c>
      <c r="E993">
        <v>11091</v>
      </c>
      <c r="F993" s="5">
        <f t="shared" si="15"/>
        <v>1.131734693877551</v>
      </c>
      <c r="G993" t="s">
        <v>8</v>
      </c>
      <c r="H993">
        <v>241</v>
      </c>
      <c r="I993" t="s">
        <v>109</v>
      </c>
      <c r="J993" t="s">
        <v>110</v>
      </c>
      <c r="K993" s="4">
        <v>41907.208333333336</v>
      </c>
      <c r="L993" s="4" t="s">
        <v>55</v>
      </c>
      <c r="M993" s="4" t="s">
        <v>111</v>
      </c>
      <c r="N993" s="4">
        <v>41911.208333333336</v>
      </c>
      <c r="O993" t="b">
        <v>0</v>
      </c>
      <c r="P993" t="b">
        <v>1</v>
      </c>
      <c r="Q993" t="s">
        <v>112</v>
      </c>
      <c r="R993" t="str" cm="1">
        <f t="array" ref="R993:S993">_xlfn.TEXTSPLIT(Q993, "/", , FALSE)</f>
        <v>music</v>
      </c>
      <c r="S993" t="str">
        <v>rock</v>
      </c>
    </row>
    <row r="994" spans="1:19" ht="17" x14ac:dyDescent="0.2">
      <c r="A994">
        <v>992</v>
      </c>
      <c r="B994" t="s">
        <v>2107</v>
      </c>
      <c r="C994" s="3" t="s">
        <v>2108</v>
      </c>
      <c r="D994">
        <v>3100</v>
      </c>
      <c r="E994">
        <v>13223</v>
      </c>
      <c r="F994" s="5">
        <f t="shared" si="15"/>
        <v>4.2654838709677421</v>
      </c>
      <c r="G994" t="s">
        <v>8</v>
      </c>
      <c r="H994">
        <v>132</v>
      </c>
      <c r="I994" t="s">
        <v>109</v>
      </c>
      <c r="J994" t="s">
        <v>110</v>
      </c>
      <c r="K994" s="4">
        <v>43227.208333333328</v>
      </c>
      <c r="L994" s="4" t="s">
        <v>51</v>
      </c>
      <c r="M994" s="4" t="s">
        <v>169</v>
      </c>
      <c r="N994" s="4">
        <v>43241.208333333328</v>
      </c>
      <c r="O994" t="b">
        <v>0</v>
      </c>
      <c r="P994" t="b">
        <v>1</v>
      </c>
      <c r="Q994" t="s">
        <v>146</v>
      </c>
      <c r="R994" t="str" cm="1">
        <f t="array" ref="R994:S994">_xlfn.TEXTSPLIT(Q994, "/", , FALSE)</f>
        <v>film &amp; video</v>
      </c>
      <c r="S994" t="str">
        <v>drama</v>
      </c>
    </row>
    <row r="995" spans="1:19" ht="17" x14ac:dyDescent="0.2">
      <c r="A995">
        <v>993</v>
      </c>
      <c r="B995" t="s">
        <v>2109</v>
      </c>
      <c r="C995" s="3" t="s">
        <v>2110</v>
      </c>
      <c r="D995">
        <v>9800</v>
      </c>
      <c r="E995">
        <v>7608</v>
      </c>
      <c r="F995" s="5">
        <f t="shared" si="15"/>
        <v>0.77632653061224488</v>
      </c>
      <c r="G995" t="s">
        <v>5</v>
      </c>
      <c r="H995">
        <v>75</v>
      </c>
      <c r="I995" t="s">
        <v>202</v>
      </c>
      <c r="J995" t="s">
        <v>203</v>
      </c>
      <c r="K995" s="4">
        <v>42362.25</v>
      </c>
      <c r="L995" s="4" t="s">
        <v>58</v>
      </c>
      <c r="M995" s="4" t="s">
        <v>105</v>
      </c>
      <c r="N995" s="4">
        <v>42379.25</v>
      </c>
      <c r="O995" t="b">
        <v>0</v>
      </c>
      <c r="P995" t="b">
        <v>1</v>
      </c>
      <c r="Q995" t="s">
        <v>217</v>
      </c>
      <c r="R995" t="str" cm="1">
        <f t="array" ref="R995:S995">_xlfn.TEXTSPLIT(Q995, "/", , FALSE)</f>
        <v>photography</v>
      </c>
      <c r="S995" t="str">
        <v>photography books</v>
      </c>
    </row>
    <row r="996" spans="1:19" ht="17" x14ac:dyDescent="0.2">
      <c r="A996">
        <v>994</v>
      </c>
      <c r="B996" t="s">
        <v>2111</v>
      </c>
      <c r="C996" s="3" t="s">
        <v>2112</v>
      </c>
      <c r="D996">
        <v>141100</v>
      </c>
      <c r="E996">
        <v>74073</v>
      </c>
      <c r="F996" s="5">
        <f t="shared" si="15"/>
        <v>0.52496810772501767</v>
      </c>
      <c r="G996" t="s">
        <v>6</v>
      </c>
      <c r="H996">
        <v>842</v>
      </c>
      <c r="I996" t="s">
        <v>109</v>
      </c>
      <c r="J996" t="s">
        <v>110</v>
      </c>
      <c r="K996" s="4">
        <v>41929.208333333336</v>
      </c>
      <c r="L996" s="4" t="s">
        <v>56</v>
      </c>
      <c r="M996" s="4" t="s">
        <v>111</v>
      </c>
      <c r="N996" s="4">
        <v>41935.208333333336</v>
      </c>
      <c r="O996" t="b">
        <v>0</v>
      </c>
      <c r="P996" t="b">
        <v>1</v>
      </c>
      <c r="Q996" t="s">
        <v>301</v>
      </c>
      <c r="R996" t="str" cm="1">
        <f t="array" ref="R996:S996">_xlfn.TEXTSPLIT(Q996, "/", , FALSE)</f>
        <v>publishing</v>
      </c>
      <c r="S996" t="str">
        <v>translations</v>
      </c>
    </row>
    <row r="997" spans="1:19" ht="17" x14ac:dyDescent="0.2">
      <c r="A997">
        <v>995</v>
      </c>
      <c r="B997" t="s">
        <v>2113</v>
      </c>
      <c r="C997" s="3" t="s">
        <v>2114</v>
      </c>
      <c r="D997">
        <v>97300</v>
      </c>
      <c r="E997">
        <v>153216</v>
      </c>
      <c r="F997" s="5">
        <f t="shared" si="15"/>
        <v>1.5746762589928058</v>
      </c>
      <c r="G997" t="s">
        <v>8</v>
      </c>
      <c r="H997">
        <v>2043</v>
      </c>
      <c r="I997" t="s">
        <v>109</v>
      </c>
      <c r="J997" t="s">
        <v>110</v>
      </c>
      <c r="K997" s="4">
        <v>43408.208333333328</v>
      </c>
      <c r="L997" s="4" t="s">
        <v>57</v>
      </c>
      <c r="M997" s="4" t="s">
        <v>169</v>
      </c>
      <c r="N997" s="4">
        <v>43437.25</v>
      </c>
      <c r="O997" t="b">
        <v>0</v>
      </c>
      <c r="P997" t="b">
        <v>1</v>
      </c>
      <c r="Q997" t="s">
        <v>106</v>
      </c>
      <c r="R997" t="str" cm="1">
        <f t="array" ref="R997:S997">_xlfn.TEXTSPLIT(Q997, "/", , FALSE)</f>
        <v>food</v>
      </c>
      <c r="S997" t="str">
        <v>food trucks</v>
      </c>
    </row>
    <row r="998" spans="1:19" ht="34" x14ac:dyDescent="0.2">
      <c r="A998">
        <v>996</v>
      </c>
      <c r="B998" t="s">
        <v>2115</v>
      </c>
      <c r="C998" s="3" t="s">
        <v>2116</v>
      </c>
      <c r="D998">
        <v>6600</v>
      </c>
      <c r="E998">
        <v>4814</v>
      </c>
      <c r="F998" s="5">
        <f t="shared" si="15"/>
        <v>0.72939393939393937</v>
      </c>
      <c r="G998" t="s">
        <v>6</v>
      </c>
      <c r="H998">
        <v>112</v>
      </c>
      <c r="I998" t="s">
        <v>109</v>
      </c>
      <c r="J998" t="s">
        <v>110</v>
      </c>
      <c r="K998" s="4">
        <v>41276.25</v>
      </c>
      <c r="L998" s="4" t="s">
        <v>47</v>
      </c>
      <c r="M998" s="4" t="s">
        <v>117</v>
      </c>
      <c r="N998" s="4">
        <v>41306.25</v>
      </c>
      <c r="O998" t="b">
        <v>0</v>
      </c>
      <c r="P998" t="b">
        <v>0</v>
      </c>
      <c r="Q998" t="s">
        <v>124</v>
      </c>
      <c r="R998" t="str" cm="1">
        <f t="array" ref="R998:S998">_xlfn.TEXTSPLIT(Q998, "/", , FALSE)</f>
        <v>theater</v>
      </c>
      <c r="S998" t="str">
        <v>plays</v>
      </c>
    </row>
    <row r="999" spans="1:19" ht="17" x14ac:dyDescent="0.2">
      <c r="A999">
        <v>997</v>
      </c>
      <c r="B999" t="s">
        <v>2117</v>
      </c>
      <c r="C999" s="3" t="s">
        <v>2118</v>
      </c>
      <c r="D999">
        <v>7600</v>
      </c>
      <c r="E999">
        <v>4603</v>
      </c>
      <c r="F999" s="5">
        <f t="shared" si="15"/>
        <v>0.60565789473684206</v>
      </c>
      <c r="G999" t="s">
        <v>5</v>
      </c>
      <c r="H999">
        <v>139</v>
      </c>
      <c r="I999" t="s">
        <v>202</v>
      </c>
      <c r="J999" t="s">
        <v>203</v>
      </c>
      <c r="K999" s="4">
        <v>41659.25</v>
      </c>
      <c r="L999" s="4" t="s">
        <v>47</v>
      </c>
      <c r="M999" s="4" t="s">
        <v>111</v>
      </c>
      <c r="N999" s="4">
        <v>41664.25</v>
      </c>
      <c r="O999" t="b">
        <v>0</v>
      </c>
      <c r="P999" t="b">
        <v>0</v>
      </c>
      <c r="Q999" t="s">
        <v>124</v>
      </c>
      <c r="R999" t="str" cm="1">
        <f t="array" ref="R999:S999">_xlfn.TEXTSPLIT(Q999, "/", , FALSE)</f>
        <v>theater</v>
      </c>
      <c r="S999" t="str">
        <v>plays</v>
      </c>
    </row>
    <row r="1000" spans="1:19" ht="17" x14ac:dyDescent="0.2">
      <c r="A1000">
        <v>998</v>
      </c>
      <c r="B1000" t="s">
        <v>2119</v>
      </c>
      <c r="C1000" s="3" t="s">
        <v>2120</v>
      </c>
      <c r="D1000">
        <v>66600</v>
      </c>
      <c r="E1000">
        <v>37823</v>
      </c>
      <c r="F1000" s="5">
        <f t="shared" si="15"/>
        <v>0.5679129129129129</v>
      </c>
      <c r="G1000" t="s">
        <v>6</v>
      </c>
      <c r="H1000">
        <v>374</v>
      </c>
      <c r="I1000" t="s">
        <v>109</v>
      </c>
      <c r="J1000" t="s">
        <v>110</v>
      </c>
      <c r="K1000" s="4">
        <v>40220.25</v>
      </c>
      <c r="L1000" s="4" t="s">
        <v>48</v>
      </c>
      <c r="M1000" s="4" t="s">
        <v>140</v>
      </c>
      <c r="N1000" s="4">
        <v>40234.25</v>
      </c>
      <c r="O1000" t="b">
        <v>0</v>
      </c>
      <c r="P1000" t="b">
        <v>1</v>
      </c>
      <c r="Q1000" t="s">
        <v>154</v>
      </c>
      <c r="R1000" t="str" cm="1">
        <f t="array" ref="R1000:S1000">_xlfn.TEXTSPLIT(Q1000, "/", , FALSE)</f>
        <v>music</v>
      </c>
      <c r="S1000" t="str">
        <v>indie rock</v>
      </c>
    </row>
    <row r="1001" spans="1:19" ht="17" x14ac:dyDescent="0.2">
      <c r="A1001">
        <v>999</v>
      </c>
      <c r="B1001" t="s">
        <v>2121</v>
      </c>
      <c r="C1001" s="3" t="s">
        <v>2122</v>
      </c>
      <c r="D1001">
        <v>111100</v>
      </c>
      <c r="E1001">
        <v>62819</v>
      </c>
      <c r="F1001" s="5">
        <f t="shared" si="15"/>
        <v>0.56542754275427543</v>
      </c>
      <c r="G1001" t="s">
        <v>5</v>
      </c>
      <c r="H1001">
        <v>1122</v>
      </c>
      <c r="I1001" t="s">
        <v>109</v>
      </c>
      <c r="J1001" t="s">
        <v>110</v>
      </c>
      <c r="K1001" s="4">
        <v>42550.208333333328</v>
      </c>
      <c r="L1001" s="4" t="s">
        <v>52</v>
      </c>
      <c r="M1001" s="4" t="s">
        <v>153</v>
      </c>
      <c r="N1001" s="4">
        <v>42557.208333333328</v>
      </c>
      <c r="O1001" t="b">
        <v>0</v>
      </c>
      <c r="P1001" t="b">
        <v>0</v>
      </c>
      <c r="Q1001" t="s">
        <v>106</v>
      </c>
      <c r="R1001" t="str" cm="1">
        <f t="array" ref="R1001:S1001">_xlfn.TEXTSPLIT(Q1001, "/", , FALSE)</f>
        <v>food</v>
      </c>
      <c r="S1001" t="str">
        <v>food trucks</v>
      </c>
    </row>
  </sheetData>
  <conditionalFormatting sqref="F1:F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01">
    <cfRule type="containsText" dxfId="7" priority="1" operator="containsText" text="canceled">
      <formula>NOT(ISERROR(SEARCH("canceled",G2)))</formula>
    </cfRule>
    <cfRule type="containsText" dxfId="6" priority="2" operator="containsText" text="live">
      <formula>NOT(ISERROR(SEARCH("live",G2)))</formula>
    </cfRule>
    <cfRule type="containsText" dxfId="5" priority="3" operator="containsText" text="successful">
      <formula>NOT(ISERROR(SEARCH("successful",G2)))</formula>
    </cfRule>
    <cfRule type="containsText" dxfId="4" priority="4" operator="containsText" text="failed">
      <formula>NOT(ISERROR(SEARCH("failed",G2)))</formula>
    </cfRule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895D-F61B-4B00-87A7-6D72216A2C8E}">
  <dimension ref="A1"/>
  <sheetViews>
    <sheetView workbookViewId="0"/>
  </sheetViews>
  <sheetFormatPr baseColWidth="10" defaultColWidth="8.83203125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1"/>
  <sheetViews>
    <sheetView workbookViewId="0">
      <selection activeCell="F11" sqref="F11"/>
    </sheetView>
  </sheetViews>
  <sheetFormatPr baseColWidth="10" defaultColWidth="11" defaultRowHeight="15.75" customHeight="1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3.83203125" bestFit="1" customWidth="1"/>
    <col min="8" max="8" width="13.1640625" bestFit="1" customWidth="1"/>
    <col min="9" max="9" width="13.1640625" customWidth="1"/>
    <col min="12" max="12" width="11.1640625" bestFit="1" customWidth="1"/>
    <col min="13" max="13" width="18.1640625" bestFit="1" customWidth="1"/>
    <col min="14" max="14" width="16.1640625" bestFit="1" customWidth="1"/>
    <col min="15" max="15" width="10.6640625" bestFit="1" customWidth="1"/>
    <col min="18" max="18" width="28" bestFit="1" customWidth="1"/>
    <col min="19" max="19" width="14.33203125" bestFit="1" customWidth="1"/>
    <col min="20" max="20" width="11.1640625" bestFit="1" customWidth="1"/>
  </cols>
  <sheetData>
    <row r="1" spans="1:20" s="1" customFormat="1" ht="17" x14ac:dyDescent="0.2">
      <c r="A1" s="1" t="s">
        <v>89</v>
      </c>
      <c r="B1" s="1" t="s">
        <v>90</v>
      </c>
      <c r="C1" s="2" t="s">
        <v>91</v>
      </c>
      <c r="D1" s="1" t="s">
        <v>92</v>
      </c>
      <c r="E1" s="1" t="s">
        <v>93</v>
      </c>
      <c r="F1" s="1" t="s">
        <v>94</v>
      </c>
      <c r="G1" s="1" t="s">
        <v>3</v>
      </c>
      <c r="H1" s="1" t="s">
        <v>59</v>
      </c>
      <c r="I1" s="1" t="s">
        <v>2123</v>
      </c>
      <c r="J1" s="1" t="s">
        <v>0</v>
      </c>
      <c r="K1" s="1" t="s">
        <v>95</v>
      </c>
      <c r="L1" s="1" t="s">
        <v>96</v>
      </c>
      <c r="M1" s="1" t="s">
        <v>46</v>
      </c>
      <c r="N1" s="1" t="s">
        <v>45</v>
      </c>
      <c r="O1" s="1" t="s">
        <v>97</v>
      </c>
      <c r="P1" s="1" t="s">
        <v>98</v>
      </c>
      <c r="Q1" s="1" t="s">
        <v>99</v>
      </c>
      <c r="R1" s="1" t="s">
        <v>100</v>
      </c>
      <c r="S1" s="1" t="s">
        <v>4</v>
      </c>
      <c r="T1" s="1" t="s">
        <v>19</v>
      </c>
    </row>
    <row r="2" spans="1:20" ht="17" x14ac:dyDescent="0.2">
      <c r="A2">
        <v>0</v>
      </c>
      <c r="B2" t="s">
        <v>101</v>
      </c>
      <c r="C2" s="3" t="s">
        <v>102</v>
      </c>
      <c r="D2">
        <v>100</v>
      </c>
      <c r="E2">
        <v>0</v>
      </c>
      <c r="F2" s="5">
        <f>E2/D2</f>
        <v>0</v>
      </c>
      <c r="G2" t="s">
        <v>6</v>
      </c>
      <c r="H2">
        <v>0</v>
      </c>
      <c r="I2" t="e">
        <f>E2/H2</f>
        <v>#DIV/0!</v>
      </c>
      <c r="J2" t="s">
        <v>103</v>
      </c>
      <c r="K2" t="s">
        <v>104</v>
      </c>
      <c r="L2" s="4">
        <v>42336.25</v>
      </c>
      <c r="M2" s="4" t="s">
        <v>57</v>
      </c>
      <c r="N2" s="4" t="s">
        <v>105</v>
      </c>
      <c r="O2" s="4">
        <v>42353.25</v>
      </c>
      <c r="P2" t="b">
        <v>0</v>
      </c>
      <c r="Q2" t="b">
        <v>0</v>
      </c>
      <c r="R2" t="s">
        <v>106</v>
      </c>
      <c r="S2" t="str" cm="1">
        <f t="array" ref="S2:T2">_xlfn.TEXTSPLIT(R2, "/", , FALSE)</f>
        <v>food</v>
      </c>
      <c r="T2" t="str">
        <v>food trucks</v>
      </c>
    </row>
    <row r="3" spans="1:20" ht="17" x14ac:dyDescent="0.2">
      <c r="A3">
        <v>1</v>
      </c>
      <c r="B3" t="s">
        <v>107</v>
      </c>
      <c r="C3" s="3" t="s">
        <v>108</v>
      </c>
      <c r="D3">
        <v>1400</v>
      </c>
      <c r="E3">
        <v>14560</v>
      </c>
      <c r="F3" s="5">
        <f t="shared" ref="F3:F66" si="0">E3/D3</f>
        <v>10.4</v>
      </c>
      <c r="G3" t="s">
        <v>8</v>
      </c>
      <c r="H3">
        <v>158</v>
      </c>
      <c r="I3">
        <f t="shared" ref="I3:I66" si="1">E3/H3</f>
        <v>92.151898734177209</v>
      </c>
      <c r="J3" t="s">
        <v>109</v>
      </c>
      <c r="K3" t="s">
        <v>110</v>
      </c>
      <c r="L3" s="4">
        <v>41870.208333333336</v>
      </c>
      <c r="M3" s="4" t="s">
        <v>54</v>
      </c>
      <c r="N3" s="4" t="s">
        <v>111</v>
      </c>
      <c r="O3" s="4">
        <v>41872.208333333336</v>
      </c>
      <c r="P3" t="b">
        <v>0</v>
      </c>
      <c r="Q3" t="b">
        <v>1</v>
      </c>
      <c r="R3" t="s">
        <v>112</v>
      </c>
      <c r="S3" t="str" cm="1">
        <f t="array" ref="S3:T3">_xlfn.TEXTSPLIT(R3, "/", , FALSE)</f>
        <v>music</v>
      </c>
      <c r="T3" t="str">
        <v>rock</v>
      </c>
    </row>
    <row r="4" spans="1:20" ht="34" x14ac:dyDescent="0.2">
      <c r="A4">
        <v>2</v>
      </c>
      <c r="B4" t="s">
        <v>113</v>
      </c>
      <c r="C4" s="3" t="s">
        <v>114</v>
      </c>
      <c r="D4">
        <v>108400</v>
      </c>
      <c r="E4">
        <v>142523</v>
      </c>
      <c r="F4" s="5">
        <f t="shared" si="0"/>
        <v>1.3147878228782288</v>
      </c>
      <c r="G4" t="s">
        <v>8</v>
      </c>
      <c r="H4">
        <v>1425</v>
      </c>
      <c r="I4">
        <f t="shared" si="1"/>
        <v>100.01614035087719</v>
      </c>
      <c r="J4" t="s">
        <v>115</v>
      </c>
      <c r="K4" t="s">
        <v>116</v>
      </c>
      <c r="L4" s="4">
        <v>41595.25</v>
      </c>
      <c r="M4" s="4" t="s">
        <v>57</v>
      </c>
      <c r="N4" s="4" t="s">
        <v>117</v>
      </c>
      <c r="O4" s="4">
        <v>41597.25</v>
      </c>
      <c r="P4" t="b">
        <v>0</v>
      </c>
      <c r="Q4" t="b">
        <v>0</v>
      </c>
      <c r="R4" t="s">
        <v>118</v>
      </c>
      <c r="S4" t="str" cm="1">
        <f t="array" ref="S4:T4">_xlfn.TEXTSPLIT(R4, "/", , FALSE)</f>
        <v>technology</v>
      </c>
      <c r="T4" t="str">
        <v>web</v>
      </c>
    </row>
    <row r="5" spans="1:20" ht="34" x14ac:dyDescent="0.2">
      <c r="A5">
        <v>3</v>
      </c>
      <c r="B5" t="s">
        <v>119</v>
      </c>
      <c r="C5" s="3" t="s">
        <v>120</v>
      </c>
      <c r="D5">
        <v>4200</v>
      </c>
      <c r="E5">
        <v>2477</v>
      </c>
      <c r="F5" s="5">
        <f t="shared" si="0"/>
        <v>0.58976190476190471</v>
      </c>
      <c r="G5" t="s">
        <v>6</v>
      </c>
      <c r="H5">
        <v>24</v>
      </c>
      <c r="I5">
        <f t="shared" si="1"/>
        <v>103.20833333333333</v>
      </c>
      <c r="J5" t="s">
        <v>109</v>
      </c>
      <c r="K5" t="s">
        <v>110</v>
      </c>
      <c r="L5" s="4">
        <v>43688.208333333328</v>
      </c>
      <c r="M5" s="4" t="s">
        <v>54</v>
      </c>
      <c r="N5" s="4" t="s">
        <v>121</v>
      </c>
      <c r="O5" s="4">
        <v>43728.208333333328</v>
      </c>
      <c r="P5" t="b">
        <v>0</v>
      </c>
      <c r="Q5" t="b">
        <v>0</v>
      </c>
      <c r="R5" t="s">
        <v>112</v>
      </c>
      <c r="S5" t="str" cm="1">
        <f t="array" ref="S5:T5">_xlfn.TEXTSPLIT(R5, "/", , FALSE)</f>
        <v>music</v>
      </c>
      <c r="T5" t="str">
        <v>rock</v>
      </c>
    </row>
    <row r="6" spans="1:20" ht="17" x14ac:dyDescent="0.2">
      <c r="A6">
        <v>4</v>
      </c>
      <c r="B6" t="s">
        <v>122</v>
      </c>
      <c r="C6" s="3" t="s">
        <v>123</v>
      </c>
      <c r="D6">
        <v>7600</v>
      </c>
      <c r="E6">
        <v>5265</v>
      </c>
      <c r="F6" s="5">
        <f t="shared" si="0"/>
        <v>0.69276315789473686</v>
      </c>
      <c r="G6" t="s">
        <v>6</v>
      </c>
      <c r="H6">
        <v>53</v>
      </c>
      <c r="I6">
        <f t="shared" si="1"/>
        <v>99.339622641509436</v>
      </c>
      <c r="J6" t="s">
        <v>109</v>
      </c>
      <c r="K6" t="s">
        <v>110</v>
      </c>
      <c r="L6" s="4">
        <v>43485.25</v>
      </c>
      <c r="M6" s="4" t="s">
        <v>47</v>
      </c>
      <c r="N6" s="4" t="s">
        <v>121</v>
      </c>
      <c r="O6" s="4">
        <v>43489.25</v>
      </c>
      <c r="P6" t="b">
        <v>0</v>
      </c>
      <c r="Q6" t="b">
        <v>0</v>
      </c>
      <c r="R6" t="s">
        <v>124</v>
      </c>
      <c r="S6" t="str" cm="1">
        <f t="array" ref="S6:T6">_xlfn.TEXTSPLIT(R6, "/", , FALSE)</f>
        <v>theater</v>
      </c>
      <c r="T6" t="str">
        <v>plays</v>
      </c>
    </row>
    <row r="7" spans="1:20" ht="17" x14ac:dyDescent="0.2">
      <c r="A7">
        <v>5</v>
      </c>
      <c r="B7" t="s">
        <v>125</v>
      </c>
      <c r="C7" s="3" t="s">
        <v>126</v>
      </c>
      <c r="D7">
        <v>7600</v>
      </c>
      <c r="E7">
        <v>13195</v>
      </c>
      <c r="F7" s="5">
        <f t="shared" si="0"/>
        <v>1.7361842105263159</v>
      </c>
      <c r="G7" t="s">
        <v>8</v>
      </c>
      <c r="H7">
        <v>174</v>
      </c>
      <c r="I7">
        <f t="shared" si="1"/>
        <v>75.833333333333329</v>
      </c>
      <c r="J7" t="s">
        <v>127</v>
      </c>
      <c r="K7" t="s">
        <v>128</v>
      </c>
      <c r="L7" s="4">
        <v>41149.208333333336</v>
      </c>
      <c r="M7" s="4" t="s">
        <v>54</v>
      </c>
      <c r="N7" s="4" t="s">
        <v>129</v>
      </c>
      <c r="O7" s="4">
        <v>41160.208333333336</v>
      </c>
      <c r="P7" t="b">
        <v>0</v>
      </c>
      <c r="Q7" t="b">
        <v>0</v>
      </c>
      <c r="R7" t="s">
        <v>124</v>
      </c>
      <c r="S7" t="str" cm="1">
        <f t="array" ref="S7:T7">_xlfn.TEXTSPLIT(R7, "/", , FALSE)</f>
        <v>theater</v>
      </c>
      <c r="T7" t="str">
        <v>plays</v>
      </c>
    </row>
    <row r="8" spans="1:20" ht="17" x14ac:dyDescent="0.2">
      <c r="A8">
        <v>6</v>
      </c>
      <c r="B8" t="s">
        <v>130</v>
      </c>
      <c r="C8" s="3" t="s">
        <v>131</v>
      </c>
      <c r="D8">
        <v>5200</v>
      </c>
      <c r="E8">
        <v>1090</v>
      </c>
      <c r="F8" s="5">
        <f t="shared" si="0"/>
        <v>0.20961538461538462</v>
      </c>
      <c r="G8" t="s">
        <v>6</v>
      </c>
      <c r="H8">
        <v>18</v>
      </c>
      <c r="I8">
        <f t="shared" si="1"/>
        <v>60.555555555555557</v>
      </c>
      <c r="J8" t="s">
        <v>132</v>
      </c>
      <c r="K8" t="s">
        <v>133</v>
      </c>
      <c r="L8" s="4">
        <v>42991.208333333328</v>
      </c>
      <c r="M8" s="4" t="s">
        <v>55</v>
      </c>
      <c r="N8" s="4" t="s">
        <v>134</v>
      </c>
      <c r="O8" s="4">
        <v>42992.208333333328</v>
      </c>
      <c r="P8" t="b">
        <v>0</v>
      </c>
      <c r="Q8" t="b">
        <v>0</v>
      </c>
      <c r="R8" t="s">
        <v>135</v>
      </c>
      <c r="S8" t="str" cm="1">
        <f t="array" ref="S8:T8">_xlfn.TEXTSPLIT(R8, "/", , FALSE)</f>
        <v>film &amp; video</v>
      </c>
      <c r="T8" t="str">
        <v>documentary</v>
      </c>
    </row>
    <row r="9" spans="1:20" ht="17" x14ac:dyDescent="0.2">
      <c r="A9">
        <v>7</v>
      </c>
      <c r="B9" t="s">
        <v>136</v>
      </c>
      <c r="C9" s="3" t="s">
        <v>137</v>
      </c>
      <c r="D9">
        <v>4500</v>
      </c>
      <c r="E9">
        <v>14741</v>
      </c>
      <c r="F9" s="5">
        <f t="shared" si="0"/>
        <v>3.2757777777777779</v>
      </c>
      <c r="G9" t="s">
        <v>8</v>
      </c>
      <c r="H9">
        <v>227</v>
      </c>
      <c r="I9">
        <f t="shared" si="1"/>
        <v>64.93832599118943</v>
      </c>
      <c r="J9" t="s">
        <v>127</v>
      </c>
      <c r="K9" t="s">
        <v>128</v>
      </c>
      <c r="L9" s="4">
        <v>42229.208333333328</v>
      </c>
      <c r="M9" s="4" t="s">
        <v>54</v>
      </c>
      <c r="N9" s="4" t="s">
        <v>105</v>
      </c>
      <c r="O9" s="4">
        <v>42231.208333333328</v>
      </c>
      <c r="P9" t="b">
        <v>0</v>
      </c>
      <c r="Q9" t="b">
        <v>0</v>
      </c>
      <c r="R9" t="s">
        <v>124</v>
      </c>
      <c r="S9" t="str" cm="1">
        <f t="array" ref="S9:T9">_xlfn.TEXTSPLIT(R9, "/", , FALSE)</f>
        <v>theater</v>
      </c>
      <c r="T9" t="str">
        <v>plays</v>
      </c>
    </row>
    <row r="10" spans="1:20" ht="17" x14ac:dyDescent="0.2">
      <c r="A10">
        <v>8</v>
      </c>
      <c r="B10" t="s">
        <v>138</v>
      </c>
      <c r="C10" s="3" t="s">
        <v>139</v>
      </c>
      <c r="D10">
        <v>110100</v>
      </c>
      <c r="E10">
        <v>21946</v>
      </c>
      <c r="F10" s="5">
        <f t="shared" si="0"/>
        <v>0.19932788374205268</v>
      </c>
      <c r="G10" t="s">
        <v>7</v>
      </c>
      <c r="H10">
        <v>708</v>
      </c>
      <c r="I10">
        <f t="shared" si="1"/>
        <v>30.997175141242938</v>
      </c>
      <c r="J10" t="s">
        <v>127</v>
      </c>
      <c r="K10" t="s">
        <v>128</v>
      </c>
      <c r="L10" s="4">
        <v>40399.208333333336</v>
      </c>
      <c r="M10" s="4" t="s">
        <v>54</v>
      </c>
      <c r="N10" s="4" t="s">
        <v>140</v>
      </c>
      <c r="O10" s="4">
        <v>40401.208333333336</v>
      </c>
      <c r="P10" t="b">
        <v>0</v>
      </c>
      <c r="Q10" t="b">
        <v>0</v>
      </c>
      <c r="R10" t="s">
        <v>124</v>
      </c>
      <c r="S10" t="str" cm="1">
        <f t="array" ref="S10:T10">_xlfn.TEXTSPLIT(R10, "/", , FALSE)</f>
        <v>theater</v>
      </c>
      <c r="T10" t="str">
        <v>plays</v>
      </c>
    </row>
    <row r="11" spans="1:20" ht="17" x14ac:dyDescent="0.2">
      <c r="A11">
        <v>9</v>
      </c>
      <c r="B11" t="s">
        <v>141</v>
      </c>
      <c r="C11" s="3" t="s">
        <v>142</v>
      </c>
      <c r="D11">
        <v>6200</v>
      </c>
      <c r="E11">
        <v>3208</v>
      </c>
      <c r="F11" s="5">
        <f t="shared" si="0"/>
        <v>0.51741935483870971</v>
      </c>
      <c r="G11" t="s">
        <v>6</v>
      </c>
      <c r="H11">
        <v>44</v>
      </c>
      <c r="I11">
        <f t="shared" si="1"/>
        <v>72.909090909090907</v>
      </c>
      <c r="J11" t="s">
        <v>109</v>
      </c>
      <c r="K11" t="s">
        <v>110</v>
      </c>
      <c r="L11" s="4">
        <v>41536.208333333336</v>
      </c>
      <c r="M11" s="4" t="s">
        <v>55</v>
      </c>
      <c r="N11" s="4" t="s">
        <v>117</v>
      </c>
      <c r="O11" s="4">
        <v>41585.25</v>
      </c>
      <c r="P11" t="b">
        <v>0</v>
      </c>
      <c r="Q11" t="b">
        <v>0</v>
      </c>
      <c r="R11" t="s">
        <v>143</v>
      </c>
      <c r="S11" t="str" cm="1">
        <f t="array" ref="S11:T11">_xlfn.TEXTSPLIT(R11, "/", , FALSE)</f>
        <v>music</v>
      </c>
      <c r="T11" t="str">
        <v>electric music</v>
      </c>
    </row>
    <row r="12" spans="1:20" ht="17" x14ac:dyDescent="0.2">
      <c r="A12">
        <v>10</v>
      </c>
      <c r="B12" t="s">
        <v>144</v>
      </c>
      <c r="C12" s="3" t="s">
        <v>145</v>
      </c>
      <c r="D12">
        <v>5200</v>
      </c>
      <c r="E12">
        <v>13838</v>
      </c>
      <c r="F12" s="5">
        <f t="shared" si="0"/>
        <v>2.6611538461538462</v>
      </c>
      <c r="G12" t="s">
        <v>8</v>
      </c>
      <c r="H12">
        <v>220</v>
      </c>
      <c r="I12">
        <f t="shared" si="1"/>
        <v>62.9</v>
      </c>
      <c r="J12" t="s">
        <v>109</v>
      </c>
      <c r="K12" t="s">
        <v>110</v>
      </c>
      <c r="L12" s="4">
        <v>40404.208333333336</v>
      </c>
      <c r="M12" s="4" t="s">
        <v>54</v>
      </c>
      <c r="N12" s="4" t="s">
        <v>140</v>
      </c>
      <c r="O12" s="4">
        <v>40452.208333333336</v>
      </c>
      <c r="P12" t="b">
        <v>0</v>
      </c>
      <c r="Q12" t="b">
        <v>0</v>
      </c>
      <c r="R12" t="s">
        <v>146</v>
      </c>
      <c r="S12" t="str" cm="1">
        <f t="array" ref="S12:T12">_xlfn.TEXTSPLIT(R12, "/", , FALSE)</f>
        <v>film &amp; video</v>
      </c>
      <c r="T12" t="str">
        <v>drama</v>
      </c>
    </row>
    <row r="13" spans="1:20" ht="34" x14ac:dyDescent="0.2">
      <c r="A13">
        <v>11</v>
      </c>
      <c r="B13" t="s">
        <v>147</v>
      </c>
      <c r="C13" s="3" t="s">
        <v>148</v>
      </c>
      <c r="D13">
        <v>6300</v>
      </c>
      <c r="E13">
        <v>3030</v>
      </c>
      <c r="F13" s="5">
        <f t="shared" si="0"/>
        <v>0.48095238095238096</v>
      </c>
      <c r="G13" t="s">
        <v>6</v>
      </c>
      <c r="H13">
        <v>27</v>
      </c>
      <c r="I13">
        <f t="shared" si="1"/>
        <v>112.22222222222223</v>
      </c>
      <c r="J13" t="s">
        <v>109</v>
      </c>
      <c r="K13" t="s">
        <v>110</v>
      </c>
      <c r="L13" s="4">
        <v>40442.208333333336</v>
      </c>
      <c r="M13" s="4" t="s">
        <v>55</v>
      </c>
      <c r="N13" s="4" t="s">
        <v>140</v>
      </c>
      <c r="O13" s="4">
        <v>40448.208333333336</v>
      </c>
      <c r="P13" t="b">
        <v>0</v>
      </c>
      <c r="Q13" t="b">
        <v>1</v>
      </c>
      <c r="R13" t="s">
        <v>124</v>
      </c>
      <c r="S13" t="str" cm="1">
        <f t="array" ref="S13:T13">_xlfn.TEXTSPLIT(R13, "/", , FALSE)</f>
        <v>theater</v>
      </c>
      <c r="T13" t="str">
        <v>plays</v>
      </c>
    </row>
    <row r="14" spans="1:20" ht="17" x14ac:dyDescent="0.2">
      <c r="A14">
        <v>12</v>
      </c>
      <c r="B14" t="s">
        <v>149</v>
      </c>
      <c r="C14" s="3" t="s">
        <v>150</v>
      </c>
      <c r="D14">
        <v>6300</v>
      </c>
      <c r="E14">
        <v>5629</v>
      </c>
      <c r="F14" s="5">
        <f t="shared" si="0"/>
        <v>0.89349206349206345</v>
      </c>
      <c r="G14" t="s">
        <v>6</v>
      </c>
      <c r="H14">
        <v>55</v>
      </c>
      <c r="I14">
        <f t="shared" si="1"/>
        <v>102.34545454545454</v>
      </c>
      <c r="J14" t="s">
        <v>109</v>
      </c>
      <c r="K14" t="s">
        <v>110</v>
      </c>
      <c r="L14" s="4">
        <v>43760.208333333328</v>
      </c>
      <c r="M14" s="4" t="s">
        <v>56</v>
      </c>
      <c r="N14" s="4" t="s">
        <v>121</v>
      </c>
      <c r="O14" s="4">
        <v>43768.208333333328</v>
      </c>
      <c r="P14" t="b">
        <v>0</v>
      </c>
      <c r="Q14" t="b">
        <v>0</v>
      </c>
      <c r="R14" t="s">
        <v>146</v>
      </c>
      <c r="S14" t="str" cm="1">
        <f t="array" ref="S14:T14">_xlfn.TEXTSPLIT(R14, "/", , FALSE)</f>
        <v>film &amp; video</v>
      </c>
      <c r="T14" t="str">
        <v>drama</v>
      </c>
    </row>
    <row r="15" spans="1:20" ht="34" x14ac:dyDescent="0.2">
      <c r="A15">
        <v>13</v>
      </c>
      <c r="B15" t="s">
        <v>151</v>
      </c>
      <c r="C15" s="3" t="s">
        <v>152</v>
      </c>
      <c r="D15">
        <v>4200</v>
      </c>
      <c r="E15">
        <v>10295</v>
      </c>
      <c r="F15" s="5">
        <f t="shared" si="0"/>
        <v>2.4511904761904764</v>
      </c>
      <c r="G15" t="s">
        <v>8</v>
      </c>
      <c r="H15">
        <v>98</v>
      </c>
      <c r="I15">
        <f t="shared" si="1"/>
        <v>105.05102040816327</v>
      </c>
      <c r="J15" t="s">
        <v>109</v>
      </c>
      <c r="K15" t="s">
        <v>110</v>
      </c>
      <c r="L15" s="4">
        <v>42532.208333333328</v>
      </c>
      <c r="M15" s="4" t="s">
        <v>52</v>
      </c>
      <c r="N15" s="4" t="s">
        <v>153</v>
      </c>
      <c r="O15" s="4">
        <v>42544.208333333328</v>
      </c>
      <c r="P15" t="b">
        <v>0</v>
      </c>
      <c r="Q15" t="b">
        <v>0</v>
      </c>
      <c r="R15" t="s">
        <v>154</v>
      </c>
      <c r="S15" t="str" cm="1">
        <f t="array" ref="S15:T15">_xlfn.TEXTSPLIT(R15, "/", , FALSE)</f>
        <v>music</v>
      </c>
      <c r="T15" t="str">
        <v>indie rock</v>
      </c>
    </row>
    <row r="16" spans="1:20" ht="17" x14ac:dyDescent="0.2">
      <c r="A16">
        <v>14</v>
      </c>
      <c r="B16" t="s">
        <v>155</v>
      </c>
      <c r="C16" s="3" t="s">
        <v>156</v>
      </c>
      <c r="D16">
        <v>28200</v>
      </c>
      <c r="E16">
        <v>18829</v>
      </c>
      <c r="F16" s="5">
        <f t="shared" si="0"/>
        <v>0.66769503546099296</v>
      </c>
      <c r="G16" t="s">
        <v>6</v>
      </c>
      <c r="H16">
        <v>200</v>
      </c>
      <c r="I16">
        <f t="shared" si="1"/>
        <v>94.144999999999996</v>
      </c>
      <c r="J16" t="s">
        <v>109</v>
      </c>
      <c r="K16" t="s">
        <v>110</v>
      </c>
      <c r="L16" s="4">
        <v>40974.25</v>
      </c>
      <c r="M16" s="4" t="s">
        <v>49</v>
      </c>
      <c r="N16" s="4" t="s">
        <v>129</v>
      </c>
      <c r="O16" s="4">
        <v>41001.208333333336</v>
      </c>
      <c r="P16" t="b">
        <v>0</v>
      </c>
      <c r="Q16" t="b">
        <v>0</v>
      </c>
      <c r="R16" t="s">
        <v>154</v>
      </c>
      <c r="S16" t="str" cm="1">
        <f t="array" ref="S16:T16">_xlfn.TEXTSPLIT(R16, "/", , FALSE)</f>
        <v>music</v>
      </c>
      <c r="T16" t="str">
        <v>indie rock</v>
      </c>
    </row>
    <row r="17" spans="1:20" ht="17" x14ac:dyDescent="0.2">
      <c r="A17">
        <v>15</v>
      </c>
      <c r="B17" t="s">
        <v>157</v>
      </c>
      <c r="C17" s="3" t="s">
        <v>158</v>
      </c>
      <c r="D17">
        <v>81200</v>
      </c>
      <c r="E17">
        <v>38414</v>
      </c>
      <c r="F17" s="5">
        <f t="shared" si="0"/>
        <v>0.47307881773399013</v>
      </c>
      <c r="G17" t="s">
        <v>6</v>
      </c>
      <c r="H17">
        <v>452</v>
      </c>
      <c r="I17">
        <f t="shared" si="1"/>
        <v>84.986725663716811</v>
      </c>
      <c r="J17" t="s">
        <v>109</v>
      </c>
      <c r="K17" t="s">
        <v>110</v>
      </c>
      <c r="L17" s="4">
        <v>43809.25</v>
      </c>
      <c r="M17" s="4" t="s">
        <v>58</v>
      </c>
      <c r="N17" s="4" t="s">
        <v>121</v>
      </c>
      <c r="O17" s="4">
        <v>43813.25</v>
      </c>
      <c r="P17" t="b">
        <v>0</v>
      </c>
      <c r="Q17" t="b">
        <v>0</v>
      </c>
      <c r="R17" t="s">
        <v>159</v>
      </c>
      <c r="S17" t="str" cm="1">
        <f t="array" ref="S17:T17">_xlfn.TEXTSPLIT(R17, "/", , FALSE)</f>
        <v>technology</v>
      </c>
      <c r="T17" t="str">
        <v>wearables</v>
      </c>
    </row>
    <row r="18" spans="1:20" ht="17" x14ac:dyDescent="0.2">
      <c r="A18">
        <v>16</v>
      </c>
      <c r="B18" t="s">
        <v>160</v>
      </c>
      <c r="C18" s="3" t="s">
        <v>161</v>
      </c>
      <c r="D18">
        <v>1700</v>
      </c>
      <c r="E18">
        <v>11041</v>
      </c>
      <c r="F18" s="5">
        <f t="shared" si="0"/>
        <v>6.4947058823529416</v>
      </c>
      <c r="G18" t="s">
        <v>8</v>
      </c>
      <c r="H18">
        <v>100</v>
      </c>
      <c r="I18">
        <f t="shared" si="1"/>
        <v>110.41</v>
      </c>
      <c r="J18" t="s">
        <v>109</v>
      </c>
      <c r="K18" t="s">
        <v>110</v>
      </c>
      <c r="L18" s="4">
        <v>41661.25</v>
      </c>
      <c r="M18" s="4" t="s">
        <v>47</v>
      </c>
      <c r="N18" s="4" t="s">
        <v>111</v>
      </c>
      <c r="O18" s="4">
        <v>41683.25</v>
      </c>
      <c r="P18" t="b">
        <v>0</v>
      </c>
      <c r="Q18" t="b">
        <v>0</v>
      </c>
      <c r="R18" t="s">
        <v>162</v>
      </c>
      <c r="S18" t="str" cm="1">
        <f t="array" ref="S18:T18">_xlfn.TEXTSPLIT(R18, "/", , FALSE)</f>
        <v>publishing</v>
      </c>
      <c r="T18" t="str">
        <v>nonfiction</v>
      </c>
    </row>
    <row r="19" spans="1:20" ht="17" x14ac:dyDescent="0.2">
      <c r="A19">
        <v>17</v>
      </c>
      <c r="B19" t="s">
        <v>163</v>
      </c>
      <c r="C19" s="3" t="s">
        <v>164</v>
      </c>
      <c r="D19">
        <v>84600</v>
      </c>
      <c r="E19">
        <v>134845</v>
      </c>
      <c r="F19" s="5">
        <f t="shared" si="0"/>
        <v>1.5939125295508274</v>
      </c>
      <c r="G19" t="s">
        <v>8</v>
      </c>
      <c r="H19">
        <v>1249</v>
      </c>
      <c r="I19">
        <f t="shared" si="1"/>
        <v>107.96236989591674</v>
      </c>
      <c r="J19" t="s">
        <v>109</v>
      </c>
      <c r="K19" t="s">
        <v>110</v>
      </c>
      <c r="L19" s="4">
        <v>40555.25</v>
      </c>
      <c r="M19" s="4" t="s">
        <v>47</v>
      </c>
      <c r="N19" s="4" t="s">
        <v>165</v>
      </c>
      <c r="O19" s="4">
        <v>40556.25</v>
      </c>
      <c r="P19" t="b">
        <v>0</v>
      </c>
      <c r="Q19" t="b">
        <v>0</v>
      </c>
      <c r="R19" t="s">
        <v>166</v>
      </c>
      <c r="S19" t="str" cm="1">
        <f t="array" ref="S19:T19">_xlfn.TEXTSPLIT(R19, "/", , FALSE)</f>
        <v>film &amp; video</v>
      </c>
      <c r="T19" t="str">
        <v>animation</v>
      </c>
    </row>
    <row r="20" spans="1:20" ht="17" x14ac:dyDescent="0.2">
      <c r="A20">
        <v>18</v>
      </c>
      <c r="B20" t="s">
        <v>167</v>
      </c>
      <c r="C20" s="3" t="s">
        <v>168</v>
      </c>
      <c r="D20">
        <v>9100</v>
      </c>
      <c r="E20">
        <v>6089</v>
      </c>
      <c r="F20" s="5">
        <f t="shared" si="0"/>
        <v>0.66912087912087914</v>
      </c>
      <c r="G20" t="s">
        <v>5</v>
      </c>
      <c r="H20">
        <v>135</v>
      </c>
      <c r="I20">
        <f t="shared" si="1"/>
        <v>45.103703703703701</v>
      </c>
      <c r="J20" t="s">
        <v>109</v>
      </c>
      <c r="K20" t="s">
        <v>110</v>
      </c>
      <c r="L20" s="4">
        <v>43351.208333333328</v>
      </c>
      <c r="M20" s="4" t="s">
        <v>55</v>
      </c>
      <c r="N20" s="4" t="s">
        <v>169</v>
      </c>
      <c r="O20" s="4">
        <v>43359.208333333328</v>
      </c>
      <c r="P20" t="b">
        <v>0</v>
      </c>
      <c r="Q20" t="b">
        <v>0</v>
      </c>
      <c r="R20" t="s">
        <v>124</v>
      </c>
      <c r="S20" t="str" cm="1">
        <f t="array" ref="S20:T20">_xlfn.TEXTSPLIT(R20, "/", , FALSE)</f>
        <v>theater</v>
      </c>
      <c r="T20" t="str">
        <v>plays</v>
      </c>
    </row>
    <row r="21" spans="1:20" ht="17" x14ac:dyDescent="0.2">
      <c r="A21">
        <v>19</v>
      </c>
      <c r="B21" t="s">
        <v>170</v>
      </c>
      <c r="C21" s="3" t="s">
        <v>171</v>
      </c>
      <c r="D21">
        <v>62500</v>
      </c>
      <c r="E21">
        <v>30331</v>
      </c>
      <c r="F21" s="5">
        <f t="shared" si="0"/>
        <v>0.48529600000000001</v>
      </c>
      <c r="G21" t="s">
        <v>6</v>
      </c>
      <c r="H21">
        <v>674</v>
      </c>
      <c r="I21">
        <f t="shared" si="1"/>
        <v>45.001483679525222</v>
      </c>
      <c r="J21" t="s">
        <v>109</v>
      </c>
      <c r="K21" t="s">
        <v>110</v>
      </c>
      <c r="L21" s="4">
        <v>43528.25</v>
      </c>
      <c r="M21" s="4" t="s">
        <v>49</v>
      </c>
      <c r="N21" s="4" t="s">
        <v>121</v>
      </c>
      <c r="O21" s="4">
        <v>43549.208333333328</v>
      </c>
      <c r="P21" t="b">
        <v>0</v>
      </c>
      <c r="Q21" t="b">
        <v>1</v>
      </c>
      <c r="R21" t="s">
        <v>124</v>
      </c>
      <c r="S21" t="str" cm="1">
        <f t="array" ref="S21:T21">_xlfn.TEXTSPLIT(R21, "/", , FALSE)</f>
        <v>theater</v>
      </c>
      <c r="T21" t="str">
        <v>plays</v>
      </c>
    </row>
    <row r="22" spans="1:20" ht="17" x14ac:dyDescent="0.2">
      <c r="A22">
        <v>20</v>
      </c>
      <c r="B22" t="s">
        <v>172</v>
      </c>
      <c r="C22" s="3" t="s">
        <v>173</v>
      </c>
      <c r="D22">
        <v>131800</v>
      </c>
      <c r="E22">
        <v>147936</v>
      </c>
      <c r="F22" s="5">
        <f t="shared" si="0"/>
        <v>1.1224279210925645</v>
      </c>
      <c r="G22" t="s">
        <v>8</v>
      </c>
      <c r="H22">
        <v>1396</v>
      </c>
      <c r="I22">
        <f t="shared" si="1"/>
        <v>105.97134670487107</v>
      </c>
      <c r="J22" t="s">
        <v>109</v>
      </c>
      <c r="K22" t="s">
        <v>110</v>
      </c>
      <c r="L22" s="4">
        <v>41848.208333333336</v>
      </c>
      <c r="M22" s="4" t="s">
        <v>53</v>
      </c>
      <c r="N22" s="4" t="s">
        <v>111</v>
      </c>
      <c r="O22" s="4">
        <v>41848.208333333336</v>
      </c>
      <c r="P22" t="b">
        <v>0</v>
      </c>
      <c r="Q22" t="b">
        <v>0</v>
      </c>
      <c r="R22" t="s">
        <v>146</v>
      </c>
      <c r="S22" t="str" cm="1">
        <f t="array" ref="S22:T22">_xlfn.TEXTSPLIT(R22, "/", , FALSE)</f>
        <v>film &amp; video</v>
      </c>
      <c r="T22" t="str">
        <v>drama</v>
      </c>
    </row>
    <row r="23" spans="1:20" ht="17" x14ac:dyDescent="0.2">
      <c r="A23">
        <v>21</v>
      </c>
      <c r="B23" t="s">
        <v>174</v>
      </c>
      <c r="C23" s="3" t="s">
        <v>175</v>
      </c>
      <c r="D23">
        <v>94000</v>
      </c>
      <c r="E23">
        <v>38533</v>
      </c>
      <c r="F23" s="5">
        <f t="shared" si="0"/>
        <v>0.40992553191489361</v>
      </c>
      <c r="G23" t="s">
        <v>6</v>
      </c>
      <c r="H23">
        <v>558</v>
      </c>
      <c r="I23">
        <f t="shared" si="1"/>
        <v>69.055555555555557</v>
      </c>
      <c r="J23" t="s">
        <v>109</v>
      </c>
      <c r="K23" t="s">
        <v>110</v>
      </c>
      <c r="L23" s="4">
        <v>40770.208333333336</v>
      </c>
      <c r="M23" s="4" t="s">
        <v>54</v>
      </c>
      <c r="N23" s="4" t="s">
        <v>165</v>
      </c>
      <c r="O23" s="4">
        <v>40804.208333333336</v>
      </c>
      <c r="P23" t="b">
        <v>0</v>
      </c>
      <c r="Q23" t="b">
        <v>0</v>
      </c>
      <c r="R23" t="s">
        <v>124</v>
      </c>
      <c r="S23" t="str" cm="1">
        <f t="array" ref="S23:T23">_xlfn.TEXTSPLIT(R23, "/", , FALSE)</f>
        <v>theater</v>
      </c>
      <c r="T23" t="str">
        <v>plays</v>
      </c>
    </row>
    <row r="24" spans="1:20" ht="17" x14ac:dyDescent="0.2">
      <c r="A24">
        <v>22</v>
      </c>
      <c r="B24" t="s">
        <v>176</v>
      </c>
      <c r="C24" s="3" t="s">
        <v>177</v>
      </c>
      <c r="D24">
        <v>59100</v>
      </c>
      <c r="E24">
        <v>75690</v>
      </c>
      <c r="F24" s="5">
        <f t="shared" si="0"/>
        <v>1.2807106598984772</v>
      </c>
      <c r="G24" t="s">
        <v>8</v>
      </c>
      <c r="H24">
        <v>890</v>
      </c>
      <c r="I24">
        <f t="shared" si="1"/>
        <v>85.044943820224717</v>
      </c>
      <c r="J24" t="s">
        <v>109</v>
      </c>
      <c r="K24" t="s">
        <v>110</v>
      </c>
      <c r="L24" s="4">
        <v>43193.208333333328</v>
      </c>
      <c r="M24" s="4" t="s">
        <v>50</v>
      </c>
      <c r="N24" s="4" t="s">
        <v>169</v>
      </c>
      <c r="O24" s="4">
        <v>43208.208333333328</v>
      </c>
      <c r="P24" t="b">
        <v>0</v>
      </c>
      <c r="Q24" t="b">
        <v>0</v>
      </c>
      <c r="R24" t="s">
        <v>124</v>
      </c>
      <c r="S24" t="str" cm="1">
        <f t="array" ref="S24:T24">_xlfn.TEXTSPLIT(R24, "/", , FALSE)</f>
        <v>theater</v>
      </c>
      <c r="T24" t="str">
        <v>plays</v>
      </c>
    </row>
    <row r="25" spans="1:20" ht="17" x14ac:dyDescent="0.2">
      <c r="A25">
        <v>23</v>
      </c>
      <c r="B25" t="s">
        <v>178</v>
      </c>
      <c r="C25" s="3" t="s">
        <v>179</v>
      </c>
      <c r="D25">
        <v>4500</v>
      </c>
      <c r="E25">
        <v>14942</v>
      </c>
      <c r="F25" s="5">
        <f t="shared" si="0"/>
        <v>3.3204444444444445</v>
      </c>
      <c r="G25" t="s">
        <v>8</v>
      </c>
      <c r="H25">
        <v>142</v>
      </c>
      <c r="I25">
        <f t="shared" si="1"/>
        <v>105.22535211267606</v>
      </c>
      <c r="J25" t="s">
        <v>132</v>
      </c>
      <c r="K25" t="s">
        <v>133</v>
      </c>
      <c r="L25" s="4">
        <v>43510.25</v>
      </c>
      <c r="M25" s="4" t="s">
        <v>48</v>
      </c>
      <c r="N25" s="4" t="s">
        <v>121</v>
      </c>
      <c r="O25" s="4">
        <v>43563.208333333328</v>
      </c>
      <c r="P25" t="b">
        <v>0</v>
      </c>
      <c r="Q25" t="b">
        <v>0</v>
      </c>
      <c r="R25" t="s">
        <v>135</v>
      </c>
      <c r="S25" t="str" cm="1">
        <f t="array" ref="S25:T25">_xlfn.TEXTSPLIT(R25, "/", , FALSE)</f>
        <v>film &amp; video</v>
      </c>
      <c r="T25" t="str">
        <v>documentary</v>
      </c>
    </row>
    <row r="26" spans="1:20" ht="17" x14ac:dyDescent="0.2">
      <c r="A26">
        <v>24</v>
      </c>
      <c r="B26" t="s">
        <v>180</v>
      </c>
      <c r="C26" s="3" t="s">
        <v>181</v>
      </c>
      <c r="D26">
        <v>92400</v>
      </c>
      <c r="E26">
        <v>104257</v>
      </c>
      <c r="F26" s="5">
        <f t="shared" si="0"/>
        <v>1.1283225108225108</v>
      </c>
      <c r="G26" t="s">
        <v>8</v>
      </c>
      <c r="H26">
        <v>2673</v>
      </c>
      <c r="I26">
        <f t="shared" si="1"/>
        <v>39.003741114852225</v>
      </c>
      <c r="J26" t="s">
        <v>109</v>
      </c>
      <c r="K26" t="s">
        <v>110</v>
      </c>
      <c r="L26" s="4">
        <v>41811.208333333336</v>
      </c>
      <c r="M26" s="4" t="s">
        <v>52</v>
      </c>
      <c r="N26" s="4" t="s">
        <v>111</v>
      </c>
      <c r="O26" s="4">
        <v>41813.208333333336</v>
      </c>
      <c r="P26" t="b">
        <v>0</v>
      </c>
      <c r="Q26" t="b">
        <v>0</v>
      </c>
      <c r="R26" t="s">
        <v>159</v>
      </c>
      <c r="S26" t="str" cm="1">
        <f t="array" ref="S26:T26">_xlfn.TEXTSPLIT(R26, "/", , FALSE)</f>
        <v>technology</v>
      </c>
      <c r="T26" t="str">
        <v>wearables</v>
      </c>
    </row>
    <row r="27" spans="1:20" ht="17" x14ac:dyDescent="0.2">
      <c r="A27">
        <v>25</v>
      </c>
      <c r="B27" t="s">
        <v>182</v>
      </c>
      <c r="C27" s="3" t="s">
        <v>183</v>
      </c>
      <c r="D27">
        <v>5500</v>
      </c>
      <c r="E27">
        <v>11904</v>
      </c>
      <c r="F27" s="5">
        <f t="shared" si="0"/>
        <v>2.1643636363636363</v>
      </c>
      <c r="G27" t="s">
        <v>8</v>
      </c>
      <c r="H27">
        <v>163</v>
      </c>
      <c r="I27">
        <f t="shared" si="1"/>
        <v>73.030674846625772</v>
      </c>
      <c r="J27" t="s">
        <v>109</v>
      </c>
      <c r="K27" t="s">
        <v>110</v>
      </c>
      <c r="L27" s="4">
        <v>40681.208333333336</v>
      </c>
      <c r="M27" s="4" t="s">
        <v>51</v>
      </c>
      <c r="N27" s="4" t="s">
        <v>165</v>
      </c>
      <c r="O27" s="4">
        <v>40701.208333333336</v>
      </c>
      <c r="P27" t="b">
        <v>0</v>
      </c>
      <c r="Q27" t="b">
        <v>1</v>
      </c>
      <c r="R27" t="s">
        <v>184</v>
      </c>
      <c r="S27" t="str" cm="1">
        <f t="array" ref="S27:T27">_xlfn.TEXTSPLIT(R27, "/", , FALSE)</f>
        <v>games</v>
      </c>
      <c r="T27" t="str">
        <v>video games</v>
      </c>
    </row>
    <row r="28" spans="1:20" ht="17" x14ac:dyDescent="0.2">
      <c r="A28">
        <v>26</v>
      </c>
      <c r="B28" t="s">
        <v>185</v>
      </c>
      <c r="C28" s="3" t="s">
        <v>186</v>
      </c>
      <c r="D28">
        <v>107500</v>
      </c>
      <c r="E28">
        <v>51814</v>
      </c>
      <c r="F28" s="5">
        <f t="shared" si="0"/>
        <v>0.4819906976744186</v>
      </c>
      <c r="G28" t="s">
        <v>5</v>
      </c>
      <c r="H28">
        <v>1480</v>
      </c>
      <c r="I28">
        <f t="shared" si="1"/>
        <v>35.009459459459457</v>
      </c>
      <c r="J28" t="s">
        <v>109</v>
      </c>
      <c r="K28" t="s">
        <v>110</v>
      </c>
      <c r="L28" s="4">
        <v>43312.208333333328</v>
      </c>
      <c r="M28" s="4" t="s">
        <v>53</v>
      </c>
      <c r="N28" s="4" t="s">
        <v>169</v>
      </c>
      <c r="O28" s="4">
        <v>43339.208333333328</v>
      </c>
      <c r="P28" t="b">
        <v>0</v>
      </c>
      <c r="Q28" t="b">
        <v>0</v>
      </c>
      <c r="R28" t="s">
        <v>124</v>
      </c>
      <c r="S28" t="str" cm="1">
        <f t="array" ref="S28:T28">_xlfn.TEXTSPLIT(R28, "/", , FALSE)</f>
        <v>theater</v>
      </c>
      <c r="T28" t="str">
        <v>plays</v>
      </c>
    </row>
    <row r="29" spans="1:20" ht="17" x14ac:dyDescent="0.2">
      <c r="A29">
        <v>27</v>
      </c>
      <c r="B29" t="s">
        <v>187</v>
      </c>
      <c r="C29" s="3" t="s">
        <v>188</v>
      </c>
      <c r="D29">
        <v>2000</v>
      </c>
      <c r="E29">
        <v>1599</v>
      </c>
      <c r="F29" s="5">
        <f t="shared" si="0"/>
        <v>0.79949999999999999</v>
      </c>
      <c r="G29" t="s">
        <v>6</v>
      </c>
      <c r="H29">
        <v>15</v>
      </c>
      <c r="I29">
        <f t="shared" si="1"/>
        <v>106.6</v>
      </c>
      <c r="J29" t="s">
        <v>109</v>
      </c>
      <c r="K29" t="s">
        <v>110</v>
      </c>
      <c r="L29" s="4">
        <v>42280.208333333328</v>
      </c>
      <c r="M29" s="4" t="s">
        <v>56</v>
      </c>
      <c r="N29" s="4" t="s">
        <v>105</v>
      </c>
      <c r="O29" s="4">
        <v>42288.208333333328</v>
      </c>
      <c r="P29" t="b">
        <v>0</v>
      </c>
      <c r="Q29" t="b">
        <v>0</v>
      </c>
      <c r="R29" t="s">
        <v>112</v>
      </c>
      <c r="S29" t="str" cm="1">
        <f t="array" ref="S29:T29">_xlfn.TEXTSPLIT(R29, "/", , FALSE)</f>
        <v>music</v>
      </c>
      <c r="T29" t="str">
        <v>rock</v>
      </c>
    </row>
    <row r="30" spans="1:20" ht="17" x14ac:dyDescent="0.2">
      <c r="A30">
        <v>28</v>
      </c>
      <c r="B30" t="s">
        <v>189</v>
      </c>
      <c r="C30" s="3" t="s">
        <v>190</v>
      </c>
      <c r="D30">
        <v>130800</v>
      </c>
      <c r="E30">
        <v>137635</v>
      </c>
      <c r="F30" s="5">
        <f t="shared" si="0"/>
        <v>1.0522553516819573</v>
      </c>
      <c r="G30" t="s">
        <v>8</v>
      </c>
      <c r="H30">
        <v>2220</v>
      </c>
      <c r="I30">
        <f t="shared" si="1"/>
        <v>61.997747747747745</v>
      </c>
      <c r="J30" t="s">
        <v>109</v>
      </c>
      <c r="K30" t="s">
        <v>110</v>
      </c>
      <c r="L30" s="4">
        <v>40218.25</v>
      </c>
      <c r="M30" s="4" t="s">
        <v>48</v>
      </c>
      <c r="N30" s="4" t="s">
        <v>140</v>
      </c>
      <c r="O30" s="4">
        <v>40241.25</v>
      </c>
      <c r="P30" t="b">
        <v>0</v>
      </c>
      <c r="Q30" t="b">
        <v>1</v>
      </c>
      <c r="R30" t="s">
        <v>124</v>
      </c>
      <c r="S30" t="str" cm="1">
        <f t="array" ref="S30:T30">_xlfn.TEXTSPLIT(R30, "/", , FALSE)</f>
        <v>theater</v>
      </c>
      <c r="T30" t="str">
        <v>plays</v>
      </c>
    </row>
    <row r="31" spans="1:20" ht="17" x14ac:dyDescent="0.2">
      <c r="A31">
        <v>29</v>
      </c>
      <c r="B31" t="s">
        <v>191</v>
      </c>
      <c r="C31" s="3" t="s">
        <v>192</v>
      </c>
      <c r="D31">
        <v>45900</v>
      </c>
      <c r="E31">
        <v>150965</v>
      </c>
      <c r="F31" s="5">
        <f t="shared" si="0"/>
        <v>3.2889978213507627</v>
      </c>
      <c r="G31" t="s">
        <v>8</v>
      </c>
      <c r="H31">
        <v>1606</v>
      </c>
      <c r="I31">
        <f t="shared" si="1"/>
        <v>94.000622665006233</v>
      </c>
      <c r="J31" t="s">
        <v>193</v>
      </c>
      <c r="K31" t="s">
        <v>194</v>
      </c>
      <c r="L31" s="4">
        <v>43301.208333333328</v>
      </c>
      <c r="M31" s="4" t="s">
        <v>53</v>
      </c>
      <c r="N31" s="4" t="s">
        <v>169</v>
      </c>
      <c r="O31" s="4">
        <v>43341.208333333328</v>
      </c>
      <c r="P31" t="b">
        <v>0</v>
      </c>
      <c r="Q31" t="b">
        <v>0</v>
      </c>
      <c r="R31" t="s">
        <v>195</v>
      </c>
      <c r="S31" t="str" cm="1">
        <f t="array" ref="S31:T31">_xlfn.TEXTSPLIT(R31, "/", , FALSE)</f>
        <v>film &amp; video</v>
      </c>
      <c r="T31" t="str">
        <v>shorts</v>
      </c>
    </row>
    <row r="32" spans="1:20" ht="17" x14ac:dyDescent="0.2">
      <c r="A32">
        <v>30</v>
      </c>
      <c r="B32" t="s">
        <v>196</v>
      </c>
      <c r="C32" s="3" t="s">
        <v>197</v>
      </c>
      <c r="D32">
        <v>9000</v>
      </c>
      <c r="E32">
        <v>14455</v>
      </c>
      <c r="F32" s="5">
        <f t="shared" si="0"/>
        <v>1.606111111111111</v>
      </c>
      <c r="G32" t="s">
        <v>8</v>
      </c>
      <c r="H32">
        <v>129</v>
      </c>
      <c r="I32">
        <f t="shared" si="1"/>
        <v>112.05426356589147</v>
      </c>
      <c r="J32" t="s">
        <v>109</v>
      </c>
      <c r="K32" t="s">
        <v>110</v>
      </c>
      <c r="L32" s="4">
        <v>43609.208333333328</v>
      </c>
      <c r="M32" s="4" t="s">
        <v>51</v>
      </c>
      <c r="N32" s="4" t="s">
        <v>121</v>
      </c>
      <c r="O32" s="4">
        <v>43614.208333333328</v>
      </c>
      <c r="P32" t="b">
        <v>0</v>
      </c>
      <c r="Q32" t="b">
        <v>0</v>
      </c>
      <c r="R32" t="s">
        <v>166</v>
      </c>
      <c r="S32" t="str" cm="1">
        <f t="array" ref="S32:T32">_xlfn.TEXTSPLIT(R32, "/", , FALSE)</f>
        <v>film &amp; video</v>
      </c>
      <c r="T32" t="str">
        <v>animation</v>
      </c>
    </row>
    <row r="33" spans="1:20" ht="17" x14ac:dyDescent="0.2">
      <c r="A33">
        <v>31</v>
      </c>
      <c r="B33" t="s">
        <v>198</v>
      </c>
      <c r="C33" s="3" t="s">
        <v>199</v>
      </c>
      <c r="D33">
        <v>3500</v>
      </c>
      <c r="E33">
        <v>10850</v>
      </c>
      <c r="F33" s="5">
        <f t="shared" si="0"/>
        <v>3.1</v>
      </c>
      <c r="G33" t="s">
        <v>8</v>
      </c>
      <c r="H33">
        <v>226</v>
      </c>
      <c r="I33">
        <f t="shared" si="1"/>
        <v>48.008849557522126</v>
      </c>
      <c r="J33" t="s">
        <v>132</v>
      </c>
      <c r="K33" t="s">
        <v>133</v>
      </c>
      <c r="L33" s="4">
        <v>42374.25</v>
      </c>
      <c r="M33" s="4" t="s">
        <v>47</v>
      </c>
      <c r="N33" s="4" t="s">
        <v>153</v>
      </c>
      <c r="O33" s="4">
        <v>42402.25</v>
      </c>
      <c r="P33" t="b">
        <v>0</v>
      </c>
      <c r="Q33" t="b">
        <v>0</v>
      </c>
      <c r="R33" t="s">
        <v>184</v>
      </c>
      <c r="S33" t="str" cm="1">
        <f t="array" ref="S33:T33">_xlfn.TEXTSPLIT(R33, "/", , FALSE)</f>
        <v>games</v>
      </c>
      <c r="T33" t="str">
        <v>video games</v>
      </c>
    </row>
    <row r="34" spans="1:20" ht="17" x14ac:dyDescent="0.2">
      <c r="A34">
        <v>32</v>
      </c>
      <c r="B34" t="s">
        <v>200</v>
      </c>
      <c r="C34" s="3" t="s">
        <v>201</v>
      </c>
      <c r="D34">
        <v>101000</v>
      </c>
      <c r="E34">
        <v>87676</v>
      </c>
      <c r="F34" s="5">
        <f t="shared" si="0"/>
        <v>0.86807920792079207</v>
      </c>
      <c r="G34" t="s">
        <v>6</v>
      </c>
      <c r="H34">
        <v>2307</v>
      </c>
      <c r="I34">
        <f t="shared" si="1"/>
        <v>38.004334633723452</v>
      </c>
      <c r="J34" t="s">
        <v>202</v>
      </c>
      <c r="K34" t="s">
        <v>203</v>
      </c>
      <c r="L34" s="4">
        <v>43110.25</v>
      </c>
      <c r="M34" s="4" t="s">
        <v>47</v>
      </c>
      <c r="N34" s="4" t="s">
        <v>169</v>
      </c>
      <c r="O34" s="4">
        <v>43137.25</v>
      </c>
      <c r="P34" t="b">
        <v>0</v>
      </c>
      <c r="Q34" t="b">
        <v>0</v>
      </c>
      <c r="R34" t="s">
        <v>135</v>
      </c>
      <c r="S34" t="str" cm="1">
        <f t="array" ref="S34:T34">_xlfn.TEXTSPLIT(R34, "/", , FALSE)</f>
        <v>film &amp; video</v>
      </c>
      <c r="T34" t="str">
        <v>documentary</v>
      </c>
    </row>
    <row r="35" spans="1:20" ht="17" x14ac:dyDescent="0.2">
      <c r="A35">
        <v>33</v>
      </c>
      <c r="B35" t="s">
        <v>204</v>
      </c>
      <c r="C35" s="3" t="s">
        <v>205</v>
      </c>
      <c r="D35">
        <v>50200</v>
      </c>
      <c r="E35">
        <v>189666</v>
      </c>
      <c r="F35" s="5">
        <f t="shared" si="0"/>
        <v>3.7782071713147412</v>
      </c>
      <c r="G35" t="s">
        <v>8</v>
      </c>
      <c r="H35">
        <v>5419</v>
      </c>
      <c r="I35">
        <f t="shared" si="1"/>
        <v>35.000184535892231</v>
      </c>
      <c r="J35" t="s">
        <v>109</v>
      </c>
      <c r="K35" t="s">
        <v>110</v>
      </c>
      <c r="L35" s="4">
        <v>41917.208333333336</v>
      </c>
      <c r="M35" s="4" t="s">
        <v>56</v>
      </c>
      <c r="N35" s="4" t="s">
        <v>111</v>
      </c>
      <c r="O35" s="4">
        <v>41954.25</v>
      </c>
      <c r="P35" t="b">
        <v>0</v>
      </c>
      <c r="Q35" t="b">
        <v>0</v>
      </c>
      <c r="R35" t="s">
        <v>124</v>
      </c>
      <c r="S35" t="str" cm="1">
        <f t="array" ref="S35:T35">_xlfn.TEXTSPLIT(R35, "/", , FALSE)</f>
        <v>theater</v>
      </c>
      <c r="T35" t="str">
        <v>plays</v>
      </c>
    </row>
    <row r="36" spans="1:20" ht="34" x14ac:dyDescent="0.2">
      <c r="A36">
        <v>34</v>
      </c>
      <c r="B36" t="s">
        <v>206</v>
      </c>
      <c r="C36" s="3" t="s">
        <v>207</v>
      </c>
      <c r="D36">
        <v>9300</v>
      </c>
      <c r="E36">
        <v>14025</v>
      </c>
      <c r="F36" s="5">
        <f t="shared" si="0"/>
        <v>1.5080645161290323</v>
      </c>
      <c r="G36" t="s">
        <v>8</v>
      </c>
      <c r="H36">
        <v>165</v>
      </c>
      <c r="I36">
        <f t="shared" si="1"/>
        <v>85</v>
      </c>
      <c r="J36" t="s">
        <v>109</v>
      </c>
      <c r="K36" t="s">
        <v>110</v>
      </c>
      <c r="L36" s="4">
        <v>42817.208333333328</v>
      </c>
      <c r="M36" s="4" t="s">
        <v>49</v>
      </c>
      <c r="N36" s="4" t="s">
        <v>134</v>
      </c>
      <c r="O36" s="4">
        <v>42822.208333333328</v>
      </c>
      <c r="P36" t="b">
        <v>0</v>
      </c>
      <c r="Q36" t="b">
        <v>0</v>
      </c>
      <c r="R36" t="s">
        <v>135</v>
      </c>
      <c r="S36" t="str" cm="1">
        <f t="array" ref="S36:T36">_xlfn.TEXTSPLIT(R36, "/", , FALSE)</f>
        <v>film &amp; video</v>
      </c>
      <c r="T36" t="str">
        <v>documentary</v>
      </c>
    </row>
    <row r="37" spans="1:20" ht="17" x14ac:dyDescent="0.2">
      <c r="A37">
        <v>35</v>
      </c>
      <c r="B37" t="s">
        <v>208</v>
      </c>
      <c r="C37" s="3" t="s">
        <v>209</v>
      </c>
      <c r="D37">
        <v>125500</v>
      </c>
      <c r="E37">
        <v>188628</v>
      </c>
      <c r="F37" s="5">
        <f t="shared" si="0"/>
        <v>1.5030119521912351</v>
      </c>
      <c r="G37" t="s">
        <v>8</v>
      </c>
      <c r="H37">
        <v>1965</v>
      </c>
      <c r="I37">
        <f t="shared" si="1"/>
        <v>95.993893129770996</v>
      </c>
      <c r="J37" t="s">
        <v>127</v>
      </c>
      <c r="K37" t="s">
        <v>128</v>
      </c>
      <c r="L37" s="4">
        <v>43484.25</v>
      </c>
      <c r="M37" s="4" t="s">
        <v>47</v>
      </c>
      <c r="N37" s="4" t="s">
        <v>121</v>
      </c>
      <c r="O37" s="4">
        <v>43526.25</v>
      </c>
      <c r="P37" t="b">
        <v>0</v>
      </c>
      <c r="Q37" t="b">
        <v>1</v>
      </c>
      <c r="R37" t="s">
        <v>146</v>
      </c>
      <c r="S37" t="str" cm="1">
        <f t="array" ref="S37:T37">_xlfn.TEXTSPLIT(R37, "/", , FALSE)</f>
        <v>film &amp; video</v>
      </c>
      <c r="T37" t="str">
        <v>drama</v>
      </c>
    </row>
    <row r="38" spans="1:20" ht="17" x14ac:dyDescent="0.2">
      <c r="A38">
        <v>36</v>
      </c>
      <c r="B38" t="s">
        <v>210</v>
      </c>
      <c r="C38" s="3" t="s">
        <v>211</v>
      </c>
      <c r="D38">
        <v>700</v>
      </c>
      <c r="E38">
        <v>1101</v>
      </c>
      <c r="F38" s="5">
        <f t="shared" si="0"/>
        <v>1.572857142857143</v>
      </c>
      <c r="G38" t="s">
        <v>8</v>
      </c>
      <c r="H38">
        <v>16</v>
      </c>
      <c r="I38">
        <f t="shared" si="1"/>
        <v>68.8125</v>
      </c>
      <c r="J38" t="s">
        <v>109</v>
      </c>
      <c r="K38" t="s">
        <v>110</v>
      </c>
      <c r="L38" s="4">
        <v>40600.25</v>
      </c>
      <c r="M38" s="4" t="s">
        <v>48</v>
      </c>
      <c r="N38" s="4" t="s">
        <v>165</v>
      </c>
      <c r="O38" s="4">
        <v>40625.208333333336</v>
      </c>
      <c r="P38" t="b">
        <v>0</v>
      </c>
      <c r="Q38" t="b">
        <v>0</v>
      </c>
      <c r="R38" t="s">
        <v>124</v>
      </c>
      <c r="S38" t="str" cm="1">
        <f t="array" ref="S38:T38">_xlfn.TEXTSPLIT(R38, "/", , FALSE)</f>
        <v>theater</v>
      </c>
      <c r="T38" t="str">
        <v>plays</v>
      </c>
    </row>
    <row r="39" spans="1:20" ht="34" x14ac:dyDescent="0.2">
      <c r="A39">
        <v>37</v>
      </c>
      <c r="B39" t="s">
        <v>212</v>
      </c>
      <c r="C39" s="3" t="s">
        <v>213</v>
      </c>
      <c r="D39">
        <v>8100</v>
      </c>
      <c r="E39">
        <v>11339</v>
      </c>
      <c r="F39" s="5">
        <f t="shared" si="0"/>
        <v>1.3998765432098765</v>
      </c>
      <c r="G39" t="s">
        <v>8</v>
      </c>
      <c r="H39">
        <v>107</v>
      </c>
      <c r="I39">
        <f t="shared" si="1"/>
        <v>105.97196261682242</v>
      </c>
      <c r="J39" t="s">
        <v>109</v>
      </c>
      <c r="K39" t="s">
        <v>110</v>
      </c>
      <c r="L39" s="4">
        <v>43744.208333333328</v>
      </c>
      <c r="M39" s="4" t="s">
        <v>56</v>
      </c>
      <c r="N39" s="4" t="s">
        <v>121</v>
      </c>
      <c r="O39" s="4">
        <v>43777.25</v>
      </c>
      <c r="P39" t="b">
        <v>0</v>
      </c>
      <c r="Q39" t="b">
        <v>1</v>
      </c>
      <c r="R39" t="s">
        <v>214</v>
      </c>
      <c r="S39" t="str" cm="1">
        <f t="array" ref="S39:T39">_xlfn.TEXTSPLIT(R39, "/", , FALSE)</f>
        <v>publishing</v>
      </c>
      <c r="T39" t="str">
        <v>fiction</v>
      </c>
    </row>
    <row r="40" spans="1:20" ht="17" x14ac:dyDescent="0.2">
      <c r="A40">
        <v>38</v>
      </c>
      <c r="B40" t="s">
        <v>215</v>
      </c>
      <c r="C40" s="3" t="s">
        <v>216</v>
      </c>
      <c r="D40">
        <v>3100</v>
      </c>
      <c r="E40">
        <v>10085</v>
      </c>
      <c r="F40" s="5">
        <f t="shared" si="0"/>
        <v>3.2532258064516131</v>
      </c>
      <c r="G40" t="s">
        <v>8</v>
      </c>
      <c r="H40">
        <v>134</v>
      </c>
      <c r="I40">
        <f t="shared" si="1"/>
        <v>75.261194029850742</v>
      </c>
      <c r="J40" t="s">
        <v>109</v>
      </c>
      <c r="K40" t="s">
        <v>110</v>
      </c>
      <c r="L40" s="4">
        <v>40469.208333333336</v>
      </c>
      <c r="M40" s="4" t="s">
        <v>56</v>
      </c>
      <c r="N40" s="4" t="s">
        <v>140</v>
      </c>
      <c r="O40" s="4">
        <v>40474.208333333336</v>
      </c>
      <c r="P40" t="b">
        <v>0</v>
      </c>
      <c r="Q40" t="b">
        <v>0</v>
      </c>
      <c r="R40" t="s">
        <v>217</v>
      </c>
      <c r="S40" t="str" cm="1">
        <f t="array" ref="S40:T40">_xlfn.TEXTSPLIT(R40, "/", , FALSE)</f>
        <v>photography</v>
      </c>
      <c r="T40" t="str">
        <v>photography books</v>
      </c>
    </row>
    <row r="41" spans="1:20" ht="17" x14ac:dyDescent="0.2">
      <c r="A41">
        <v>39</v>
      </c>
      <c r="B41" t="s">
        <v>218</v>
      </c>
      <c r="C41" s="3" t="s">
        <v>219</v>
      </c>
      <c r="D41">
        <v>9900</v>
      </c>
      <c r="E41">
        <v>5027</v>
      </c>
      <c r="F41" s="5">
        <f t="shared" si="0"/>
        <v>0.50777777777777777</v>
      </c>
      <c r="G41" t="s">
        <v>6</v>
      </c>
      <c r="H41">
        <v>88</v>
      </c>
      <c r="I41">
        <f t="shared" si="1"/>
        <v>57.125</v>
      </c>
      <c r="J41" t="s">
        <v>127</v>
      </c>
      <c r="K41" t="s">
        <v>128</v>
      </c>
      <c r="L41" s="4">
        <v>41330.25</v>
      </c>
      <c r="M41" s="4" t="s">
        <v>48</v>
      </c>
      <c r="N41" s="4" t="s">
        <v>117</v>
      </c>
      <c r="O41" s="4">
        <v>41344.208333333336</v>
      </c>
      <c r="P41" t="b">
        <v>0</v>
      </c>
      <c r="Q41" t="b">
        <v>0</v>
      </c>
      <c r="R41" t="s">
        <v>124</v>
      </c>
      <c r="S41" t="str" cm="1">
        <f t="array" ref="S41:T41">_xlfn.TEXTSPLIT(R41, "/", , FALSE)</f>
        <v>theater</v>
      </c>
      <c r="T41" t="str">
        <v>plays</v>
      </c>
    </row>
    <row r="42" spans="1:20" ht="17" x14ac:dyDescent="0.2">
      <c r="A42">
        <v>40</v>
      </c>
      <c r="B42" t="s">
        <v>220</v>
      </c>
      <c r="C42" s="3" t="s">
        <v>221</v>
      </c>
      <c r="D42">
        <v>8800</v>
      </c>
      <c r="E42">
        <v>14878</v>
      </c>
      <c r="F42" s="5">
        <f t="shared" si="0"/>
        <v>1.6906818181818182</v>
      </c>
      <c r="G42" t="s">
        <v>8</v>
      </c>
      <c r="H42">
        <v>198</v>
      </c>
      <c r="I42">
        <f t="shared" si="1"/>
        <v>75.141414141414145</v>
      </c>
      <c r="J42" t="s">
        <v>109</v>
      </c>
      <c r="K42" t="s">
        <v>110</v>
      </c>
      <c r="L42" s="4">
        <v>40334.208333333336</v>
      </c>
      <c r="M42" s="4" t="s">
        <v>52</v>
      </c>
      <c r="N42" s="4" t="s">
        <v>140</v>
      </c>
      <c r="O42" s="4">
        <v>40353.208333333336</v>
      </c>
      <c r="P42" t="b">
        <v>0</v>
      </c>
      <c r="Q42" t="b">
        <v>1</v>
      </c>
      <c r="R42" t="s">
        <v>159</v>
      </c>
      <c r="S42" t="str" cm="1">
        <f t="array" ref="S42:T42">_xlfn.TEXTSPLIT(R42, "/", , FALSE)</f>
        <v>technology</v>
      </c>
      <c r="T42" t="str">
        <v>wearables</v>
      </c>
    </row>
    <row r="43" spans="1:20" ht="17" x14ac:dyDescent="0.2">
      <c r="A43">
        <v>41</v>
      </c>
      <c r="B43" t="s">
        <v>222</v>
      </c>
      <c r="C43" s="3" t="s">
        <v>223</v>
      </c>
      <c r="D43">
        <v>5600</v>
      </c>
      <c r="E43">
        <v>11924</v>
      </c>
      <c r="F43" s="5">
        <f t="shared" si="0"/>
        <v>2.1292857142857144</v>
      </c>
      <c r="G43" t="s">
        <v>8</v>
      </c>
      <c r="H43">
        <v>111</v>
      </c>
      <c r="I43">
        <f t="shared" si="1"/>
        <v>107.42342342342343</v>
      </c>
      <c r="J43" t="s">
        <v>202</v>
      </c>
      <c r="K43" t="s">
        <v>203</v>
      </c>
      <c r="L43" s="4">
        <v>41156.208333333336</v>
      </c>
      <c r="M43" s="4" t="s">
        <v>55</v>
      </c>
      <c r="N43" s="4" t="s">
        <v>129</v>
      </c>
      <c r="O43" s="4">
        <v>41182.208333333336</v>
      </c>
      <c r="P43" t="b">
        <v>0</v>
      </c>
      <c r="Q43" t="b">
        <v>1</v>
      </c>
      <c r="R43" t="s">
        <v>112</v>
      </c>
      <c r="S43" t="str" cm="1">
        <f t="array" ref="S43:T43">_xlfn.TEXTSPLIT(R43, "/", , FALSE)</f>
        <v>music</v>
      </c>
      <c r="T43" t="str">
        <v>rock</v>
      </c>
    </row>
    <row r="44" spans="1:20" ht="17" x14ac:dyDescent="0.2">
      <c r="A44">
        <v>42</v>
      </c>
      <c r="B44" t="s">
        <v>224</v>
      </c>
      <c r="C44" s="3" t="s">
        <v>225</v>
      </c>
      <c r="D44">
        <v>1800</v>
      </c>
      <c r="E44">
        <v>7991</v>
      </c>
      <c r="F44" s="5">
        <f t="shared" si="0"/>
        <v>4.4394444444444447</v>
      </c>
      <c r="G44" t="s">
        <v>8</v>
      </c>
      <c r="H44">
        <v>222</v>
      </c>
      <c r="I44">
        <f t="shared" si="1"/>
        <v>35.995495495495497</v>
      </c>
      <c r="J44" t="s">
        <v>109</v>
      </c>
      <c r="K44" t="s">
        <v>110</v>
      </c>
      <c r="L44" s="4">
        <v>40728.208333333336</v>
      </c>
      <c r="M44" s="4" t="s">
        <v>53</v>
      </c>
      <c r="N44" s="4" t="s">
        <v>165</v>
      </c>
      <c r="O44" s="4">
        <v>40737.208333333336</v>
      </c>
      <c r="P44" t="b">
        <v>0</v>
      </c>
      <c r="Q44" t="b">
        <v>0</v>
      </c>
      <c r="R44" t="s">
        <v>106</v>
      </c>
      <c r="S44" t="str" cm="1">
        <f t="array" ref="S44:T44">_xlfn.TEXTSPLIT(R44, "/", , FALSE)</f>
        <v>food</v>
      </c>
      <c r="T44" t="str">
        <v>food trucks</v>
      </c>
    </row>
    <row r="45" spans="1:20" ht="17" x14ac:dyDescent="0.2">
      <c r="A45">
        <v>43</v>
      </c>
      <c r="B45" t="s">
        <v>226</v>
      </c>
      <c r="C45" s="3" t="s">
        <v>227</v>
      </c>
      <c r="D45">
        <v>90200</v>
      </c>
      <c r="E45">
        <v>167717</v>
      </c>
      <c r="F45" s="5">
        <f t="shared" si="0"/>
        <v>1.859390243902439</v>
      </c>
      <c r="G45" t="s">
        <v>8</v>
      </c>
      <c r="H45">
        <v>6212</v>
      </c>
      <c r="I45">
        <f t="shared" si="1"/>
        <v>26.998873148744366</v>
      </c>
      <c r="J45" t="s">
        <v>109</v>
      </c>
      <c r="K45" t="s">
        <v>110</v>
      </c>
      <c r="L45" s="4">
        <v>41844.208333333336</v>
      </c>
      <c r="M45" s="4" t="s">
        <v>53</v>
      </c>
      <c r="N45" s="4" t="s">
        <v>111</v>
      </c>
      <c r="O45" s="4">
        <v>41860.208333333336</v>
      </c>
      <c r="P45" t="b">
        <v>0</v>
      </c>
      <c r="Q45" t="b">
        <v>0</v>
      </c>
      <c r="R45" t="s">
        <v>228</v>
      </c>
      <c r="S45" t="str" cm="1">
        <f t="array" ref="S45:T45">_xlfn.TEXTSPLIT(R45, "/", , FALSE)</f>
        <v>publishing</v>
      </c>
      <c r="T45" t="str">
        <v>radio &amp; podcasts</v>
      </c>
    </row>
    <row r="46" spans="1:20" ht="17" x14ac:dyDescent="0.2">
      <c r="A46">
        <v>44</v>
      </c>
      <c r="B46" t="s">
        <v>229</v>
      </c>
      <c r="C46" s="3" t="s">
        <v>230</v>
      </c>
      <c r="D46">
        <v>1600</v>
      </c>
      <c r="E46">
        <v>10541</v>
      </c>
      <c r="F46" s="5">
        <f t="shared" si="0"/>
        <v>6.5881249999999998</v>
      </c>
      <c r="G46" t="s">
        <v>8</v>
      </c>
      <c r="H46">
        <v>98</v>
      </c>
      <c r="I46">
        <f t="shared" si="1"/>
        <v>107.56122448979592</v>
      </c>
      <c r="J46" t="s">
        <v>127</v>
      </c>
      <c r="K46" t="s">
        <v>128</v>
      </c>
      <c r="L46" s="4">
        <v>43541.208333333328</v>
      </c>
      <c r="M46" s="4" t="s">
        <v>49</v>
      </c>
      <c r="N46" s="4" t="s">
        <v>121</v>
      </c>
      <c r="O46" s="4">
        <v>43542.208333333328</v>
      </c>
      <c r="P46" t="b">
        <v>0</v>
      </c>
      <c r="Q46" t="b">
        <v>0</v>
      </c>
      <c r="R46" t="s">
        <v>214</v>
      </c>
      <c r="S46" t="str" cm="1">
        <f t="array" ref="S46:T46">_xlfn.TEXTSPLIT(R46, "/", , FALSE)</f>
        <v>publishing</v>
      </c>
      <c r="T46" t="str">
        <v>fiction</v>
      </c>
    </row>
    <row r="47" spans="1:20" ht="34" x14ac:dyDescent="0.2">
      <c r="A47">
        <v>45</v>
      </c>
      <c r="B47" t="s">
        <v>231</v>
      </c>
      <c r="C47" s="3" t="s">
        <v>232</v>
      </c>
      <c r="D47">
        <v>9500</v>
      </c>
      <c r="E47">
        <v>4530</v>
      </c>
      <c r="F47" s="5">
        <f t="shared" si="0"/>
        <v>0.4768421052631579</v>
      </c>
      <c r="G47" t="s">
        <v>6</v>
      </c>
      <c r="H47">
        <v>48</v>
      </c>
      <c r="I47">
        <f t="shared" si="1"/>
        <v>94.375</v>
      </c>
      <c r="J47" t="s">
        <v>109</v>
      </c>
      <c r="K47" t="s">
        <v>110</v>
      </c>
      <c r="L47" s="4">
        <v>42676.208333333328</v>
      </c>
      <c r="M47" s="4" t="s">
        <v>57</v>
      </c>
      <c r="N47" s="4" t="s">
        <v>153</v>
      </c>
      <c r="O47" s="4">
        <v>42691.25</v>
      </c>
      <c r="P47" t="b">
        <v>0</v>
      </c>
      <c r="Q47" t="b">
        <v>1</v>
      </c>
      <c r="R47" t="s">
        <v>124</v>
      </c>
      <c r="S47" t="str" cm="1">
        <f t="array" ref="S47:T47">_xlfn.TEXTSPLIT(R47, "/", , FALSE)</f>
        <v>theater</v>
      </c>
      <c r="T47" t="str">
        <v>plays</v>
      </c>
    </row>
    <row r="48" spans="1:20" ht="17" x14ac:dyDescent="0.2">
      <c r="A48">
        <v>46</v>
      </c>
      <c r="B48" t="s">
        <v>233</v>
      </c>
      <c r="C48" s="3" t="s">
        <v>234</v>
      </c>
      <c r="D48">
        <v>3700</v>
      </c>
      <c r="E48">
        <v>4247</v>
      </c>
      <c r="F48" s="5">
        <f t="shared" si="0"/>
        <v>1.1478378378378378</v>
      </c>
      <c r="G48" t="s">
        <v>8</v>
      </c>
      <c r="H48">
        <v>92</v>
      </c>
      <c r="I48">
        <f t="shared" si="1"/>
        <v>46.163043478260867</v>
      </c>
      <c r="J48" t="s">
        <v>109</v>
      </c>
      <c r="K48" t="s">
        <v>110</v>
      </c>
      <c r="L48" s="4">
        <v>40367.208333333336</v>
      </c>
      <c r="M48" s="4" t="s">
        <v>53</v>
      </c>
      <c r="N48" s="4" t="s">
        <v>140</v>
      </c>
      <c r="O48" s="4">
        <v>40390.208333333336</v>
      </c>
      <c r="P48" t="b">
        <v>0</v>
      </c>
      <c r="Q48" t="b">
        <v>0</v>
      </c>
      <c r="R48" t="s">
        <v>112</v>
      </c>
      <c r="S48" t="str" cm="1">
        <f t="array" ref="S48:T48">_xlfn.TEXTSPLIT(R48, "/", , FALSE)</f>
        <v>music</v>
      </c>
      <c r="T48" t="str">
        <v>rock</v>
      </c>
    </row>
    <row r="49" spans="1:20" ht="17" x14ac:dyDescent="0.2">
      <c r="A49">
        <v>47</v>
      </c>
      <c r="B49" t="s">
        <v>235</v>
      </c>
      <c r="C49" s="3" t="s">
        <v>236</v>
      </c>
      <c r="D49">
        <v>1500</v>
      </c>
      <c r="E49">
        <v>7129</v>
      </c>
      <c r="F49" s="5">
        <f t="shared" si="0"/>
        <v>4.7526666666666664</v>
      </c>
      <c r="G49" t="s">
        <v>8</v>
      </c>
      <c r="H49">
        <v>149</v>
      </c>
      <c r="I49">
        <f t="shared" si="1"/>
        <v>47.845637583892618</v>
      </c>
      <c r="J49" t="s">
        <v>109</v>
      </c>
      <c r="K49" t="s">
        <v>110</v>
      </c>
      <c r="L49" s="4">
        <v>41727.208333333336</v>
      </c>
      <c r="M49" s="4" t="s">
        <v>49</v>
      </c>
      <c r="N49" s="4" t="s">
        <v>111</v>
      </c>
      <c r="O49" s="4">
        <v>41757.208333333336</v>
      </c>
      <c r="P49" t="b">
        <v>0</v>
      </c>
      <c r="Q49" t="b">
        <v>0</v>
      </c>
      <c r="R49" t="s">
        <v>124</v>
      </c>
      <c r="S49" t="str" cm="1">
        <f t="array" ref="S49:T49">_xlfn.TEXTSPLIT(R49, "/", , FALSE)</f>
        <v>theater</v>
      </c>
      <c r="T49" t="str">
        <v>plays</v>
      </c>
    </row>
    <row r="50" spans="1:20" ht="17" x14ac:dyDescent="0.2">
      <c r="A50">
        <v>48</v>
      </c>
      <c r="B50" t="s">
        <v>237</v>
      </c>
      <c r="C50" s="3" t="s">
        <v>238</v>
      </c>
      <c r="D50">
        <v>33300</v>
      </c>
      <c r="E50">
        <v>128862</v>
      </c>
      <c r="F50" s="5">
        <f t="shared" si="0"/>
        <v>3.86972972972973</v>
      </c>
      <c r="G50" t="s">
        <v>8</v>
      </c>
      <c r="H50">
        <v>2431</v>
      </c>
      <c r="I50">
        <f t="shared" si="1"/>
        <v>53.007815713698065</v>
      </c>
      <c r="J50" t="s">
        <v>109</v>
      </c>
      <c r="K50" t="s">
        <v>110</v>
      </c>
      <c r="L50" s="4">
        <v>42180.208333333328</v>
      </c>
      <c r="M50" s="4" t="s">
        <v>52</v>
      </c>
      <c r="N50" s="4" t="s">
        <v>105</v>
      </c>
      <c r="O50" s="4">
        <v>42192.208333333328</v>
      </c>
      <c r="P50" t="b">
        <v>0</v>
      </c>
      <c r="Q50" t="b">
        <v>0</v>
      </c>
      <c r="R50" t="s">
        <v>124</v>
      </c>
      <c r="S50" t="str" cm="1">
        <f t="array" ref="S50:T50">_xlfn.TEXTSPLIT(R50, "/", , FALSE)</f>
        <v>theater</v>
      </c>
      <c r="T50" t="str">
        <v>plays</v>
      </c>
    </row>
    <row r="51" spans="1:20" ht="17" x14ac:dyDescent="0.2">
      <c r="A51">
        <v>49</v>
      </c>
      <c r="B51" t="s">
        <v>239</v>
      </c>
      <c r="C51" s="3" t="s">
        <v>240</v>
      </c>
      <c r="D51">
        <v>7200</v>
      </c>
      <c r="E51">
        <v>13653</v>
      </c>
      <c r="F51" s="5">
        <f t="shared" si="0"/>
        <v>1.89625</v>
      </c>
      <c r="G51" t="s">
        <v>8</v>
      </c>
      <c r="H51">
        <v>303</v>
      </c>
      <c r="I51">
        <f t="shared" si="1"/>
        <v>45.059405940594061</v>
      </c>
      <c r="J51" t="s">
        <v>109</v>
      </c>
      <c r="K51" t="s">
        <v>110</v>
      </c>
      <c r="L51" s="4">
        <v>43758.208333333328</v>
      </c>
      <c r="M51" s="4" t="s">
        <v>56</v>
      </c>
      <c r="N51" s="4" t="s">
        <v>121</v>
      </c>
      <c r="O51" s="4">
        <v>43803.25</v>
      </c>
      <c r="P51" t="b">
        <v>0</v>
      </c>
      <c r="Q51" t="b">
        <v>0</v>
      </c>
      <c r="R51" t="s">
        <v>112</v>
      </c>
      <c r="S51" t="str" cm="1">
        <f t="array" ref="S51:T51">_xlfn.TEXTSPLIT(R51, "/", , FALSE)</f>
        <v>music</v>
      </c>
      <c r="T51" t="str">
        <v>rock</v>
      </c>
    </row>
    <row r="52" spans="1:20" ht="34" x14ac:dyDescent="0.2">
      <c r="A52">
        <v>50</v>
      </c>
      <c r="B52" t="s">
        <v>241</v>
      </c>
      <c r="C52" s="3" t="s">
        <v>242</v>
      </c>
      <c r="D52">
        <v>100</v>
      </c>
      <c r="E52">
        <v>2</v>
      </c>
      <c r="F52" s="5">
        <f t="shared" si="0"/>
        <v>0.02</v>
      </c>
      <c r="G52" t="s">
        <v>6</v>
      </c>
      <c r="H52">
        <v>1</v>
      </c>
      <c r="I52">
        <f t="shared" si="1"/>
        <v>2</v>
      </c>
      <c r="J52" t="s">
        <v>202</v>
      </c>
      <c r="K52" t="s">
        <v>203</v>
      </c>
      <c r="L52" s="4">
        <v>41487.208333333336</v>
      </c>
      <c r="M52" s="4" t="s">
        <v>54</v>
      </c>
      <c r="N52" s="4" t="s">
        <v>117</v>
      </c>
      <c r="O52" s="4">
        <v>41515.208333333336</v>
      </c>
      <c r="P52" t="b">
        <v>0</v>
      </c>
      <c r="Q52" t="b">
        <v>0</v>
      </c>
      <c r="R52" t="s">
        <v>243</v>
      </c>
      <c r="S52" t="str" cm="1">
        <f t="array" ref="S52:T52">_xlfn.TEXTSPLIT(R52, "/", , FALSE)</f>
        <v>music</v>
      </c>
      <c r="T52" t="str">
        <v>metal</v>
      </c>
    </row>
    <row r="53" spans="1:20" ht="17" x14ac:dyDescent="0.2">
      <c r="A53">
        <v>51</v>
      </c>
      <c r="B53" t="s">
        <v>244</v>
      </c>
      <c r="C53" s="3" t="s">
        <v>245</v>
      </c>
      <c r="D53">
        <v>158100</v>
      </c>
      <c r="E53">
        <v>145243</v>
      </c>
      <c r="F53" s="5">
        <f t="shared" si="0"/>
        <v>0.91867805186590767</v>
      </c>
      <c r="G53" t="s">
        <v>6</v>
      </c>
      <c r="H53">
        <v>1467</v>
      </c>
      <c r="I53">
        <f t="shared" si="1"/>
        <v>99.006816632583508</v>
      </c>
      <c r="J53" t="s">
        <v>132</v>
      </c>
      <c r="K53" t="s">
        <v>133</v>
      </c>
      <c r="L53" s="4">
        <v>40995.208333333336</v>
      </c>
      <c r="M53" s="4" t="s">
        <v>49</v>
      </c>
      <c r="N53" s="4" t="s">
        <v>129</v>
      </c>
      <c r="O53" s="4">
        <v>41011.208333333336</v>
      </c>
      <c r="P53" t="b">
        <v>0</v>
      </c>
      <c r="Q53" t="b">
        <v>1</v>
      </c>
      <c r="R53" t="s">
        <v>159</v>
      </c>
      <c r="S53" t="str" cm="1">
        <f t="array" ref="S53:T53">_xlfn.TEXTSPLIT(R53, "/", , FALSE)</f>
        <v>technology</v>
      </c>
      <c r="T53" t="str">
        <v>wearables</v>
      </c>
    </row>
    <row r="54" spans="1:20" ht="17" x14ac:dyDescent="0.2">
      <c r="A54">
        <v>52</v>
      </c>
      <c r="B54" t="s">
        <v>246</v>
      </c>
      <c r="C54" s="3" t="s">
        <v>247</v>
      </c>
      <c r="D54">
        <v>7200</v>
      </c>
      <c r="E54">
        <v>2459</v>
      </c>
      <c r="F54" s="5">
        <f t="shared" si="0"/>
        <v>0.34152777777777776</v>
      </c>
      <c r="G54" t="s">
        <v>6</v>
      </c>
      <c r="H54">
        <v>75</v>
      </c>
      <c r="I54">
        <f t="shared" si="1"/>
        <v>32.786666666666669</v>
      </c>
      <c r="J54" t="s">
        <v>109</v>
      </c>
      <c r="K54" t="s">
        <v>110</v>
      </c>
      <c r="L54" s="4">
        <v>40436.208333333336</v>
      </c>
      <c r="M54" s="4" t="s">
        <v>55</v>
      </c>
      <c r="N54" s="4" t="s">
        <v>140</v>
      </c>
      <c r="O54" s="4">
        <v>40440.208333333336</v>
      </c>
      <c r="P54" t="b">
        <v>0</v>
      </c>
      <c r="Q54" t="b">
        <v>0</v>
      </c>
      <c r="R54" t="s">
        <v>124</v>
      </c>
      <c r="S54" t="str" cm="1">
        <f t="array" ref="S54:T54">_xlfn.TEXTSPLIT(R54, "/", , FALSE)</f>
        <v>theater</v>
      </c>
      <c r="T54" t="str">
        <v>plays</v>
      </c>
    </row>
    <row r="55" spans="1:20" ht="17" x14ac:dyDescent="0.2">
      <c r="A55">
        <v>53</v>
      </c>
      <c r="B55" t="s">
        <v>248</v>
      </c>
      <c r="C55" s="3" t="s">
        <v>249</v>
      </c>
      <c r="D55">
        <v>8800</v>
      </c>
      <c r="E55">
        <v>12356</v>
      </c>
      <c r="F55" s="5">
        <f t="shared" si="0"/>
        <v>1.4040909090909091</v>
      </c>
      <c r="G55" t="s">
        <v>8</v>
      </c>
      <c r="H55">
        <v>209</v>
      </c>
      <c r="I55">
        <f t="shared" si="1"/>
        <v>59.119617224880386</v>
      </c>
      <c r="J55" t="s">
        <v>109</v>
      </c>
      <c r="K55" t="s">
        <v>110</v>
      </c>
      <c r="L55" s="4">
        <v>41779.208333333336</v>
      </c>
      <c r="M55" s="4" t="s">
        <v>51</v>
      </c>
      <c r="N55" s="4" t="s">
        <v>111</v>
      </c>
      <c r="O55" s="4">
        <v>41818.208333333336</v>
      </c>
      <c r="P55" t="b">
        <v>0</v>
      </c>
      <c r="Q55" t="b">
        <v>0</v>
      </c>
      <c r="R55" t="s">
        <v>146</v>
      </c>
      <c r="S55" t="str" cm="1">
        <f t="array" ref="S55:T55">_xlfn.TEXTSPLIT(R55, "/", , FALSE)</f>
        <v>film &amp; video</v>
      </c>
      <c r="T55" t="str">
        <v>drama</v>
      </c>
    </row>
    <row r="56" spans="1:20" ht="34" x14ac:dyDescent="0.2">
      <c r="A56">
        <v>54</v>
      </c>
      <c r="B56" t="s">
        <v>250</v>
      </c>
      <c r="C56" s="3" t="s">
        <v>251</v>
      </c>
      <c r="D56">
        <v>6000</v>
      </c>
      <c r="E56">
        <v>5392</v>
      </c>
      <c r="F56" s="5">
        <f t="shared" si="0"/>
        <v>0.89866666666666661</v>
      </c>
      <c r="G56" t="s">
        <v>6</v>
      </c>
      <c r="H56">
        <v>120</v>
      </c>
      <c r="I56">
        <f t="shared" si="1"/>
        <v>44.93333333333333</v>
      </c>
      <c r="J56" t="s">
        <v>109</v>
      </c>
      <c r="K56" t="s">
        <v>110</v>
      </c>
      <c r="L56" s="4">
        <v>43170.25</v>
      </c>
      <c r="M56" s="4" t="s">
        <v>49</v>
      </c>
      <c r="N56" s="4" t="s">
        <v>169</v>
      </c>
      <c r="O56" s="4">
        <v>43176.208333333328</v>
      </c>
      <c r="P56" t="b">
        <v>0</v>
      </c>
      <c r="Q56" t="b">
        <v>0</v>
      </c>
      <c r="R56" t="s">
        <v>159</v>
      </c>
      <c r="S56" t="str" cm="1">
        <f t="array" ref="S56:T56">_xlfn.TEXTSPLIT(R56, "/", , FALSE)</f>
        <v>technology</v>
      </c>
      <c r="T56" t="str">
        <v>wearables</v>
      </c>
    </row>
    <row r="57" spans="1:20" ht="34" x14ac:dyDescent="0.2">
      <c r="A57">
        <v>55</v>
      </c>
      <c r="B57" t="s">
        <v>252</v>
      </c>
      <c r="C57" s="3" t="s">
        <v>253</v>
      </c>
      <c r="D57">
        <v>6600</v>
      </c>
      <c r="E57">
        <v>11746</v>
      </c>
      <c r="F57" s="5">
        <f t="shared" si="0"/>
        <v>1.7796969696969698</v>
      </c>
      <c r="G57" t="s">
        <v>8</v>
      </c>
      <c r="H57">
        <v>131</v>
      </c>
      <c r="I57">
        <f t="shared" si="1"/>
        <v>89.664122137404576</v>
      </c>
      <c r="J57" t="s">
        <v>109</v>
      </c>
      <c r="K57" t="s">
        <v>110</v>
      </c>
      <c r="L57" s="4">
        <v>43311.208333333328</v>
      </c>
      <c r="M57" s="4" t="s">
        <v>53</v>
      </c>
      <c r="N57" s="4" t="s">
        <v>169</v>
      </c>
      <c r="O57" s="4">
        <v>43316.208333333328</v>
      </c>
      <c r="P57" t="b">
        <v>0</v>
      </c>
      <c r="Q57" t="b">
        <v>0</v>
      </c>
      <c r="R57" t="s">
        <v>254</v>
      </c>
      <c r="S57" t="str" cm="1">
        <f t="array" ref="S57:T57">_xlfn.TEXTSPLIT(R57, "/", , FALSE)</f>
        <v>music</v>
      </c>
      <c r="T57" t="str">
        <v>jazz</v>
      </c>
    </row>
    <row r="58" spans="1:20" ht="34" x14ac:dyDescent="0.2">
      <c r="A58">
        <v>56</v>
      </c>
      <c r="B58" t="s">
        <v>255</v>
      </c>
      <c r="C58" s="3" t="s">
        <v>256</v>
      </c>
      <c r="D58">
        <v>8000</v>
      </c>
      <c r="E58">
        <v>11493</v>
      </c>
      <c r="F58" s="5">
        <f t="shared" si="0"/>
        <v>1.436625</v>
      </c>
      <c r="G58" t="s">
        <v>8</v>
      </c>
      <c r="H58">
        <v>164</v>
      </c>
      <c r="I58">
        <f t="shared" si="1"/>
        <v>70.079268292682926</v>
      </c>
      <c r="J58" t="s">
        <v>109</v>
      </c>
      <c r="K58" t="s">
        <v>110</v>
      </c>
      <c r="L58" s="4">
        <v>42014.25</v>
      </c>
      <c r="M58" s="4" t="s">
        <v>47</v>
      </c>
      <c r="N58" s="4" t="s">
        <v>105</v>
      </c>
      <c r="O58" s="4">
        <v>42021.25</v>
      </c>
      <c r="P58" t="b">
        <v>0</v>
      </c>
      <c r="Q58" t="b">
        <v>0</v>
      </c>
      <c r="R58" t="s">
        <v>159</v>
      </c>
      <c r="S58" t="str" cm="1">
        <f t="array" ref="S58:T58">_xlfn.TEXTSPLIT(R58, "/", , FALSE)</f>
        <v>technology</v>
      </c>
      <c r="T58" t="str">
        <v>wearables</v>
      </c>
    </row>
    <row r="59" spans="1:20" ht="17" x14ac:dyDescent="0.2">
      <c r="A59">
        <v>57</v>
      </c>
      <c r="B59" t="s">
        <v>257</v>
      </c>
      <c r="C59" s="3" t="s">
        <v>258</v>
      </c>
      <c r="D59">
        <v>2900</v>
      </c>
      <c r="E59">
        <v>6243</v>
      </c>
      <c r="F59" s="5">
        <f t="shared" si="0"/>
        <v>2.1527586206896552</v>
      </c>
      <c r="G59" t="s">
        <v>8</v>
      </c>
      <c r="H59">
        <v>201</v>
      </c>
      <c r="I59">
        <f t="shared" si="1"/>
        <v>31.059701492537314</v>
      </c>
      <c r="J59" t="s">
        <v>109</v>
      </c>
      <c r="K59" t="s">
        <v>110</v>
      </c>
      <c r="L59" s="4">
        <v>42979.208333333328</v>
      </c>
      <c r="M59" s="4" t="s">
        <v>55</v>
      </c>
      <c r="N59" s="4" t="s">
        <v>134</v>
      </c>
      <c r="O59" s="4">
        <v>42991.208333333328</v>
      </c>
      <c r="P59" t="b">
        <v>0</v>
      </c>
      <c r="Q59" t="b">
        <v>0</v>
      </c>
      <c r="R59" t="s">
        <v>184</v>
      </c>
      <c r="S59" t="str" cm="1">
        <f t="array" ref="S59:T59">_xlfn.TEXTSPLIT(R59, "/", , FALSE)</f>
        <v>games</v>
      </c>
      <c r="T59" t="str">
        <v>video games</v>
      </c>
    </row>
    <row r="60" spans="1:20" ht="17" x14ac:dyDescent="0.2">
      <c r="A60">
        <v>58</v>
      </c>
      <c r="B60" t="s">
        <v>259</v>
      </c>
      <c r="C60" s="3" t="s">
        <v>260</v>
      </c>
      <c r="D60">
        <v>2700</v>
      </c>
      <c r="E60">
        <v>6132</v>
      </c>
      <c r="F60" s="5">
        <f t="shared" si="0"/>
        <v>2.2711111111111113</v>
      </c>
      <c r="G60" t="s">
        <v>8</v>
      </c>
      <c r="H60">
        <v>211</v>
      </c>
      <c r="I60">
        <f t="shared" si="1"/>
        <v>29.061611374407583</v>
      </c>
      <c r="J60" t="s">
        <v>109</v>
      </c>
      <c r="K60" t="s">
        <v>110</v>
      </c>
      <c r="L60" s="4">
        <v>42268.208333333328</v>
      </c>
      <c r="M60" s="4" t="s">
        <v>55</v>
      </c>
      <c r="N60" s="4" t="s">
        <v>105</v>
      </c>
      <c r="O60" s="4">
        <v>42281.208333333328</v>
      </c>
      <c r="P60" t="b">
        <v>0</v>
      </c>
      <c r="Q60" t="b">
        <v>0</v>
      </c>
      <c r="R60" t="s">
        <v>124</v>
      </c>
      <c r="S60" t="str" cm="1">
        <f t="array" ref="S60:T60">_xlfn.TEXTSPLIT(R60, "/", , FALSE)</f>
        <v>theater</v>
      </c>
      <c r="T60" t="str">
        <v>plays</v>
      </c>
    </row>
    <row r="61" spans="1:20" ht="17" x14ac:dyDescent="0.2">
      <c r="A61">
        <v>59</v>
      </c>
      <c r="B61" t="s">
        <v>261</v>
      </c>
      <c r="C61" s="3" t="s">
        <v>262</v>
      </c>
      <c r="D61">
        <v>1400</v>
      </c>
      <c r="E61">
        <v>3851</v>
      </c>
      <c r="F61" s="5">
        <f t="shared" si="0"/>
        <v>2.7507142857142859</v>
      </c>
      <c r="G61" t="s">
        <v>8</v>
      </c>
      <c r="H61">
        <v>128</v>
      </c>
      <c r="I61">
        <f t="shared" si="1"/>
        <v>30.0859375</v>
      </c>
      <c r="J61" t="s">
        <v>109</v>
      </c>
      <c r="K61" t="s">
        <v>110</v>
      </c>
      <c r="L61" s="4">
        <v>42898.208333333328</v>
      </c>
      <c r="M61" s="4" t="s">
        <v>52</v>
      </c>
      <c r="N61" s="4" t="s">
        <v>134</v>
      </c>
      <c r="O61" s="4">
        <v>42913.208333333328</v>
      </c>
      <c r="P61" t="b">
        <v>0</v>
      </c>
      <c r="Q61" t="b">
        <v>1</v>
      </c>
      <c r="R61" t="s">
        <v>124</v>
      </c>
      <c r="S61" t="str" cm="1">
        <f t="array" ref="S61:T61">_xlfn.TEXTSPLIT(R61, "/", , FALSE)</f>
        <v>theater</v>
      </c>
      <c r="T61" t="str">
        <v>plays</v>
      </c>
    </row>
    <row r="62" spans="1:20" ht="17" x14ac:dyDescent="0.2">
      <c r="A62">
        <v>60</v>
      </c>
      <c r="B62" t="s">
        <v>263</v>
      </c>
      <c r="C62" s="3" t="s">
        <v>264</v>
      </c>
      <c r="D62">
        <v>94200</v>
      </c>
      <c r="E62">
        <v>135997</v>
      </c>
      <c r="F62" s="5">
        <f t="shared" si="0"/>
        <v>1.4437048832271762</v>
      </c>
      <c r="G62" t="s">
        <v>8</v>
      </c>
      <c r="H62">
        <v>1600</v>
      </c>
      <c r="I62">
        <f t="shared" si="1"/>
        <v>84.998125000000002</v>
      </c>
      <c r="J62" t="s">
        <v>103</v>
      </c>
      <c r="K62" t="s">
        <v>104</v>
      </c>
      <c r="L62" s="4">
        <v>41107.208333333336</v>
      </c>
      <c r="M62" s="4" t="s">
        <v>53</v>
      </c>
      <c r="N62" s="4" t="s">
        <v>129</v>
      </c>
      <c r="O62" s="4">
        <v>41110.208333333336</v>
      </c>
      <c r="P62" t="b">
        <v>0</v>
      </c>
      <c r="Q62" t="b">
        <v>0</v>
      </c>
      <c r="R62" t="s">
        <v>124</v>
      </c>
      <c r="S62" t="str" cm="1">
        <f t="array" ref="S62:T62">_xlfn.TEXTSPLIT(R62, "/", , FALSE)</f>
        <v>theater</v>
      </c>
      <c r="T62" t="str">
        <v>plays</v>
      </c>
    </row>
    <row r="63" spans="1:20" ht="34" x14ac:dyDescent="0.2">
      <c r="A63">
        <v>61</v>
      </c>
      <c r="B63" t="s">
        <v>265</v>
      </c>
      <c r="C63" s="3" t="s">
        <v>266</v>
      </c>
      <c r="D63">
        <v>199200</v>
      </c>
      <c r="E63">
        <v>184750</v>
      </c>
      <c r="F63" s="5">
        <f t="shared" si="0"/>
        <v>0.92745983935742971</v>
      </c>
      <c r="G63" t="s">
        <v>6</v>
      </c>
      <c r="H63">
        <v>2253</v>
      </c>
      <c r="I63">
        <f t="shared" si="1"/>
        <v>82.001775410563695</v>
      </c>
      <c r="J63" t="s">
        <v>103</v>
      </c>
      <c r="K63" t="s">
        <v>104</v>
      </c>
      <c r="L63" s="4">
        <v>40595.25</v>
      </c>
      <c r="M63" s="4" t="s">
        <v>48</v>
      </c>
      <c r="N63" s="4" t="s">
        <v>165</v>
      </c>
      <c r="O63" s="4">
        <v>40635.208333333336</v>
      </c>
      <c r="P63" t="b">
        <v>0</v>
      </c>
      <c r="Q63" t="b">
        <v>0</v>
      </c>
      <c r="R63" t="s">
        <v>124</v>
      </c>
      <c r="S63" t="str" cm="1">
        <f t="array" ref="S63:T63">_xlfn.TEXTSPLIT(R63, "/", , FALSE)</f>
        <v>theater</v>
      </c>
      <c r="T63" t="str">
        <v>plays</v>
      </c>
    </row>
    <row r="64" spans="1:20" ht="34" x14ac:dyDescent="0.2">
      <c r="A64">
        <v>62</v>
      </c>
      <c r="B64" t="s">
        <v>267</v>
      </c>
      <c r="C64" s="3" t="s">
        <v>268</v>
      </c>
      <c r="D64">
        <v>2000</v>
      </c>
      <c r="E64">
        <v>14452</v>
      </c>
      <c r="F64" s="5">
        <f t="shared" si="0"/>
        <v>7.226</v>
      </c>
      <c r="G64" t="s">
        <v>8</v>
      </c>
      <c r="H64">
        <v>249</v>
      </c>
      <c r="I64">
        <f t="shared" si="1"/>
        <v>58.040160642570278</v>
      </c>
      <c r="J64" t="s">
        <v>109</v>
      </c>
      <c r="K64" t="s">
        <v>110</v>
      </c>
      <c r="L64" s="4">
        <v>42160.208333333328</v>
      </c>
      <c r="M64" s="4" t="s">
        <v>52</v>
      </c>
      <c r="N64" s="4" t="s">
        <v>105</v>
      </c>
      <c r="O64" s="4">
        <v>42161.208333333328</v>
      </c>
      <c r="P64" t="b">
        <v>0</v>
      </c>
      <c r="Q64" t="b">
        <v>0</v>
      </c>
      <c r="R64" t="s">
        <v>118</v>
      </c>
      <c r="S64" t="str" cm="1">
        <f t="array" ref="S64:T64">_xlfn.TEXTSPLIT(R64, "/", , FALSE)</f>
        <v>technology</v>
      </c>
      <c r="T64" t="str">
        <v>web</v>
      </c>
    </row>
    <row r="65" spans="1:20" ht="17" x14ac:dyDescent="0.2">
      <c r="A65">
        <v>63</v>
      </c>
      <c r="B65" t="s">
        <v>269</v>
      </c>
      <c r="C65" s="3" t="s">
        <v>270</v>
      </c>
      <c r="D65">
        <v>4700</v>
      </c>
      <c r="E65">
        <v>557</v>
      </c>
      <c r="F65" s="5">
        <f t="shared" si="0"/>
        <v>0.11851063829787234</v>
      </c>
      <c r="G65" t="s">
        <v>6</v>
      </c>
      <c r="H65">
        <v>5</v>
      </c>
      <c r="I65">
        <f t="shared" si="1"/>
        <v>111.4</v>
      </c>
      <c r="J65" t="s">
        <v>109</v>
      </c>
      <c r="K65" t="s">
        <v>110</v>
      </c>
      <c r="L65" s="4">
        <v>42853.208333333328</v>
      </c>
      <c r="M65" s="4" t="s">
        <v>50</v>
      </c>
      <c r="N65" s="4" t="s">
        <v>134</v>
      </c>
      <c r="O65" s="4">
        <v>42859.208333333328</v>
      </c>
      <c r="P65" t="b">
        <v>0</v>
      </c>
      <c r="Q65" t="b">
        <v>0</v>
      </c>
      <c r="R65" t="s">
        <v>124</v>
      </c>
      <c r="S65" t="str" cm="1">
        <f t="array" ref="S65:T65">_xlfn.TEXTSPLIT(R65, "/", , FALSE)</f>
        <v>theater</v>
      </c>
      <c r="T65" t="str">
        <v>plays</v>
      </c>
    </row>
    <row r="66" spans="1:20" ht="17" x14ac:dyDescent="0.2">
      <c r="A66">
        <v>64</v>
      </c>
      <c r="B66" t="s">
        <v>271</v>
      </c>
      <c r="C66" s="3" t="s">
        <v>272</v>
      </c>
      <c r="D66">
        <v>2800</v>
      </c>
      <c r="E66">
        <v>2734</v>
      </c>
      <c r="F66" s="5">
        <f t="shared" si="0"/>
        <v>0.97642857142857142</v>
      </c>
      <c r="G66" t="s">
        <v>6</v>
      </c>
      <c r="H66">
        <v>38</v>
      </c>
      <c r="I66">
        <f t="shared" si="1"/>
        <v>71.94736842105263</v>
      </c>
      <c r="J66" t="s">
        <v>109</v>
      </c>
      <c r="K66" t="s">
        <v>110</v>
      </c>
      <c r="L66" s="4">
        <v>43283.208333333328</v>
      </c>
      <c r="M66" s="4" t="s">
        <v>53</v>
      </c>
      <c r="N66" s="4" t="s">
        <v>169</v>
      </c>
      <c r="O66" s="4">
        <v>43298.208333333328</v>
      </c>
      <c r="P66" t="b">
        <v>0</v>
      </c>
      <c r="Q66" t="b">
        <v>1</v>
      </c>
      <c r="R66" t="s">
        <v>118</v>
      </c>
      <c r="S66" t="str" cm="1">
        <f t="array" ref="S66:T66">_xlfn.TEXTSPLIT(R66, "/", , FALSE)</f>
        <v>technology</v>
      </c>
      <c r="T66" t="str">
        <v>web</v>
      </c>
    </row>
    <row r="67" spans="1:20" ht="17" x14ac:dyDescent="0.2">
      <c r="A67">
        <v>65</v>
      </c>
      <c r="B67" t="s">
        <v>273</v>
      </c>
      <c r="C67" s="3" t="s">
        <v>274</v>
      </c>
      <c r="D67">
        <v>6100</v>
      </c>
      <c r="E67">
        <v>14405</v>
      </c>
      <c r="F67" s="5">
        <f t="shared" ref="F67:F130" si="2">E67/D67</f>
        <v>2.3614754098360655</v>
      </c>
      <c r="G67" t="s">
        <v>8</v>
      </c>
      <c r="H67">
        <v>236</v>
      </c>
      <c r="I67">
        <f t="shared" ref="I67:I130" si="3">E67/H67</f>
        <v>61.038135593220339</v>
      </c>
      <c r="J67" t="s">
        <v>109</v>
      </c>
      <c r="K67" t="s">
        <v>110</v>
      </c>
      <c r="L67" s="4">
        <v>40570.25</v>
      </c>
      <c r="M67" s="4" t="s">
        <v>47</v>
      </c>
      <c r="N67" s="4" t="s">
        <v>165</v>
      </c>
      <c r="O67" s="4">
        <v>40577.25</v>
      </c>
      <c r="P67" t="b">
        <v>0</v>
      </c>
      <c r="Q67" t="b">
        <v>0</v>
      </c>
      <c r="R67" t="s">
        <v>124</v>
      </c>
      <c r="S67" t="str" cm="1">
        <f t="array" ref="S67:T67">_xlfn.TEXTSPLIT(R67, "/", , FALSE)</f>
        <v>theater</v>
      </c>
      <c r="T67" t="str">
        <v>plays</v>
      </c>
    </row>
    <row r="68" spans="1:20" ht="17" x14ac:dyDescent="0.2">
      <c r="A68">
        <v>66</v>
      </c>
      <c r="B68" t="s">
        <v>275</v>
      </c>
      <c r="C68" s="3" t="s">
        <v>276</v>
      </c>
      <c r="D68">
        <v>2900</v>
      </c>
      <c r="E68">
        <v>1307</v>
      </c>
      <c r="F68" s="5">
        <f t="shared" si="2"/>
        <v>0.45068965517241377</v>
      </c>
      <c r="G68" t="s">
        <v>6</v>
      </c>
      <c r="H68">
        <v>12</v>
      </c>
      <c r="I68">
        <f t="shared" si="3"/>
        <v>108.91666666666667</v>
      </c>
      <c r="J68" t="s">
        <v>109</v>
      </c>
      <c r="K68" t="s">
        <v>110</v>
      </c>
      <c r="L68" s="4">
        <v>42102.208333333328</v>
      </c>
      <c r="M68" s="4" t="s">
        <v>50</v>
      </c>
      <c r="N68" s="4" t="s">
        <v>105</v>
      </c>
      <c r="O68" s="4">
        <v>42107.208333333328</v>
      </c>
      <c r="P68" t="b">
        <v>0</v>
      </c>
      <c r="Q68" t="b">
        <v>1</v>
      </c>
      <c r="R68" t="s">
        <v>124</v>
      </c>
      <c r="S68" t="str" cm="1">
        <f t="array" ref="S68:T68">_xlfn.TEXTSPLIT(R68, "/", , FALSE)</f>
        <v>theater</v>
      </c>
      <c r="T68" t="str">
        <v>plays</v>
      </c>
    </row>
    <row r="69" spans="1:20" ht="34" x14ac:dyDescent="0.2">
      <c r="A69">
        <v>67</v>
      </c>
      <c r="B69" t="s">
        <v>277</v>
      </c>
      <c r="C69" s="3" t="s">
        <v>278</v>
      </c>
      <c r="D69">
        <v>72600</v>
      </c>
      <c r="E69">
        <v>117892</v>
      </c>
      <c r="F69" s="5">
        <f t="shared" si="2"/>
        <v>1.6238567493112948</v>
      </c>
      <c r="G69" t="s">
        <v>8</v>
      </c>
      <c r="H69">
        <v>4065</v>
      </c>
      <c r="I69">
        <f t="shared" si="3"/>
        <v>29.001722017220171</v>
      </c>
      <c r="J69" t="s">
        <v>132</v>
      </c>
      <c r="K69" t="s">
        <v>133</v>
      </c>
      <c r="L69" s="4">
        <v>40203.25</v>
      </c>
      <c r="M69" s="4" t="s">
        <v>47</v>
      </c>
      <c r="N69" s="4" t="s">
        <v>140</v>
      </c>
      <c r="O69" s="4">
        <v>40208.25</v>
      </c>
      <c r="P69" t="b">
        <v>0</v>
      </c>
      <c r="Q69" t="b">
        <v>1</v>
      </c>
      <c r="R69" t="s">
        <v>159</v>
      </c>
      <c r="S69" t="str" cm="1">
        <f t="array" ref="S69:T69">_xlfn.TEXTSPLIT(R69, "/", , FALSE)</f>
        <v>technology</v>
      </c>
      <c r="T69" t="str">
        <v>wearables</v>
      </c>
    </row>
    <row r="70" spans="1:20" ht="17" x14ac:dyDescent="0.2">
      <c r="A70">
        <v>68</v>
      </c>
      <c r="B70" t="s">
        <v>279</v>
      </c>
      <c r="C70" s="3" t="s">
        <v>280</v>
      </c>
      <c r="D70">
        <v>5700</v>
      </c>
      <c r="E70">
        <v>14508</v>
      </c>
      <c r="F70" s="5">
        <f t="shared" si="2"/>
        <v>2.5452631578947367</v>
      </c>
      <c r="G70" t="s">
        <v>8</v>
      </c>
      <c r="H70">
        <v>246</v>
      </c>
      <c r="I70">
        <f t="shared" si="3"/>
        <v>58.975609756097562</v>
      </c>
      <c r="J70" t="s">
        <v>202</v>
      </c>
      <c r="K70" t="s">
        <v>203</v>
      </c>
      <c r="L70" s="4">
        <v>42943.208333333328</v>
      </c>
      <c r="M70" s="4" t="s">
        <v>53</v>
      </c>
      <c r="N70" s="4" t="s">
        <v>134</v>
      </c>
      <c r="O70" s="4">
        <v>42990.208333333328</v>
      </c>
      <c r="P70" t="b">
        <v>0</v>
      </c>
      <c r="Q70" t="b">
        <v>1</v>
      </c>
      <c r="R70" t="s">
        <v>124</v>
      </c>
      <c r="S70" t="str" cm="1">
        <f t="array" ref="S70:T70">_xlfn.TEXTSPLIT(R70, "/", , FALSE)</f>
        <v>theater</v>
      </c>
      <c r="T70" t="str">
        <v>plays</v>
      </c>
    </row>
    <row r="71" spans="1:20" ht="17" x14ac:dyDescent="0.2">
      <c r="A71">
        <v>69</v>
      </c>
      <c r="B71" t="s">
        <v>281</v>
      </c>
      <c r="C71" s="3" t="s">
        <v>282</v>
      </c>
      <c r="D71">
        <v>7900</v>
      </c>
      <c r="E71">
        <v>1901</v>
      </c>
      <c r="F71" s="5">
        <f t="shared" si="2"/>
        <v>0.24063291139240506</v>
      </c>
      <c r="G71" t="s">
        <v>5</v>
      </c>
      <c r="H71">
        <v>17</v>
      </c>
      <c r="I71">
        <f t="shared" si="3"/>
        <v>111.82352941176471</v>
      </c>
      <c r="J71" t="s">
        <v>109</v>
      </c>
      <c r="K71" t="s">
        <v>110</v>
      </c>
      <c r="L71" s="4">
        <v>40531.25</v>
      </c>
      <c r="M71" s="4" t="s">
        <v>58</v>
      </c>
      <c r="N71" s="4" t="s">
        <v>140</v>
      </c>
      <c r="O71" s="4">
        <v>40565.25</v>
      </c>
      <c r="P71" t="b">
        <v>0</v>
      </c>
      <c r="Q71" t="b">
        <v>0</v>
      </c>
      <c r="R71" t="s">
        <v>124</v>
      </c>
      <c r="S71" t="str" cm="1">
        <f t="array" ref="S71:T71">_xlfn.TEXTSPLIT(R71, "/", , FALSE)</f>
        <v>theater</v>
      </c>
      <c r="T71" t="str">
        <v>plays</v>
      </c>
    </row>
    <row r="72" spans="1:20" ht="17" x14ac:dyDescent="0.2">
      <c r="A72">
        <v>70</v>
      </c>
      <c r="B72" t="s">
        <v>283</v>
      </c>
      <c r="C72" s="3" t="s">
        <v>284</v>
      </c>
      <c r="D72">
        <v>128000</v>
      </c>
      <c r="E72">
        <v>158389</v>
      </c>
      <c r="F72" s="5">
        <f t="shared" si="2"/>
        <v>1.2374140625000001</v>
      </c>
      <c r="G72" t="s">
        <v>8</v>
      </c>
      <c r="H72">
        <v>2475</v>
      </c>
      <c r="I72">
        <f t="shared" si="3"/>
        <v>63.995555555555555</v>
      </c>
      <c r="J72" t="s">
        <v>202</v>
      </c>
      <c r="K72" t="s">
        <v>203</v>
      </c>
      <c r="L72" s="4">
        <v>40484.208333333336</v>
      </c>
      <c r="M72" s="4" t="s">
        <v>57</v>
      </c>
      <c r="N72" s="4" t="s">
        <v>140</v>
      </c>
      <c r="O72" s="4">
        <v>40533.25</v>
      </c>
      <c r="P72" t="b">
        <v>0</v>
      </c>
      <c r="Q72" t="b">
        <v>1</v>
      </c>
      <c r="R72" t="s">
        <v>124</v>
      </c>
      <c r="S72" t="str" cm="1">
        <f t="array" ref="S72:T72">_xlfn.TEXTSPLIT(R72, "/", , FALSE)</f>
        <v>theater</v>
      </c>
      <c r="T72" t="str">
        <v>plays</v>
      </c>
    </row>
    <row r="73" spans="1:20" ht="34" x14ac:dyDescent="0.2">
      <c r="A73">
        <v>71</v>
      </c>
      <c r="B73" t="s">
        <v>285</v>
      </c>
      <c r="C73" s="3" t="s">
        <v>286</v>
      </c>
      <c r="D73">
        <v>6000</v>
      </c>
      <c r="E73">
        <v>6484</v>
      </c>
      <c r="F73" s="5">
        <f t="shared" si="2"/>
        <v>1.0806666666666667</v>
      </c>
      <c r="G73" t="s">
        <v>8</v>
      </c>
      <c r="H73">
        <v>76</v>
      </c>
      <c r="I73">
        <f t="shared" si="3"/>
        <v>85.315789473684205</v>
      </c>
      <c r="J73" t="s">
        <v>109</v>
      </c>
      <c r="K73" t="s">
        <v>110</v>
      </c>
      <c r="L73" s="4">
        <v>43799.25</v>
      </c>
      <c r="M73" s="4" t="s">
        <v>57</v>
      </c>
      <c r="N73" s="4" t="s">
        <v>121</v>
      </c>
      <c r="O73" s="4">
        <v>43803.25</v>
      </c>
      <c r="P73" t="b">
        <v>0</v>
      </c>
      <c r="Q73" t="b">
        <v>0</v>
      </c>
      <c r="R73" t="s">
        <v>124</v>
      </c>
      <c r="S73" t="str" cm="1">
        <f t="array" ref="S73:T73">_xlfn.TEXTSPLIT(R73, "/", , FALSE)</f>
        <v>theater</v>
      </c>
      <c r="T73" t="str">
        <v>plays</v>
      </c>
    </row>
    <row r="74" spans="1:20" ht="17" x14ac:dyDescent="0.2">
      <c r="A74">
        <v>72</v>
      </c>
      <c r="B74" t="s">
        <v>287</v>
      </c>
      <c r="C74" s="3" t="s">
        <v>288</v>
      </c>
      <c r="D74">
        <v>600</v>
      </c>
      <c r="E74">
        <v>4022</v>
      </c>
      <c r="F74" s="5">
        <f t="shared" si="2"/>
        <v>6.7033333333333331</v>
      </c>
      <c r="G74" t="s">
        <v>8</v>
      </c>
      <c r="H74">
        <v>54</v>
      </c>
      <c r="I74">
        <f t="shared" si="3"/>
        <v>74.481481481481481</v>
      </c>
      <c r="J74" t="s">
        <v>109</v>
      </c>
      <c r="K74" t="s">
        <v>110</v>
      </c>
      <c r="L74" s="4">
        <v>42186.208333333328</v>
      </c>
      <c r="M74" s="4" t="s">
        <v>53</v>
      </c>
      <c r="N74" s="4" t="s">
        <v>105</v>
      </c>
      <c r="O74" s="4">
        <v>42222.208333333328</v>
      </c>
      <c r="P74" t="b">
        <v>0</v>
      </c>
      <c r="Q74" t="b">
        <v>0</v>
      </c>
      <c r="R74" t="s">
        <v>166</v>
      </c>
      <c r="S74" t="str" cm="1">
        <f t="array" ref="S74:T74">_xlfn.TEXTSPLIT(R74, "/", , FALSE)</f>
        <v>film &amp; video</v>
      </c>
      <c r="T74" t="str">
        <v>animation</v>
      </c>
    </row>
    <row r="75" spans="1:20" ht="17" x14ac:dyDescent="0.2">
      <c r="A75">
        <v>73</v>
      </c>
      <c r="B75" t="s">
        <v>289</v>
      </c>
      <c r="C75" s="3" t="s">
        <v>290</v>
      </c>
      <c r="D75">
        <v>1400</v>
      </c>
      <c r="E75">
        <v>9253</v>
      </c>
      <c r="F75" s="5">
        <f t="shared" si="2"/>
        <v>6.609285714285714</v>
      </c>
      <c r="G75" t="s">
        <v>8</v>
      </c>
      <c r="H75">
        <v>88</v>
      </c>
      <c r="I75">
        <f t="shared" si="3"/>
        <v>105.14772727272727</v>
      </c>
      <c r="J75" t="s">
        <v>109</v>
      </c>
      <c r="K75" t="s">
        <v>110</v>
      </c>
      <c r="L75" s="4">
        <v>42701.25</v>
      </c>
      <c r="M75" s="4" t="s">
        <v>57</v>
      </c>
      <c r="N75" s="4" t="s">
        <v>153</v>
      </c>
      <c r="O75" s="4">
        <v>42704.25</v>
      </c>
      <c r="P75" t="b">
        <v>0</v>
      </c>
      <c r="Q75" t="b">
        <v>0</v>
      </c>
      <c r="R75" t="s">
        <v>254</v>
      </c>
      <c r="S75" t="str" cm="1">
        <f t="array" ref="S75:T75">_xlfn.TEXTSPLIT(R75, "/", , FALSE)</f>
        <v>music</v>
      </c>
      <c r="T75" t="str">
        <v>jazz</v>
      </c>
    </row>
    <row r="76" spans="1:20" ht="17" x14ac:dyDescent="0.2">
      <c r="A76">
        <v>74</v>
      </c>
      <c r="B76" t="s">
        <v>291</v>
      </c>
      <c r="C76" s="3" t="s">
        <v>292</v>
      </c>
      <c r="D76">
        <v>3900</v>
      </c>
      <c r="E76">
        <v>4776</v>
      </c>
      <c r="F76" s="5">
        <f t="shared" si="2"/>
        <v>1.2246153846153847</v>
      </c>
      <c r="G76" t="s">
        <v>8</v>
      </c>
      <c r="H76">
        <v>85</v>
      </c>
      <c r="I76">
        <f t="shared" si="3"/>
        <v>56.188235294117646</v>
      </c>
      <c r="J76" t="s">
        <v>132</v>
      </c>
      <c r="K76" t="s">
        <v>133</v>
      </c>
      <c r="L76" s="4">
        <v>42456.208333333328</v>
      </c>
      <c r="M76" s="4" t="s">
        <v>49</v>
      </c>
      <c r="N76" s="4" t="s">
        <v>153</v>
      </c>
      <c r="O76" s="4">
        <v>42457.208333333328</v>
      </c>
      <c r="P76" t="b">
        <v>0</v>
      </c>
      <c r="Q76" t="b">
        <v>0</v>
      </c>
      <c r="R76" t="s">
        <v>243</v>
      </c>
      <c r="S76" t="str" cm="1">
        <f t="array" ref="S76:T76">_xlfn.TEXTSPLIT(R76, "/", , FALSE)</f>
        <v>music</v>
      </c>
      <c r="T76" t="str">
        <v>metal</v>
      </c>
    </row>
    <row r="77" spans="1:20" ht="17" x14ac:dyDescent="0.2">
      <c r="A77">
        <v>75</v>
      </c>
      <c r="B77" t="s">
        <v>293</v>
      </c>
      <c r="C77" s="3" t="s">
        <v>294</v>
      </c>
      <c r="D77">
        <v>9700</v>
      </c>
      <c r="E77">
        <v>14606</v>
      </c>
      <c r="F77" s="5">
        <f t="shared" si="2"/>
        <v>1.5057731958762886</v>
      </c>
      <c r="G77" t="s">
        <v>8</v>
      </c>
      <c r="H77">
        <v>170</v>
      </c>
      <c r="I77">
        <f t="shared" si="3"/>
        <v>85.917647058823533</v>
      </c>
      <c r="J77" t="s">
        <v>109</v>
      </c>
      <c r="K77" t="s">
        <v>110</v>
      </c>
      <c r="L77" s="4">
        <v>43296.208333333328</v>
      </c>
      <c r="M77" s="4" t="s">
        <v>53</v>
      </c>
      <c r="N77" s="4" t="s">
        <v>169</v>
      </c>
      <c r="O77" s="4">
        <v>43304.208333333328</v>
      </c>
      <c r="P77" t="b">
        <v>0</v>
      </c>
      <c r="Q77" t="b">
        <v>0</v>
      </c>
      <c r="R77" t="s">
        <v>217</v>
      </c>
      <c r="S77" t="str" cm="1">
        <f t="array" ref="S77:T77">_xlfn.TEXTSPLIT(R77, "/", , FALSE)</f>
        <v>photography</v>
      </c>
      <c r="T77" t="str">
        <v>photography books</v>
      </c>
    </row>
    <row r="78" spans="1:20" ht="17" x14ac:dyDescent="0.2">
      <c r="A78">
        <v>76</v>
      </c>
      <c r="B78" t="s">
        <v>295</v>
      </c>
      <c r="C78" s="3" t="s">
        <v>296</v>
      </c>
      <c r="D78">
        <v>122900</v>
      </c>
      <c r="E78">
        <v>95993</v>
      </c>
      <c r="F78" s="5">
        <f t="shared" si="2"/>
        <v>0.78106590724165992</v>
      </c>
      <c r="G78" t="s">
        <v>6</v>
      </c>
      <c r="H78">
        <v>1684</v>
      </c>
      <c r="I78">
        <f t="shared" si="3"/>
        <v>57.00296912114014</v>
      </c>
      <c r="J78" t="s">
        <v>109</v>
      </c>
      <c r="K78" t="s">
        <v>110</v>
      </c>
      <c r="L78" s="4">
        <v>42027.25</v>
      </c>
      <c r="M78" s="4" t="s">
        <v>47</v>
      </c>
      <c r="N78" s="4" t="s">
        <v>105</v>
      </c>
      <c r="O78" s="4">
        <v>42076.208333333328</v>
      </c>
      <c r="P78" t="b">
        <v>1</v>
      </c>
      <c r="Q78" t="b">
        <v>1</v>
      </c>
      <c r="R78" t="s">
        <v>124</v>
      </c>
      <c r="S78" t="str" cm="1">
        <f t="array" ref="S78:T78">_xlfn.TEXTSPLIT(R78, "/", , FALSE)</f>
        <v>theater</v>
      </c>
      <c r="T78" t="str">
        <v>plays</v>
      </c>
    </row>
    <row r="79" spans="1:20" ht="17" x14ac:dyDescent="0.2">
      <c r="A79">
        <v>77</v>
      </c>
      <c r="B79" t="s">
        <v>297</v>
      </c>
      <c r="C79" s="3" t="s">
        <v>298</v>
      </c>
      <c r="D79">
        <v>9500</v>
      </c>
      <c r="E79">
        <v>4460</v>
      </c>
      <c r="F79" s="5">
        <f t="shared" si="2"/>
        <v>0.46947368421052632</v>
      </c>
      <c r="G79" t="s">
        <v>6</v>
      </c>
      <c r="H79">
        <v>56</v>
      </c>
      <c r="I79">
        <f t="shared" si="3"/>
        <v>79.642857142857139</v>
      </c>
      <c r="J79" t="s">
        <v>109</v>
      </c>
      <c r="K79" t="s">
        <v>110</v>
      </c>
      <c r="L79" s="4">
        <v>40448.208333333336</v>
      </c>
      <c r="M79" s="4" t="s">
        <v>55</v>
      </c>
      <c r="N79" s="4" t="s">
        <v>140</v>
      </c>
      <c r="O79" s="4">
        <v>40462.208333333336</v>
      </c>
      <c r="P79" t="b">
        <v>0</v>
      </c>
      <c r="Q79" t="b">
        <v>1</v>
      </c>
      <c r="R79" t="s">
        <v>166</v>
      </c>
      <c r="S79" t="str" cm="1">
        <f t="array" ref="S79:T79">_xlfn.TEXTSPLIT(R79, "/", , FALSE)</f>
        <v>film &amp; video</v>
      </c>
      <c r="T79" t="str">
        <v>animation</v>
      </c>
    </row>
    <row r="80" spans="1:20" ht="34" x14ac:dyDescent="0.2">
      <c r="A80">
        <v>78</v>
      </c>
      <c r="B80" t="s">
        <v>299</v>
      </c>
      <c r="C80" s="3" t="s">
        <v>300</v>
      </c>
      <c r="D80">
        <v>4500</v>
      </c>
      <c r="E80">
        <v>13536</v>
      </c>
      <c r="F80" s="5">
        <f t="shared" si="2"/>
        <v>3.008</v>
      </c>
      <c r="G80" t="s">
        <v>8</v>
      </c>
      <c r="H80">
        <v>330</v>
      </c>
      <c r="I80">
        <f t="shared" si="3"/>
        <v>41.018181818181816</v>
      </c>
      <c r="J80" t="s">
        <v>109</v>
      </c>
      <c r="K80" t="s">
        <v>110</v>
      </c>
      <c r="L80" s="4">
        <v>43206.208333333328</v>
      </c>
      <c r="M80" s="4" t="s">
        <v>50</v>
      </c>
      <c r="N80" s="4" t="s">
        <v>169</v>
      </c>
      <c r="O80" s="4">
        <v>43207.208333333328</v>
      </c>
      <c r="P80" t="b">
        <v>0</v>
      </c>
      <c r="Q80" t="b">
        <v>0</v>
      </c>
      <c r="R80" t="s">
        <v>301</v>
      </c>
      <c r="S80" t="str" cm="1">
        <f t="array" ref="S80:T80">_xlfn.TEXTSPLIT(R80, "/", , FALSE)</f>
        <v>publishing</v>
      </c>
      <c r="T80" t="str">
        <v>translations</v>
      </c>
    </row>
    <row r="81" spans="1:20" ht="17" x14ac:dyDescent="0.2">
      <c r="A81">
        <v>79</v>
      </c>
      <c r="B81" t="s">
        <v>302</v>
      </c>
      <c r="C81" s="3" t="s">
        <v>303</v>
      </c>
      <c r="D81">
        <v>57800</v>
      </c>
      <c r="E81">
        <v>40228</v>
      </c>
      <c r="F81" s="5">
        <f t="shared" si="2"/>
        <v>0.6959861591695502</v>
      </c>
      <c r="G81" t="s">
        <v>6</v>
      </c>
      <c r="H81">
        <v>838</v>
      </c>
      <c r="I81">
        <f t="shared" si="3"/>
        <v>48.004773269689736</v>
      </c>
      <c r="J81" t="s">
        <v>109</v>
      </c>
      <c r="K81" t="s">
        <v>110</v>
      </c>
      <c r="L81" s="4">
        <v>43267.208333333328</v>
      </c>
      <c r="M81" s="4" t="s">
        <v>52</v>
      </c>
      <c r="N81" s="4" t="s">
        <v>169</v>
      </c>
      <c r="O81" s="4">
        <v>43272.208333333328</v>
      </c>
      <c r="P81" t="b">
        <v>0</v>
      </c>
      <c r="Q81" t="b">
        <v>0</v>
      </c>
      <c r="R81" t="s">
        <v>124</v>
      </c>
      <c r="S81" t="str" cm="1">
        <f t="array" ref="S81:T81">_xlfn.TEXTSPLIT(R81, "/", , FALSE)</f>
        <v>theater</v>
      </c>
      <c r="T81" t="str">
        <v>plays</v>
      </c>
    </row>
    <row r="82" spans="1:20" ht="17" x14ac:dyDescent="0.2">
      <c r="A82">
        <v>80</v>
      </c>
      <c r="B82" t="s">
        <v>304</v>
      </c>
      <c r="C82" s="3" t="s">
        <v>305</v>
      </c>
      <c r="D82">
        <v>1100</v>
      </c>
      <c r="E82">
        <v>7012</v>
      </c>
      <c r="F82" s="5">
        <f t="shared" si="2"/>
        <v>6.374545454545455</v>
      </c>
      <c r="G82" t="s">
        <v>8</v>
      </c>
      <c r="H82">
        <v>127</v>
      </c>
      <c r="I82">
        <f t="shared" si="3"/>
        <v>55.212598425196852</v>
      </c>
      <c r="J82" t="s">
        <v>109</v>
      </c>
      <c r="K82" t="s">
        <v>110</v>
      </c>
      <c r="L82" s="4">
        <v>42976.208333333328</v>
      </c>
      <c r="M82" s="4" t="s">
        <v>54</v>
      </c>
      <c r="N82" s="4" t="s">
        <v>134</v>
      </c>
      <c r="O82" s="4">
        <v>43006.208333333328</v>
      </c>
      <c r="P82" t="b">
        <v>0</v>
      </c>
      <c r="Q82" t="b">
        <v>0</v>
      </c>
      <c r="R82" t="s">
        <v>184</v>
      </c>
      <c r="S82" t="str" cm="1">
        <f t="array" ref="S82:T82">_xlfn.TEXTSPLIT(R82, "/", , FALSE)</f>
        <v>games</v>
      </c>
      <c r="T82" t="str">
        <v>video games</v>
      </c>
    </row>
    <row r="83" spans="1:20" ht="17" x14ac:dyDescent="0.2">
      <c r="A83">
        <v>81</v>
      </c>
      <c r="B83" t="s">
        <v>306</v>
      </c>
      <c r="C83" s="3" t="s">
        <v>307</v>
      </c>
      <c r="D83">
        <v>16800</v>
      </c>
      <c r="E83">
        <v>37857</v>
      </c>
      <c r="F83" s="5">
        <f t="shared" si="2"/>
        <v>2.253392857142857</v>
      </c>
      <c r="G83" t="s">
        <v>8</v>
      </c>
      <c r="H83">
        <v>411</v>
      </c>
      <c r="I83">
        <f t="shared" si="3"/>
        <v>92.109489051094897</v>
      </c>
      <c r="J83" t="s">
        <v>109</v>
      </c>
      <c r="K83" t="s">
        <v>110</v>
      </c>
      <c r="L83" s="4">
        <v>43062.25</v>
      </c>
      <c r="M83" s="4" t="s">
        <v>57</v>
      </c>
      <c r="N83" s="4" t="s">
        <v>134</v>
      </c>
      <c r="O83" s="4">
        <v>43087.25</v>
      </c>
      <c r="P83" t="b">
        <v>0</v>
      </c>
      <c r="Q83" t="b">
        <v>0</v>
      </c>
      <c r="R83" t="s">
        <v>112</v>
      </c>
      <c r="S83" t="str" cm="1">
        <f t="array" ref="S83:T83">_xlfn.TEXTSPLIT(R83, "/", , FALSE)</f>
        <v>music</v>
      </c>
      <c r="T83" t="str">
        <v>rock</v>
      </c>
    </row>
    <row r="84" spans="1:20" ht="17" x14ac:dyDescent="0.2">
      <c r="A84">
        <v>82</v>
      </c>
      <c r="B84" t="s">
        <v>308</v>
      </c>
      <c r="C84" s="3" t="s">
        <v>309</v>
      </c>
      <c r="D84">
        <v>1000</v>
      </c>
      <c r="E84">
        <v>14973</v>
      </c>
      <c r="F84" s="5">
        <f t="shared" si="2"/>
        <v>14.973000000000001</v>
      </c>
      <c r="G84" t="s">
        <v>8</v>
      </c>
      <c r="H84">
        <v>180</v>
      </c>
      <c r="I84">
        <f t="shared" si="3"/>
        <v>83.183333333333337</v>
      </c>
      <c r="J84" t="s">
        <v>132</v>
      </c>
      <c r="K84" t="s">
        <v>133</v>
      </c>
      <c r="L84" s="4">
        <v>43482.25</v>
      </c>
      <c r="M84" s="4" t="s">
        <v>47</v>
      </c>
      <c r="N84" s="4" t="s">
        <v>121</v>
      </c>
      <c r="O84" s="4">
        <v>43489.25</v>
      </c>
      <c r="P84" t="b">
        <v>0</v>
      </c>
      <c r="Q84" t="b">
        <v>1</v>
      </c>
      <c r="R84" t="s">
        <v>184</v>
      </c>
      <c r="S84" t="str" cm="1">
        <f t="array" ref="S84:T84">_xlfn.TEXTSPLIT(R84, "/", , FALSE)</f>
        <v>games</v>
      </c>
      <c r="T84" t="str">
        <v>video games</v>
      </c>
    </row>
    <row r="85" spans="1:20" ht="17" x14ac:dyDescent="0.2">
      <c r="A85">
        <v>83</v>
      </c>
      <c r="B85" t="s">
        <v>310</v>
      </c>
      <c r="C85" s="3" t="s">
        <v>311</v>
      </c>
      <c r="D85">
        <v>106400</v>
      </c>
      <c r="E85">
        <v>39996</v>
      </c>
      <c r="F85" s="5">
        <f t="shared" si="2"/>
        <v>0.37590225563909774</v>
      </c>
      <c r="G85" t="s">
        <v>6</v>
      </c>
      <c r="H85">
        <v>1000</v>
      </c>
      <c r="I85">
        <f t="shared" si="3"/>
        <v>39.996000000000002</v>
      </c>
      <c r="J85" t="s">
        <v>109</v>
      </c>
      <c r="K85" t="s">
        <v>110</v>
      </c>
      <c r="L85" s="4">
        <v>42579.208333333328</v>
      </c>
      <c r="M85" s="4" t="s">
        <v>53</v>
      </c>
      <c r="N85" s="4" t="s">
        <v>153</v>
      </c>
      <c r="O85" s="4">
        <v>42601.208333333328</v>
      </c>
      <c r="P85" t="b">
        <v>0</v>
      </c>
      <c r="Q85" t="b">
        <v>0</v>
      </c>
      <c r="R85" t="s">
        <v>143</v>
      </c>
      <c r="S85" t="str" cm="1">
        <f t="array" ref="S85:T85">_xlfn.TEXTSPLIT(R85, "/", , FALSE)</f>
        <v>music</v>
      </c>
      <c r="T85" t="str">
        <v>electric music</v>
      </c>
    </row>
    <row r="86" spans="1:20" ht="17" x14ac:dyDescent="0.2">
      <c r="A86">
        <v>84</v>
      </c>
      <c r="B86" t="s">
        <v>312</v>
      </c>
      <c r="C86" s="3" t="s">
        <v>313</v>
      </c>
      <c r="D86">
        <v>31400</v>
      </c>
      <c r="E86">
        <v>41564</v>
      </c>
      <c r="F86" s="5">
        <f t="shared" si="2"/>
        <v>1.3236942675159236</v>
      </c>
      <c r="G86" t="s">
        <v>8</v>
      </c>
      <c r="H86">
        <v>374</v>
      </c>
      <c r="I86">
        <f t="shared" si="3"/>
        <v>111.1336898395722</v>
      </c>
      <c r="J86" t="s">
        <v>109</v>
      </c>
      <c r="K86" t="s">
        <v>110</v>
      </c>
      <c r="L86" s="4">
        <v>41118.208333333336</v>
      </c>
      <c r="M86" s="4" t="s">
        <v>53</v>
      </c>
      <c r="N86" s="4" t="s">
        <v>129</v>
      </c>
      <c r="O86" s="4">
        <v>41128.208333333336</v>
      </c>
      <c r="P86" t="b">
        <v>0</v>
      </c>
      <c r="Q86" t="b">
        <v>0</v>
      </c>
      <c r="R86" t="s">
        <v>159</v>
      </c>
      <c r="S86" t="str" cm="1">
        <f t="array" ref="S86:T86">_xlfn.TEXTSPLIT(R86, "/", , FALSE)</f>
        <v>technology</v>
      </c>
      <c r="T86" t="str">
        <v>wearables</v>
      </c>
    </row>
    <row r="87" spans="1:20" ht="17" x14ac:dyDescent="0.2">
      <c r="A87">
        <v>85</v>
      </c>
      <c r="B87" t="s">
        <v>314</v>
      </c>
      <c r="C87" s="3" t="s">
        <v>315</v>
      </c>
      <c r="D87">
        <v>4900</v>
      </c>
      <c r="E87">
        <v>6430</v>
      </c>
      <c r="F87" s="5">
        <f t="shared" si="2"/>
        <v>1.3122448979591836</v>
      </c>
      <c r="G87" t="s">
        <v>8</v>
      </c>
      <c r="H87">
        <v>71</v>
      </c>
      <c r="I87">
        <f t="shared" si="3"/>
        <v>90.563380281690144</v>
      </c>
      <c r="J87" t="s">
        <v>115</v>
      </c>
      <c r="K87" t="s">
        <v>116</v>
      </c>
      <c r="L87" s="4">
        <v>40797.208333333336</v>
      </c>
      <c r="M87" s="4" t="s">
        <v>55</v>
      </c>
      <c r="N87" s="4" t="s">
        <v>165</v>
      </c>
      <c r="O87" s="4">
        <v>40805.208333333336</v>
      </c>
      <c r="P87" t="b">
        <v>0</v>
      </c>
      <c r="Q87" t="b">
        <v>0</v>
      </c>
      <c r="R87" t="s">
        <v>154</v>
      </c>
      <c r="S87" t="str" cm="1">
        <f t="array" ref="S87:T87">_xlfn.TEXTSPLIT(R87, "/", , FALSE)</f>
        <v>music</v>
      </c>
      <c r="T87" t="str">
        <v>indie rock</v>
      </c>
    </row>
    <row r="88" spans="1:20" ht="17" x14ac:dyDescent="0.2">
      <c r="A88">
        <v>86</v>
      </c>
      <c r="B88" t="s">
        <v>316</v>
      </c>
      <c r="C88" s="3" t="s">
        <v>317</v>
      </c>
      <c r="D88">
        <v>7400</v>
      </c>
      <c r="E88">
        <v>12405</v>
      </c>
      <c r="F88" s="5">
        <f t="shared" si="2"/>
        <v>1.6763513513513513</v>
      </c>
      <c r="G88" t="s">
        <v>8</v>
      </c>
      <c r="H88">
        <v>203</v>
      </c>
      <c r="I88">
        <f t="shared" si="3"/>
        <v>61.108374384236456</v>
      </c>
      <c r="J88" t="s">
        <v>109</v>
      </c>
      <c r="K88" t="s">
        <v>110</v>
      </c>
      <c r="L88" s="4">
        <v>42128.208333333328</v>
      </c>
      <c r="M88" s="4" t="s">
        <v>51</v>
      </c>
      <c r="N88" s="4" t="s">
        <v>105</v>
      </c>
      <c r="O88" s="4">
        <v>42141.208333333328</v>
      </c>
      <c r="P88" t="b">
        <v>1</v>
      </c>
      <c r="Q88" t="b">
        <v>0</v>
      </c>
      <c r="R88" t="s">
        <v>124</v>
      </c>
      <c r="S88" t="str" cm="1">
        <f t="array" ref="S88:T88">_xlfn.TEXTSPLIT(R88, "/", , FALSE)</f>
        <v>theater</v>
      </c>
      <c r="T88" t="str">
        <v>plays</v>
      </c>
    </row>
    <row r="89" spans="1:20" ht="34" x14ac:dyDescent="0.2">
      <c r="A89">
        <v>87</v>
      </c>
      <c r="B89" t="s">
        <v>318</v>
      </c>
      <c r="C89" s="3" t="s">
        <v>319</v>
      </c>
      <c r="D89">
        <v>198500</v>
      </c>
      <c r="E89">
        <v>123040</v>
      </c>
      <c r="F89" s="5">
        <f t="shared" si="2"/>
        <v>0.6198488664987406</v>
      </c>
      <c r="G89" t="s">
        <v>6</v>
      </c>
      <c r="H89">
        <v>1482</v>
      </c>
      <c r="I89">
        <f t="shared" si="3"/>
        <v>83.022941970310384</v>
      </c>
      <c r="J89" t="s">
        <v>115</v>
      </c>
      <c r="K89" t="s">
        <v>116</v>
      </c>
      <c r="L89" s="4">
        <v>40610.25</v>
      </c>
      <c r="M89" s="4" t="s">
        <v>49</v>
      </c>
      <c r="N89" s="4" t="s">
        <v>165</v>
      </c>
      <c r="O89" s="4">
        <v>40621.208333333336</v>
      </c>
      <c r="P89" t="b">
        <v>0</v>
      </c>
      <c r="Q89" t="b">
        <v>1</v>
      </c>
      <c r="R89" t="s">
        <v>112</v>
      </c>
      <c r="S89" t="str" cm="1">
        <f t="array" ref="S89:T89">_xlfn.TEXTSPLIT(R89, "/", , FALSE)</f>
        <v>music</v>
      </c>
      <c r="T89" t="str">
        <v>rock</v>
      </c>
    </row>
    <row r="90" spans="1:20" ht="17" x14ac:dyDescent="0.2">
      <c r="A90">
        <v>88</v>
      </c>
      <c r="B90" t="s">
        <v>320</v>
      </c>
      <c r="C90" s="3" t="s">
        <v>321</v>
      </c>
      <c r="D90">
        <v>4800</v>
      </c>
      <c r="E90">
        <v>12516</v>
      </c>
      <c r="F90" s="5">
        <f t="shared" si="2"/>
        <v>2.6074999999999999</v>
      </c>
      <c r="G90" t="s">
        <v>8</v>
      </c>
      <c r="H90">
        <v>113</v>
      </c>
      <c r="I90">
        <f t="shared" si="3"/>
        <v>110.76106194690266</v>
      </c>
      <c r="J90" t="s">
        <v>109</v>
      </c>
      <c r="K90" t="s">
        <v>110</v>
      </c>
      <c r="L90" s="4">
        <v>42110.208333333328</v>
      </c>
      <c r="M90" s="4" t="s">
        <v>50</v>
      </c>
      <c r="N90" s="4" t="s">
        <v>105</v>
      </c>
      <c r="O90" s="4">
        <v>42132.208333333328</v>
      </c>
      <c r="P90" t="b">
        <v>0</v>
      </c>
      <c r="Q90" t="b">
        <v>0</v>
      </c>
      <c r="R90" t="s">
        <v>301</v>
      </c>
      <c r="S90" t="str" cm="1">
        <f t="array" ref="S90:T90">_xlfn.TEXTSPLIT(R90, "/", , FALSE)</f>
        <v>publishing</v>
      </c>
      <c r="T90" t="str">
        <v>translations</v>
      </c>
    </row>
    <row r="91" spans="1:20" ht="17" x14ac:dyDescent="0.2">
      <c r="A91">
        <v>89</v>
      </c>
      <c r="B91" t="s">
        <v>322</v>
      </c>
      <c r="C91" s="3" t="s">
        <v>323</v>
      </c>
      <c r="D91">
        <v>3400</v>
      </c>
      <c r="E91">
        <v>8588</v>
      </c>
      <c r="F91" s="5">
        <f t="shared" si="2"/>
        <v>2.5258823529411765</v>
      </c>
      <c r="G91" t="s">
        <v>8</v>
      </c>
      <c r="H91">
        <v>96</v>
      </c>
      <c r="I91">
        <f t="shared" si="3"/>
        <v>89.458333333333329</v>
      </c>
      <c r="J91" t="s">
        <v>109</v>
      </c>
      <c r="K91" t="s">
        <v>110</v>
      </c>
      <c r="L91" s="4">
        <v>40283.208333333336</v>
      </c>
      <c r="M91" s="4" t="s">
        <v>50</v>
      </c>
      <c r="N91" s="4" t="s">
        <v>140</v>
      </c>
      <c r="O91" s="4">
        <v>40285.208333333336</v>
      </c>
      <c r="P91" t="b">
        <v>0</v>
      </c>
      <c r="Q91" t="b">
        <v>0</v>
      </c>
      <c r="R91" t="s">
        <v>124</v>
      </c>
      <c r="S91" t="str" cm="1">
        <f t="array" ref="S91:T91">_xlfn.TEXTSPLIT(R91, "/", , FALSE)</f>
        <v>theater</v>
      </c>
      <c r="T91" t="str">
        <v>plays</v>
      </c>
    </row>
    <row r="92" spans="1:20" ht="17" x14ac:dyDescent="0.2">
      <c r="A92">
        <v>90</v>
      </c>
      <c r="B92" t="s">
        <v>324</v>
      </c>
      <c r="C92" s="3" t="s">
        <v>325</v>
      </c>
      <c r="D92">
        <v>7800</v>
      </c>
      <c r="E92">
        <v>6132</v>
      </c>
      <c r="F92" s="5">
        <f t="shared" si="2"/>
        <v>0.7861538461538462</v>
      </c>
      <c r="G92" t="s">
        <v>6</v>
      </c>
      <c r="H92">
        <v>106</v>
      </c>
      <c r="I92">
        <f t="shared" si="3"/>
        <v>57.849056603773583</v>
      </c>
      <c r="J92" t="s">
        <v>109</v>
      </c>
      <c r="K92" t="s">
        <v>110</v>
      </c>
      <c r="L92" s="4">
        <v>42425.25</v>
      </c>
      <c r="M92" s="4" t="s">
        <v>48</v>
      </c>
      <c r="N92" s="4" t="s">
        <v>153</v>
      </c>
      <c r="O92" s="4">
        <v>42425.25</v>
      </c>
      <c r="P92" t="b">
        <v>0</v>
      </c>
      <c r="Q92" t="b">
        <v>1</v>
      </c>
      <c r="R92" t="s">
        <v>124</v>
      </c>
      <c r="S92" t="str" cm="1">
        <f t="array" ref="S92:T92">_xlfn.TEXTSPLIT(R92, "/", , FALSE)</f>
        <v>theater</v>
      </c>
      <c r="T92" t="str">
        <v>plays</v>
      </c>
    </row>
    <row r="93" spans="1:20" ht="17" x14ac:dyDescent="0.2">
      <c r="A93">
        <v>91</v>
      </c>
      <c r="B93" t="s">
        <v>326</v>
      </c>
      <c r="C93" s="3" t="s">
        <v>327</v>
      </c>
      <c r="D93">
        <v>154300</v>
      </c>
      <c r="E93">
        <v>74688</v>
      </c>
      <c r="F93" s="5">
        <f t="shared" si="2"/>
        <v>0.48404406999351912</v>
      </c>
      <c r="G93" t="s">
        <v>6</v>
      </c>
      <c r="H93">
        <v>679</v>
      </c>
      <c r="I93">
        <f t="shared" si="3"/>
        <v>109.99705449189985</v>
      </c>
      <c r="J93" t="s">
        <v>202</v>
      </c>
      <c r="K93" t="s">
        <v>203</v>
      </c>
      <c r="L93" s="4">
        <v>42588.208333333328</v>
      </c>
      <c r="M93" s="4" t="s">
        <v>54</v>
      </c>
      <c r="N93" s="4" t="s">
        <v>153</v>
      </c>
      <c r="O93" s="4">
        <v>42616.208333333328</v>
      </c>
      <c r="P93" t="b">
        <v>0</v>
      </c>
      <c r="Q93" t="b">
        <v>0</v>
      </c>
      <c r="R93" t="s">
        <v>301</v>
      </c>
      <c r="S93" t="str" cm="1">
        <f t="array" ref="S93:T93">_xlfn.TEXTSPLIT(R93, "/", , FALSE)</f>
        <v>publishing</v>
      </c>
      <c r="T93" t="str">
        <v>translations</v>
      </c>
    </row>
    <row r="94" spans="1:20" ht="34" x14ac:dyDescent="0.2">
      <c r="A94">
        <v>92</v>
      </c>
      <c r="B94" t="s">
        <v>328</v>
      </c>
      <c r="C94" s="3" t="s">
        <v>329</v>
      </c>
      <c r="D94">
        <v>20000</v>
      </c>
      <c r="E94">
        <v>51775</v>
      </c>
      <c r="F94" s="5">
        <f t="shared" si="2"/>
        <v>2.5887500000000001</v>
      </c>
      <c r="G94" t="s">
        <v>8</v>
      </c>
      <c r="H94">
        <v>498</v>
      </c>
      <c r="I94">
        <f t="shared" si="3"/>
        <v>103.96586345381526</v>
      </c>
      <c r="J94" t="s">
        <v>193</v>
      </c>
      <c r="K94" t="s">
        <v>194</v>
      </c>
      <c r="L94" s="4">
        <v>40352.208333333336</v>
      </c>
      <c r="M94" s="4" t="s">
        <v>52</v>
      </c>
      <c r="N94" s="4" t="s">
        <v>140</v>
      </c>
      <c r="O94" s="4">
        <v>40353.208333333336</v>
      </c>
      <c r="P94" t="b">
        <v>0</v>
      </c>
      <c r="Q94" t="b">
        <v>1</v>
      </c>
      <c r="R94" t="s">
        <v>184</v>
      </c>
      <c r="S94" t="str" cm="1">
        <f t="array" ref="S94:T94">_xlfn.TEXTSPLIT(R94, "/", , FALSE)</f>
        <v>games</v>
      </c>
      <c r="T94" t="str">
        <v>video games</v>
      </c>
    </row>
    <row r="95" spans="1:20" ht="17" x14ac:dyDescent="0.2">
      <c r="A95">
        <v>93</v>
      </c>
      <c r="B95" t="s">
        <v>330</v>
      </c>
      <c r="C95" s="3" t="s">
        <v>331</v>
      </c>
      <c r="D95">
        <v>108800</v>
      </c>
      <c r="E95">
        <v>65877</v>
      </c>
      <c r="F95" s="5">
        <f t="shared" si="2"/>
        <v>0.60548713235294116</v>
      </c>
      <c r="G95" t="s">
        <v>5</v>
      </c>
      <c r="H95">
        <v>610</v>
      </c>
      <c r="I95">
        <f t="shared" si="3"/>
        <v>107.99508196721311</v>
      </c>
      <c r="J95" t="s">
        <v>109</v>
      </c>
      <c r="K95" t="s">
        <v>110</v>
      </c>
      <c r="L95" s="4">
        <v>41202.208333333336</v>
      </c>
      <c r="M95" s="4" t="s">
        <v>56</v>
      </c>
      <c r="N95" s="4" t="s">
        <v>129</v>
      </c>
      <c r="O95" s="4">
        <v>41206.208333333336</v>
      </c>
      <c r="P95" t="b">
        <v>0</v>
      </c>
      <c r="Q95" t="b">
        <v>1</v>
      </c>
      <c r="R95" t="s">
        <v>124</v>
      </c>
      <c r="S95" t="str" cm="1">
        <f t="array" ref="S95:T95">_xlfn.TEXTSPLIT(R95, "/", , FALSE)</f>
        <v>theater</v>
      </c>
      <c r="T95" t="str">
        <v>plays</v>
      </c>
    </row>
    <row r="96" spans="1:20" ht="17" x14ac:dyDescent="0.2">
      <c r="A96">
        <v>94</v>
      </c>
      <c r="B96" t="s">
        <v>332</v>
      </c>
      <c r="C96" s="3" t="s">
        <v>333</v>
      </c>
      <c r="D96">
        <v>2900</v>
      </c>
      <c r="E96">
        <v>8807</v>
      </c>
      <c r="F96" s="5">
        <f t="shared" si="2"/>
        <v>3.036896551724138</v>
      </c>
      <c r="G96" t="s">
        <v>8</v>
      </c>
      <c r="H96">
        <v>180</v>
      </c>
      <c r="I96">
        <f t="shared" si="3"/>
        <v>48.927777777777777</v>
      </c>
      <c r="J96" t="s">
        <v>132</v>
      </c>
      <c r="K96" t="s">
        <v>133</v>
      </c>
      <c r="L96" s="4">
        <v>43562.208333333328</v>
      </c>
      <c r="M96" s="4" t="s">
        <v>50</v>
      </c>
      <c r="N96" s="4" t="s">
        <v>121</v>
      </c>
      <c r="O96" s="4">
        <v>43573.208333333328</v>
      </c>
      <c r="P96" t="b">
        <v>0</v>
      </c>
      <c r="Q96" t="b">
        <v>0</v>
      </c>
      <c r="R96" t="s">
        <v>118</v>
      </c>
      <c r="S96" t="str" cm="1">
        <f t="array" ref="S96:T96">_xlfn.TEXTSPLIT(R96, "/", , FALSE)</f>
        <v>technology</v>
      </c>
      <c r="T96" t="str">
        <v>web</v>
      </c>
    </row>
    <row r="97" spans="1:20" ht="34" x14ac:dyDescent="0.2">
      <c r="A97">
        <v>95</v>
      </c>
      <c r="B97" t="s">
        <v>334</v>
      </c>
      <c r="C97" s="3" t="s">
        <v>335</v>
      </c>
      <c r="D97">
        <v>900</v>
      </c>
      <c r="E97">
        <v>1017</v>
      </c>
      <c r="F97" s="5">
        <f t="shared" si="2"/>
        <v>1.1299999999999999</v>
      </c>
      <c r="G97" t="s">
        <v>8</v>
      </c>
      <c r="H97">
        <v>27</v>
      </c>
      <c r="I97">
        <f t="shared" si="3"/>
        <v>37.666666666666664</v>
      </c>
      <c r="J97" t="s">
        <v>109</v>
      </c>
      <c r="K97" t="s">
        <v>110</v>
      </c>
      <c r="L97" s="4">
        <v>43752.208333333328</v>
      </c>
      <c r="M97" s="4" t="s">
        <v>56</v>
      </c>
      <c r="N97" s="4" t="s">
        <v>121</v>
      </c>
      <c r="O97" s="4">
        <v>43759.208333333328</v>
      </c>
      <c r="P97" t="b">
        <v>0</v>
      </c>
      <c r="Q97" t="b">
        <v>0</v>
      </c>
      <c r="R97" t="s">
        <v>135</v>
      </c>
      <c r="S97" t="str" cm="1">
        <f t="array" ref="S97:T97">_xlfn.TEXTSPLIT(R97, "/", , FALSE)</f>
        <v>film &amp; video</v>
      </c>
      <c r="T97" t="str">
        <v>documentary</v>
      </c>
    </row>
    <row r="98" spans="1:20" ht="17" x14ac:dyDescent="0.2">
      <c r="A98">
        <v>96</v>
      </c>
      <c r="B98" t="s">
        <v>336</v>
      </c>
      <c r="C98" s="3" t="s">
        <v>337</v>
      </c>
      <c r="D98">
        <v>69700</v>
      </c>
      <c r="E98">
        <v>151513</v>
      </c>
      <c r="F98" s="5">
        <f t="shared" si="2"/>
        <v>2.1737876614060259</v>
      </c>
      <c r="G98" t="s">
        <v>8</v>
      </c>
      <c r="H98">
        <v>2331</v>
      </c>
      <c r="I98">
        <f t="shared" si="3"/>
        <v>64.999141999141997</v>
      </c>
      <c r="J98" t="s">
        <v>109</v>
      </c>
      <c r="K98" t="s">
        <v>110</v>
      </c>
      <c r="L98" s="4">
        <v>40612.25</v>
      </c>
      <c r="M98" s="4" t="s">
        <v>49</v>
      </c>
      <c r="N98" s="4" t="s">
        <v>165</v>
      </c>
      <c r="O98" s="4">
        <v>40625.208333333336</v>
      </c>
      <c r="P98" t="b">
        <v>0</v>
      </c>
      <c r="Q98" t="b">
        <v>0</v>
      </c>
      <c r="R98" t="s">
        <v>124</v>
      </c>
      <c r="S98" t="str" cm="1">
        <f t="array" ref="S98:T98">_xlfn.TEXTSPLIT(R98, "/", , FALSE)</f>
        <v>theater</v>
      </c>
      <c r="T98" t="str">
        <v>plays</v>
      </c>
    </row>
    <row r="99" spans="1:20" ht="17" x14ac:dyDescent="0.2">
      <c r="A99">
        <v>97</v>
      </c>
      <c r="B99" t="s">
        <v>338</v>
      </c>
      <c r="C99" s="3" t="s">
        <v>339</v>
      </c>
      <c r="D99">
        <v>1300</v>
      </c>
      <c r="E99">
        <v>12047</v>
      </c>
      <c r="F99" s="5">
        <f t="shared" si="2"/>
        <v>9.2669230769230762</v>
      </c>
      <c r="G99" t="s">
        <v>8</v>
      </c>
      <c r="H99">
        <v>113</v>
      </c>
      <c r="I99">
        <f t="shared" si="3"/>
        <v>106.61061946902655</v>
      </c>
      <c r="J99" t="s">
        <v>109</v>
      </c>
      <c r="K99" t="s">
        <v>110</v>
      </c>
      <c r="L99" s="4">
        <v>42180.208333333328</v>
      </c>
      <c r="M99" s="4" t="s">
        <v>52</v>
      </c>
      <c r="N99" s="4" t="s">
        <v>105</v>
      </c>
      <c r="O99" s="4">
        <v>42234.208333333328</v>
      </c>
      <c r="P99" t="b">
        <v>0</v>
      </c>
      <c r="Q99" t="b">
        <v>0</v>
      </c>
      <c r="R99" t="s">
        <v>106</v>
      </c>
      <c r="S99" t="str" cm="1">
        <f t="array" ref="S99:T99">_xlfn.TEXTSPLIT(R99, "/", , FALSE)</f>
        <v>food</v>
      </c>
      <c r="T99" t="str">
        <v>food trucks</v>
      </c>
    </row>
    <row r="100" spans="1:20" ht="17" x14ac:dyDescent="0.2">
      <c r="A100">
        <v>98</v>
      </c>
      <c r="B100" t="s">
        <v>340</v>
      </c>
      <c r="C100" s="3" t="s">
        <v>341</v>
      </c>
      <c r="D100">
        <v>97800</v>
      </c>
      <c r="E100">
        <v>32951</v>
      </c>
      <c r="F100" s="5">
        <f t="shared" si="2"/>
        <v>0.33692229038854804</v>
      </c>
      <c r="G100" t="s">
        <v>6</v>
      </c>
      <c r="H100">
        <v>1220</v>
      </c>
      <c r="I100">
        <f t="shared" si="3"/>
        <v>27.009016393442622</v>
      </c>
      <c r="J100" t="s">
        <v>115</v>
      </c>
      <c r="K100" t="s">
        <v>116</v>
      </c>
      <c r="L100" s="4">
        <v>42212.208333333328</v>
      </c>
      <c r="M100" s="4" t="s">
        <v>53</v>
      </c>
      <c r="N100" s="4" t="s">
        <v>105</v>
      </c>
      <c r="O100" s="4">
        <v>42216.208333333328</v>
      </c>
      <c r="P100" t="b">
        <v>0</v>
      </c>
      <c r="Q100" t="b">
        <v>0</v>
      </c>
      <c r="R100" t="s">
        <v>184</v>
      </c>
      <c r="S100" t="str" cm="1">
        <f t="array" ref="S100:T100">_xlfn.TEXTSPLIT(R100, "/", , FALSE)</f>
        <v>games</v>
      </c>
      <c r="T100" t="str">
        <v>video games</v>
      </c>
    </row>
    <row r="101" spans="1:20" ht="34" x14ac:dyDescent="0.2">
      <c r="A101">
        <v>99</v>
      </c>
      <c r="B101" t="s">
        <v>342</v>
      </c>
      <c r="C101" s="3" t="s">
        <v>343</v>
      </c>
      <c r="D101">
        <v>7600</v>
      </c>
      <c r="E101">
        <v>14951</v>
      </c>
      <c r="F101" s="5">
        <f t="shared" si="2"/>
        <v>1.9672368421052631</v>
      </c>
      <c r="G101" t="s">
        <v>8</v>
      </c>
      <c r="H101">
        <v>164</v>
      </c>
      <c r="I101">
        <f t="shared" si="3"/>
        <v>91.16463414634147</v>
      </c>
      <c r="J101" t="s">
        <v>109</v>
      </c>
      <c r="K101" t="s">
        <v>110</v>
      </c>
      <c r="L101" s="4">
        <v>41968.25</v>
      </c>
      <c r="M101" s="4" t="s">
        <v>57</v>
      </c>
      <c r="N101" s="4" t="s">
        <v>111</v>
      </c>
      <c r="O101" s="4">
        <v>41997.25</v>
      </c>
      <c r="P101" t="b">
        <v>0</v>
      </c>
      <c r="Q101" t="b">
        <v>0</v>
      </c>
      <c r="R101" t="s">
        <v>124</v>
      </c>
      <c r="S101" t="str" cm="1">
        <f t="array" ref="S101:T101">_xlfn.TEXTSPLIT(R101, "/", , FALSE)</f>
        <v>theater</v>
      </c>
      <c r="T101" t="str">
        <v>plays</v>
      </c>
    </row>
    <row r="102" spans="1:20" ht="17" x14ac:dyDescent="0.2">
      <c r="A102">
        <v>100</v>
      </c>
      <c r="B102" t="s">
        <v>344</v>
      </c>
      <c r="C102" s="3" t="s">
        <v>345</v>
      </c>
      <c r="D102">
        <v>100</v>
      </c>
      <c r="E102">
        <v>1</v>
      </c>
      <c r="F102" s="5">
        <f t="shared" si="2"/>
        <v>0.01</v>
      </c>
      <c r="G102" t="s">
        <v>6</v>
      </c>
      <c r="H102">
        <v>1</v>
      </c>
      <c r="I102">
        <f t="shared" si="3"/>
        <v>1</v>
      </c>
      <c r="J102" t="s">
        <v>109</v>
      </c>
      <c r="K102" t="s">
        <v>110</v>
      </c>
      <c r="L102" s="4">
        <v>40835.208333333336</v>
      </c>
      <c r="M102" s="4" t="s">
        <v>56</v>
      </c>
      <c r="N102" s="4" t="s">
        <v>165</v>
      </c>
      <c r="O102" s="4">
        <v>40853.208333333336</v>
      </c>
      <c r="P102" t="b">
        <v>0</v>
      </c>
      <c r="Q102" t="b">
        <v>0</v>
      </c>
      <c r="R102" t="s">
        <v>124</v>
      </c>
      <c r="S102" t="str" cm="1">
        <f t="array" ref="S102:T102">_xlfn.TEXTSPLIT(R102, "/", , FALSE)</f>
        <v>theater</v>
      </c>
      <c r="T102" t="str">
        <v>plays</v>
      </c>
    </row>
    <row r="103" spans="1:20" ht="17" x14ac:dyDescent="0.2">
      <c r="A103">
        <v>101</v>
      </c>
      <c r="B103" t="s">
        <v>346</v>
      </c>
      <c r="C103" s="3" t="s">
        <v>347</v>
      </c>
      <c r="D103">
        <v>900</v>
      </c>
      <c r="E103">
        <v>9193</v>
      </c>
      <c r="F103" s="5">
        <f t="shared" si="2"/>
        <v>10.214444444444444</v>
      </c>
      <c r="G103" t="s">
        <v>8</v>
      </c>
      <c r="H103">
        <v>164</v>
      </c>
      <c r="I103">
        <f t="shared" si="3"/>
        <v>56.054878048780488</v>
      </c>
      <c r="J103" t="s">
        <v>109</v>
      </c>
      <c r="K103" t="s">
        <v>110</v>
      </c>
      <c r="L103" s="4">
        <v>42056.25</v>
      </c>
      <c r="M103" s="4" t="s">
        <v>48</v>
      </c>
      <c r="N103" s="4" t="s">
        <v>105</v>
      </c>
      <c r="O103" s="4">
        <v>42063.25</v>
      </c>
      <c r="P103" t="b">
        <v>0</v>
      </c>
      <c r="Q103" t="b">
        <v>1</v>
      </c>
      <c r="R103" t="s">
        <v>143</v>
      </c>
      <c r="S103" t="str" cm="1">
        <f t="array" ref="S103:T103">_xlfn.TEXTSPLIT(R103, "/", , FALSE)</f>
        <v>music</v>
      </c>
      <c r="T103" t="str">
        <v>electric music</v>
      </c>
    </row>
    <row r="104" spans="1:20" ht="17" x14ac:dyDescent="0.2">
      <c r="A104">
        <v>102</v>
      </c>
      <c r="B104" t="s">
        <v>348</v>
      </c>
      <c r="C104" s="3" t="s">
        <v>349</v>
      </c>
      <c r="D104">
        <v>3700</v>
      </c>
      <c r="E104">
        <v>10422</v>
      </c>
      <c r="F104" s="5">
        <f t="shared" si="2"/>
        <v>2.8167567567567566</v>
      </c>
      <c r="G104" t="s">
        <v>8</v>
      </c>
      <c r="H104">
        <v>336</v>
      </c>
      <c r="I104">
        <f t="shared" si="3"/>
        <v>31.017857142857142</v>
      </c>
      <c r="J104" t="s">
        <v>109</v>
      </c>
      <c r="K104" t="s">
        <v>110</v>
      </c>
      <c r="L104" s="4">
        <v>43234.208333333328</v>
      </c>
      <c r="M104" s="4" t="s">
        <v>51</v>
      </c>
      <c r="N104" s="4" t="s">
        <v>169</v>
      </c>
      <c r="O104" s="4">
        <v>43241.208333333328</v>
      </c>
      <c r="P104" t="b">
        <v>0</v>
      </c>
      <c r="Q104" t="b">
        <v>1</v>
      </c>
      <c r="R104" t="s">
        <v>159</v>
      </c>
      <c r="S104" t="str" cm="1">
        <f t="array" ref="S104:T104">_xlfn.TEXTSPLIT(R104, "/", , FALSE)</f>
        <v>technology</v>
      </c>
      <c r="T104" t="str">
        <v>wearables</v>
      </c>
    </row>
    <row r="105" spans="1:20" ht="17" x14ac:dyDescent="0.2">
      <c r="A105">
        <v>103</v>
      </c>
      <c r="B105" t="s">
        <v>350</v>
      </c>
      <c r="C105" s="3" t="s">
        <v>351</v>
      </c>
      <c r="D105">
        <v>10000</v>
      </c>
      <c r="E105">
        <v>2461</v>
      </c>
      <c r="F105" s="5">
        <f t="shared" si="2"/>
        <v>0.24610000000000001</v>
      </c>
      <c r="G105" t="s">
        <v>6</v>
      </c>
      <c r="H105">
        <v>37</v>
      </c>
      <c r="I105">
        <f t="shared" si="3"/>
        <v>66.513513513513516</v>
      </c>
      <c r="J105" t="s">
        <v>202</v>
      </c>
      <c r="K105" t="s">
        <v>203</v>
      </c>
      <c r="L105" s="4">
        <v>40475.208333333336</v>
      </c>
      <c r="M105" s="4" t="s">
        <v>56</v>
      </c>
      <c r="N105" s="4" t="s">
        <v>140</v>
      </c>
      <c r="O105" s="4">
        <v>40484.208333333336</v>
      </c>
      <c r="P105" t="b">
        <v>0</v>
      </c>
      <c r="Q105" t="b">
        <v>0</v>
      </c>
      <c r="R105" t="s">
        <v>143</v>
      </c>
      <c r="S105" t="str" cm="1">
        <f t="array" ref="S105:T105">_xlfn.TEXTSPLIT(R105, "/", , FALSE)</f>
        <v>music</v>
      </c>
      <c r="T105" t="str">
        <v>electric music</v>
      </c>
    </row>
    <row r="106" spans="1:20" ht="17" x14ac:dyDescent="0.2">
      <c r="A106">
        <v>104</v>
      </c>
      <c r="B106" t="s">
        <v>352</v>
      </c>
      <c r="C106" s="3" t="s">
        <v>353</v>
      </c>
      <c r="D106">
        <v>119200</v>
      </c>
      <c r="E106">
        <v>170623</v>
      </c>
      <c r="F106" s="5">
        <f t="shared" si="2"/>
        <v>1.4314010067114094</v>
      </c>
      <c r="G106" t="s">
        <v>8</v>
      </c>
      <c r="H106">
        <v>1917</v>
      </c>
      <c r="I106">
        <f t="shared" si="3"/>
        <v>89.005216484089729</v>
      </c>
      <c r="J106" t="s">
        <v>109</v>
      </c>
      <c r="K106" t="s">
        <v>110</v>
      </c>
      <c r="L106" s="4">
        <v>42878.208333333328</v>
      </c>
      <c r="M106" s="4" t="s">
        <v>51</v>
      </c>
      <c r="N106" s="4" t="s">
        <v>134</v>
      </c>
      <c r="O106" s="4">
        <v>42879.208333333328</v>
      </c>
      <c r="P106" t="b">
        <v>0</v>
      </c>
      <c r="Q106" t="b">
        <v>0</v>
      </c>
      <c r="R106" t="s">
        <v>154</v>
      </c>
      <c r="S106" t="str" cm="1">
        <f t="array" ref="S106:T106">_xlfn.TEXTSPLIT(R106, "/", , FALSE)</f>
        <v>music</v>
      </c>
      <c r="T106" t="str">
        <v>indie rock</v>
      </c>
    </row>
    <row r="107" spans="1:20" ht="17" x14ac:dyDescent="0.2">
      <c r="A107">
        <v>105</v>
      </c>
      <c r="B107" t="s">
        <v>354</v>
      </c>
      <c r="C107" s="3" t="s">
        <v>355</v>
      </c>
      <c r="D107">
        <v>6800</v>
      </c>
      <c r="E107">
        <v>9829</v>
      </c>
      <c r="F107" s="5">
        <f t="shared" si="2"/>
        <v>1.4454411764705883</v>
      </c>
      <c r="G107" t="s">
        <v>8</v>
      </c>
      <c r="H107">
        <v>95</v>
      </c>
      <c r="I107">
        <f t="shared" si="3"/>
        <v>103.46315789473684</v>
      </c>
      <c r="J107" t="s">
        <v>109</v>
      </c>
      <c r="K107" t="s">
        <v>110</v>
      </c>
      <c r="L107" s="4">
        <v>41366.208333333336</v>
      </c>
      <c r="M107" s="4" t="s">
        <v>50</v>
      </c>
      <c r="N107" s="4" t="s">
        <v>117</v>
      </c>
      <c r="O107" s="4">
        <v>41384.208333333336</v>
      </c>
      <c r="P107" t="b">
        <v>0</v>
      </c>
      <c r="Q107" t="b">
        <v>0</v>
      </c>
      <c r="R107" t="s">
        <v>118</v>
      </c>
      <c r="S107" t="str" cm="1">
        <f t="array" ref="S107:T107">_xlfn.TEXTSPLIT(R107, "/", , FALSE)</f>
        <v>technology</v>
      </c>
      <c r="T107" t="str">
        <v>web</v>
      </c>
    </row>
    <row r="108" spans="1:20" ht="17" x14ac:dyDescent="0.2">
      <c r="A108">
        <v>106</v>
      </c>
      <c r="B108" t="s">
        <v>356</v>
      </c>
      <c r="C108" s="3" t="s">
        <v>357</v>
      </c>
      <c r="D108">
        <v>3900</v>
      </c>
      <c r="E108">
        <v>14006</v>
      </c>
      <c r="F108" s="5">
        <f t="shared" si="2"/>
        <v>3.5912820512820511</v>
      </c>
      <c r="G108" t="s">
        <v>8</v>
      </c>
      <c r="H108">
        <v>147</v>
      </c>
      <c r="I108">
        <f t="shared" si="3"/>
        <v>95.278911564625844</v>
      </c>
      <c r="J108" t="s">
        <v>109</v>
      </c>
      <c r="K108" t="s">
        <v>110</v>
      </c>
      <c r="L108" s="4">
        <v>43716.208333333328</v>
      </c>
      <c r="M108" s="4" t="s">
        <v>55</v>
      </c>
      <c r="N108" s="4" t="s">
        <v>121</v>
      </c>
      <c r="O108" s="4">
        <v>43721.208333333328</v>
      </c>
      <c r="P108" t="b">
        <v>0</v>
      </c>
      <c r="Q108" t="b">
        <v>0</v>
      </c>
      <c r="R108" t="s">
        <v>124</v>
      </c>
      <c r="S108" t="str" cm="1">
        <f t="array" ref="S108:T108">_xlfn.TEXTSPLIT(R108, "/", , FALSE)</f>
        <v>theater</v>
      </c>
      <c r="T108" t="str">
        <v>plays</v>
      </c>
    </row>
    <row r="109" spans="1:20" ht="34" x14ac:dyDescent="0.2">
      <c r="A109">
        <v>107</v>
      </c>
      <c r="B109" t="s">
        <v>358</v>
      </c>
      <c r="C109" s="3" t="s">
        <v>359</v>
      </c>
      <c r="D109">
        <v>3500</v>
      </c>
      <c r="E109">
        <v>6527</v>
      </c>
      <c r="F109" s="5">
        <f t="shared" si="2"/>
        <v>1.8648571428571428</v>
      </c>
      <c r="G109" t="s">
        <v>8</v>
      </c>
      <c r="H109">
        <v>86</v>
      </c>
      <c r="I109">
        <f t="shared" si="3"/>
        <v>75.895348837209298</v>
      </c>
      <c r="J109" t="s">
        <v>109</v>
      </c>
      <c r="K109" t="s">
        <v>110</v>
      </c>
      <c r="L109" s="4">
        <v>43213.208333333328</v>
      </c>
      <c r="M109" s="4" t="s">
        <v>50</v>
      </c>
      <c r="N109" s="4" t="s">
        <v>169</v>
      </c>
      <c r="O109" s="4">
        <v>43230.208333333328</v>
      </c>
      <c r="P109" t="b">
        <v>0</v>
      </c>
      <c r="Q109" t="b">
        <v>1</v>
      </c>
      <c r="R109" t="s">
        <v>124</v>
      </c>
      <c r="S109" t="str" cm="1">
        <f t="array" ref="S109:T109">_xlfn.TEXTSPLIT(R109, "/", , FALSE)</f>
        <v>theater</v>
      </c>
      <c r="T109" t="str">
        <v>plays</v>
      </c>
    </row>
    <row r="110" spans="1:20" ht="34" x14ac:dyDescent="0.2">
      <c r="A110">
        <v>108</v>
      </c>
      <c r="B110" t="s">
        <v>360</v>
      </c>
      <c r="C110" s="3" t="s">
        <v>361</v>
      </c>
      <c r="D110">
        <v>1500</v>
      </c>
      <c r="E110">
        <v>8929</v>
      </c>
      <c r="F110" s="5">
        <f t="shared" si="2"/>
        <v>5.9526666666666666</v>
      </c>
      <c r="G110" t="s">
        <v>8</v>
      </c>
      <c r="H110">
        <v>83</v>
      </c>
      <c r="I110">
        <f t="shared" si="3"/>
        <v>107.57831325301204</v>
      </c>
      <c r="J110" t="s">
        <v>109</v>
      </c>
      <c r="K110" t="s">
        <v>110</v>
      </c>
      <c r="L110" s="4">
        <v>41005.208333333336</v>
      </c>
      <c r="M110" s="4" t="s">
        <v>50</v>
      </c>
      <c r="N110" s="4" t="s">
        <v>129</v>
      </c>
      <c r="O110" s="4">
        <v>41042.208333333336</v>
      </c>
      <c r="P110" t="b">
        <v>0</v>
      </c>
      <c r="Q110" t="b">
        <v>0</v>
      </c>
      <c r="R110" t="s">
        <v>135</v>
      </c>
      <c r="S110" t="str" cm="1">
        <f t="array" ref="S110:T110">_xlfn.TEXTSPLIT(R110, "/", , FALSE)</f>
        <v>film &amp; video</v>
      </c>
      <c r="T110" t="str">
        <v>documentary</v>
      </c>
    </row>
    <row r="111" spans="1:20" ht="17" x14ac:dyDescent="0.2">
      <c r="A111">
        <v>109</v>
      </c>
      <c r="B111" t="s">
        <v>362</v>
      </c>
      <c r="C111" s="3" t="s">
        <v>363</v>
      </c>
      <c r="D111">
        <v>5200</v>
      </c>
      <c r="E111">
        <v>3079</v>
      </c>
      <c r="F111" s="5">
        <f t="shared" si="2"/>
        <v>0.5921153846153846</v>
      </c>
      <c r="G111" t="s">
        <v>6</v>
      </c>
      <c r="H111">
        <v>60</v>
      </c>
      <c r="I111">
        <f t="shared" si="3"/>
        <v>51.31666666666667</v>
      </c>
      <c r="J111" t="s">
        <v>109</v>
      </c>
      <c r="K111" t="s">
        <v>110</v>
      </c>
      <c r="L111" s="4">
        <v>41651.25</v>
      </c>
      <c r="M111" s="4" t="s">
        <v>47</v>
      </c>
      <c r="N111" s="4" t="s">
        <v>111</v>
      </c>
      <c r="O111" s="4">
        <v>41653.25</v>
      </c>
      <c r="P111" t="b">
        <v>0</v>
      </c>
      <c r="Q111" t="b">
        <v>0</v>
      </c>
      <c r="R111" t="s">
        <v>364</v>
      </c>
      <c r="S111" t="str" cm="1">
        <f t="array" ref="S111:T111">_xlfn.TEXTSPLIT(R111, "/", , FALSE)</f>
        <v>film &amp; video</v>
      </c>
      <c r="T111" t="str">
        <v>television</v>
      </c>
    </row>
    <row r="112" spans="1:20" ht="34" x14ac:dyDescent="0.2">
      <c r="A112">
        <v>110</v>
      </c>
      <c r="B112" t="s">
        <v>365</v>
      </c>
      <c r="C112" s="3" t="s">
        <v>366</v>
      </c>
      <c r="D112">
        <v>142400</v>
      </c>
      <c r="E112">
        <v>21307</v>
      </c>
      <c r="F112" s="5">
        <f t="shared" si="2"/>
        <v>0.14962780898876404</v>
      </c>
      <c r="G112" t="s">
        <v>6</v>
      </c>
      <c r="H112">
        <v>296</v>
      </c>
      <c r="I112">
        <f t="shared" si="3"/>
        <v>71.983108108108112</v>
      </c>
      <c r="J112" t="s">
        <v>109</v>
      </c>
      <c r="K112" t="s">
        <v>110</v>
      </c>
      <c r="L112" s="4">
        <v>43354.208333333328</v>
      </c>
      <c r="M112" s="4" t="s">
        <v>55</v>
      </c>
      <c r="N112" s="4" t="s">
        <v>169</v>
      </c>
      <c r="O112" s="4">
        <v>43373.208333333328</v>
      </c>
      <c r="P112" t="b">
        <v>0</v>
      </c>
      <c r="Q112" t="b">
        <v>0</v>
      </c>
      <c r="R112" t="s">
        <v>106</v>
      </c>
      <c r="S112" t="str" cm="1">
        <f t="array" ref="S112:T112">_xlfn.TEXTSPLIT(R112, "/", , FALSE)</f>
        <v>food</v>
      </c>
      <c r="T112" t="str">
        <v>food trucks</v>
      </c>
    </row>
    <row r="113" spans="1:20" ht="17" x14ac:dyDescent="0.2">
      <c r="A113">
        <v>111</v>
      </c>
      <c r="B113" t="s">
        <v>367</v>
      </c>
      <c r="C113" s="3" t="s">
        <v>368</v>
      </c>
      <c r="D113">
        <v>61400</v>
      </c>
      <c r="E113">
        <v>73653</v>
      </c>
      <c r="F113" s="5">
        <f t="shared" si="2"/>
        <v>1.1995602605863191</v>
      </c>
      <c r="G113" t="s">
        <v>8</v>
      </c>
      <c r="H113">
        <v>676</v>
      </c>
      <c r="I113">
        <f t="shared" si="3"/>
        <v>108.95414201183432</v>
      </c>
      <c r="J113" t="s">
        <v>109</v>
      </c>
      <c r="K113" t="s">
        <v>110</v>
      </c>
      <c r="L113" s="4">
        <v>41174.208333333336</v>
      </c>
      <c r="M113" s="4" t="s">
        <v>55</v>
      </c>
      <c r="N113" s="4" t="s">
        <v>129</v>
      </c>
      <c r="O113" s="4">
        <v>41180.208333333336</v>
      </c>
      <c r="P113" t="b">
        <v>0</v>
      </c>
      <c r="Q113" t="b">
        <v>0</v>
      </c>
      <c r="R113" t="s">
        <v>228</v>
      </c>
      <c r="S113" t="str" cm="1">
        <f t="array" ref="S113:T113">_xlfn.TEXTSPLIT(R113, "/", , FALSE)</f>
        <v>publishing</v>
      </c>
      <c r="T113" t="str">
        <v>radio &amp; podcasts</v>
      </c>
    </row>
    <row r="114" spans="1:20" ht="17" x14ac:dyDescent="0.2">
      <c r="A114">
        <v>112</v>
      </c>
      <c r="B114" t="s">
        <v>369</v>
      </c>
      <c r="C114" s="3" t="s">
        <v>370</v>
      </c>
      <c r="D114">
        <v>4700</v>
      </c>
      <c r="E114">
        <v>12635</v>
      </c>
      <c r="F114" s="5">
        <f t="shared" si="2"/>
        <v>2.6882978723404256</v>
      </c>
      <c r="G114" t="s">
        <v>8</v>
      </c>
      <c r="H114">
        <v>361</v>
      </c>
      <c r="I114">
        <f t="shared" si="3"/>
        <v>35</v>
      </c>
      <c r="J114" t="s">
        <v>115</v>
      </c>
      <c r="K114" t="s">
        <v>116</v>
      </c>
      <c r="L114" s="4">
        <v>41875.208333333336</v>
      </c>
      <c r="M114" s="4" t="s">
        <v>54</v>
      </c>
      <c r="N114" s="4" t="s">
        <v>111</v>
      </c>
      <c r="O114" s="4">
        <v>41890.208333333336</v>
      </c>
      <c r="P114" t="b">
        <v>0</v>
      </c>
      <c r="Q114" t="b">
        <v>0</v>
      </c>
      <c r="R114" t="s">
        <v>118</v>
      </c>
      <c r="S114" t="str" cm="1">
        <f t="array" ref="S114:T114">_xlfn.TEXTSPLIT(R114, "/", , FALSE)</f>
        <v>technology</v>
      </c>
      <c r="T114" t="str">
        <v>web</v>
      </c>
    </row>
    <row r="115" spans="1:20" ht="17" x14ac:dyDescent="0.2">
      <c r="A115">
        <v>113</v>
      </c>
      <c r="B115" t="s">
        <v>371</v>
      </c>
      <c r="C115" s="3" t="s">
        <v>372</v>
      </c>
      <c r="D115">
        <v>3300</v>
      </c>
      <c r="E115">
        <v>12437</v>
      </c>
      <c r="F115" s="5">
        <f t="shared" si="2"/>
        <v>3.7687878787878786</v>
      </c>
      <c r="G115" t="s">
        <v>8</v>
      </c>
      <c r="H115">
        <v>131</v>
      </c>
      <c r="I115">
        <f t="shared" si="3"/>
        <v>94.938931297709928</v>
      </c>
      <c r="J115" t="s">
        <v>109</v>
      </c>
      <c r="K115" t="s">
        <v>110</v>
      </c>
      <c r="L115" s="4">
        <v>42990.208333333328</v>
      </c>
      <c r="M115" s="4" t="s">
        <v>55</v>
      </c>
      <c r="N115" s="4" t="s">
        <v>134</v>
      </c>
      <c r="O115" s="4">
        <v>42997.208333333328</v>
      </c>
      <c r="P115" t="b">
        <v>0</v>
      </c>
      <c r="Q115" t="b">
        <v>0</v>
      </c>
      <c r="R115" t="s">
        <v>106</v>
      </c>
      <c r="S115" t="str" cm="1">
        <f t="array" ref="S115:T115">_xlfn.TEXTSPLIT(R115, "/", , FALSE)</f>
        <v>food</v>
      </c>
      <c r="T115" t="str">
        <v>food trucks</v>
      </c>
    </row>
    <row r="116" spans="1:20" ht="17" x14ac:dyDescent="0.2">
      <c r="A116">
        <v>114</v>
      </c>
      <c r="B116" t="s">
        <v>373</v>
      </c>
      <c r="C116" s="3" t="s">
        <v>374</v>
      </c>
      <c r="D116">
        <v>1900</v>
      </c>
      <c r="E116">
        <v>13816</v>
      </c>
      <c r="F116" s="5">
        <f t="shared" si="2"/>
        <v>7.2715789473684209</v>
      </c>
      <c r="G116" t="s">
        <v>8</v>
      </c>
      <c r="H116">
        <v>126</v>
      </c>
      <c r="I116">
        <f t="shared" si="3"/>
        <v>109.65079365079364</v>
      </c>
      <c r="J116" t="s">
        <v>109</v>
      </c>
      <c r="K116" t="s">
        <v>110</v>
      </c>
      <c r="L116" s="4">
        <v>43564.208333333328</v>
      </c>
      <c r="M116" s="4" t="s">
        <v>50</v>
      </c>
      <c r="N116" s="4" t="s">
        <v>121</v>
      </c>
      <c r="O116" s="4">
        <v>43565.208333333328</v>
      </c>
      <c r="P116" t="b">
        <v>0</v>
      </c>
      <c r="Q116" t="b">
        <v>1</v>
      </c>
      <c r="R116" t="s">
        <v>159</v>
      </c>
      <c r="S116" t="str" cm="1">
        <f t="array" ref="S116:T116">_xlfn.TEXTSPLIT(R116, "/", , FALSE)</f>
        <v>technology</v>
      </c>
      <c r="T116" t="str">
        <v>wearables</v>
      </c>
    </row>
    <row r="117" spans="1:20" ht="17" x14ac:dyDescent="0.2">
      <c r="A117">
        <v>115</v>
      </c>
      <c r="B117" t="s">
        <v>375</v>
      </c>
      <c r="C117" s="3" t="s">
        <v>376</v>
      </c>
      <c r="D117">
        <v>166700</v>
      </c>
      <c r="E117">
        <v>145382</v>
      </c>
      <c r="F117" s="5">
        <f t="shared" si="2"/>
        <v>0.87211757648470301</v>
      </c>
      <c r="G117" t="s">
        <v>6</v>
      </c>
      <c r="H117">
        <v>3304</v>
      </c>
      <c r="I117">
        <f t="shared" si="3"/>
        <v>44.001815980629537</v>
      </c>
      <c r="J117" t="s">
        <v>202</v>
      </c>
      <c r="K117" t="s">
        <v>203</v>
      </c>
      <c r="L117" s="4">
        <v>43056.25</v>
      </c>
      <c r="M117" s="4" t="s">
        <v>57</v>
      </c>
      <c r="N117" s="4" t="s">
        <v>134</v>
      </c>
      <c r="O117" s="4">
        <v>43091.25</v>
      </c>
      <c r="P117" t="b">
        <v>0</v>
      </c>
      <c r="Q117" t="b">
        <v>0</v>
      </c>
      <c r="R117" t="s">
        <v>214</v>
      </c>
      <c r="S117" t="str" cm="1">
        <f t="array" ref="S117:T117">_xlfn.TEXTSPLIT(R117, "/", , FALSE)</f>
        <v>publishing</v>
      </c>
      <c r="T117" t="str">
        <v>fiction</v>
      </c>
    </row>
    <row r="118" spans="1:20" ht="34" x14ac:dyDescent="0.2">
      <c r="A118">
        <v>116</v>
      </c>
      <c r="B118" t="s">
        <v>377</v>
      </c>
      <c r="C118" s="3" t="s">
        <v>378</v>
      </c>
      <c r="D118">
        <v>7200</v>
      </c>
      <c r="E118">
        <v>6336</v>
      </c>
      <c r="F118" s="5">
        <f t="shared" si="2"/>
        <v>0.88</v>
      </c>
      <c r="G118" t="s">
        <v>6</v>
      </c>
      <c r="H118">
        <v>73</v>
      </c>
      <c r="I118">
        <f t="shared" si="3"/>
        <v>86.794520547945211</v>
      </c>
      <c r="J118" t="s">
        <v>109</v>
      </c>
      <c r="K118" t="s">
        <v>110</v>
      </c>
      <c r="L118" s="4">
        <v>42265.208333333328</v>
      </c>
      <c r="M118" s="4" t="s">
        <v>55</v>
      </c>
      <c r="N118" s="4" t="s">
        <v>105</v>
      </c>
      <c r="O118" s="4">
        <v>42266.208333333328</v>
      </c>
      <c r="P118" t="b">
        <v>0</v>
      </c>
      <c r="Q118" t="b">
        <v>0</v>
      </c>
      <c r="R118" t="s">
        <v>124</v>
      </c>
      <c r="S118" t="str" cm="1">
        <f t="array" ref="S118:T118">_xlfn.TEXTSPLIT(R118, "/", , FALSE)</f>
        <v>theater</v>
      </c>
      <c r="T118" t="str">
        <v>plays</v>
      </c>
    </row>
    <row r="119" spans="1:20" ht="17" x14ac:dyDescent="0.2">
      <c r="A119">
        <v>117</v>
      </c>
      <c r="B119" t="s">
        <v>379</v>
      </c>
      <c r="C119" s="3" t="s">
        <v>380</v>
      </c>
      <c r="D119">
        <v>4900</v>
      </c>
      <c r="E119">
        <v>8523</v>
      </c>
      <c r="F119" s="5">
        <f t="shared" si="2"/>
        <v>1.7393877551020409</v>
      </c>
      <c r="G119" t="s">
        <v>8</v>
      </c>
      <c r="H119">
        <v>275</v>
      </c>
      <c r="I119">
        <f t="shared" si="3"/>
        <v>30.992727272727272</v>
      </c>
      <c r="J119" t="s">
        <v>109</v>
      </c>
      <c r="K119" t="s">
        <v>110</v>
      </c>
      <c r="L119" s="4">
        <v>40808.208333333336</v>
      </c>
      <c r="M119" s="4" t="s">
        <v>55</v>
      </c>
      <c r="N119" s="4" t="s">
        <v>165</v>
      </c>
      <c r="O119" s="4">
        <v>40814.208333333336</v>
      </c>
      <c r="P119" t="b">
        <v>0</v>
      </c>
      <c r="Q119" t="b">
        <v>0</v>
      </c>
      <c r="R119" t="s">
        <v>364</v>
      </c>
      <c r="S119" t="str" cm="1">
        <f t="array" ref="S119:T119">_xlfn.TEXTSPLIT(R119, "/", , FALSE)</f>
        <v>film &amp; video</v>
      </c>
      <c r="T119" t="str">
        <v>television</v>
      </c>
    </row>
    <row r="120" spans="1:20" ht="17" x14ac:dyDescent="0.2">
      <c r="A120">
        <v>118</v>
      </c>
      <c r="B120" t="s">
        <v>381</v>
      </c>
      <c r="C120" s="3" t="s">
        <v>382</v>
      </c>
      <c r="D120">
        <v>5400</v>
      </c>
      <c r="E120">
        <v>6351</v>
      </c>
      <c r="F120" s="5">
        <f t="shared" si="2"/>
        <v>1.1761111111111111</v>
      </c>
      <c r="G120" t="s">
        <v>8</v>
      </c>
      <c r="H120">
        <v>67</v>
      </c>
      <c r="I120">
        <f t="shared" si="3"/>
        <v>94.791044776119406</v>
      </c>
      <c r="J120" t="s">
        <v>109</v>
      </c>
      <c r="K120" t="s">
        <v>110</v>
      </c>
      <c r="L120" s="4">
        <v>41665.25</v>
      </c>
      <c r="M120" s="4" t="s">
        <v>47</v>
      </c>
      <c r="N120" s="4" t="s">
        <v>111</v>
      </c>
      <c r="O120" s="4">
        <v>41671.25</v>
      </c>
      <c r="P120" t="b">
        <v>0</v>
      </c>
      <c r="Q120" t="b">
        <v>0</v>
      </c>
      <c r="R120" t="s">
        <v>217</v>
      </c>
      <c r="S120" t="str" cm="1">
        <f t="array" ref="S120:T120">_xlfn.TEXTSPLIT(R120, "/", , FALSE)</f>
        <v>photography</v>
      </c>
      <c r="T120" t="str">
        <v>photography books</v>
      </c>
    </row>
    <row r="121" spans="1:20" ht="34" x14ac:dyDescent="0.2">
      <c r="A121">
        <v>119</v>
      </c>
      <c r="B121" t="s">
        <v>383</v>
      </c>
      <c r="C121" s="3" t="s">
        <v>384</v>
      </c>
      <c r="D121">
        <v>5000</v>
      </c>
      <c r="E121">
        <v>10748</v>
      </c>
      <c r="F121" s="5">
        <f t="shared" si="2"/>
        <v>2.1496</v>
      </c>
      <c r="G121" t="s">
        <v>8</v>
      </c>
      <c r="H121">
        <v>154</v>
      </c>
      <c r="I121">
        <f t="shared" si="3"/>
        <v>69.79220779220779</v>
      </c>
      <c r="J121" t="s">
        <v>109</v>
      </c>
      <c r="K121" t="s">
        <v>110</v>
      </c>
      <c r="L121" s="4">
        <v>41806.208333333336</v>
      </c>
      <c r="M121" s="4" t="s">
        <v>52</v>
      </c>
      <c r="N121" s="4" t="s">
        <v>111</v>
      </c>
      <c r="O121" s="4">
        <v>41823.208333333336</v>
      </c>
      <c r="P121" t="b">
        <v>0</v>
      </c>
      <c r="Q121" t="b">
        <v>1</v>
      </c>
      <c r="R121" t="s">
        <v>135</v>
      </c>
      <c r="S121" t="str" cm="1">
        <f t="array" ref="S121:T121">_xlfn.TEXTSPLIT(R121, "/", , FALSE)</f>
        <v>film &amp; video</v>
      </c>
      <c r="T121" t="str">
        <v>documentary</v>
      </c>
    </row>
    <row r="122" spans="1:20" ht="17" x14ac:dyDescent="0.2">
      <c r="A122">
        <v>120</v>
      </c>
      <c r="B122" t="s">
        <v>385</v>
      </c>
      <c r="C122" s="3" t="s">
        <v>386</v>
      </c>
      <c r="D122">
        <v>75100</v>
      </c>
      <c r="E122">
        <v>112272</v>
      </c>
      <c r="F122" s="5">
        <f t="shared" si="2"/>
        <v>1.4949667110519307</v>
      </c>
      <c r="G122" t="s">
        <v>8</v>
      </c>
      <c r="H122">
        <v>1782</v>
      </c>
      <c r="I122">
        <f t="shared" si="3"/>
        <v>63.003367003367003</v>
      </c>
      <c r="J122" t="s">
        <v>109</v>
      </c>
      <c r="K122" t="s">
        <v>110</v>
      </c>
      <c r="L122" s="4">
        <v>42111.208333333328</v>
      </c>
      <c r="M122" s="4" t="s">
        <v>50</v>
      </c>
      <c r="N122" s="4" t="s">
        <v>105</v>
      </c>
      <c r="O122" s="4">
        <v>42115.208333333328</v>
      </c>
      <c r="P122" t="b">
        <v>0</v>
      </c>
      <c r="Q122" t="b">
        <v>1</v>
      </c>
      <c r="R122" t="s">
        <v>387</v>
      </c>
      <c r="S122" t="str" cm="1">
        <f t="array" ref="S122:T122">_xlfn.TEXTSPLIT(R122, "/", , FALSE)</f>
        <v>games</v>
      </c>
      <c r="T122" t="str">
        <v>mobile games</v>
      </c>
    </row>
    <row r="123" spans="1:20" ht="17" x14ac:dyDescent="0.2">
      <c r="A123">
        <v>121</v>
      </c>
      <c r="B123" t="s">
        <v>388</v>
      </c>
      <c r="C123" s="3" t="s">
        <v>389</v>
      </c>
      <c r="D123">
        <v>45300</v>
      </c>
      <c r="E123">
        <v>99361</v>
      </c>
      <c r="F123" s="5">
        <f t="shared" si="2"/>
        <v>2.1933995584988963</v>
      </c>
      <c r="G123" t="s">
        <v>8</v>
      </c>
      <c r="H123">
        <v>903</v>
      </c>
      <c r="I123">
        <f t="shared" si="3"/>
        <v>110.0343300110742</v>
      </c>
      <c r="J123" t="s">
        <v>109</v>
      </c>
      <c r="K123" t="s">
        <v>110</v>
      </c>
      <c r="L123" s="4">
        <v>41917.208333333336</v>
      </c>
      <c r="M123" s="4" t="s">
        <v>56</v>
      </c>
      <c r="N123" s="4" t="s">
        <v>111</v>
      </c>
      <c r="O123" s="4">
        <v>41930.208333333336</v>
      </c>
      <c r="P123" t="b">
        <v>0</v>
      </c>
      <c r="Q123" t="b">
        <v>0</v>
      </c>
      <c r="R123" t="s">
        <v>184</v>
      </c>
      <c r="S123" t="str" cm="1">
        <f t="array" ref="S123:T123">_xlfn.TEXTSPLIT(R123, "/", , FALSE)</f>
        <v>games</v>
      </c>
      <c r="T123" t="str">
        <v>video games</v>
      </c>
    </row>
    <row r="124" spans="1:20" ht="17" x14ac:dyDescent="0.2">
      <c r="A124">
        <v>122</v>
      </c>
      <c r="B124" t="s">
        <v>390</v>
      </c>
      <c r="C124" s="3" t="s">
        <v>391</v>
      </c>
      <c r="D124">
        <v>136800</v>
      </c>
      <c r="E124">
        <v>88055</v>
      </c>
      <c r="F124" s="5">
        <f t="shared" si="2"/>
        <v>0.64367690058479532</v>
      </c>
      <c r="G124" t="s">
        <v>6</v>
      </c>
      <c r="H124">
        <v>3387</v>
      </c>
      <c r="I124">
        <f t="shared" si="3"/>
        <v>25.997933274284026</v>
      </c>
      <c r="J124" t="s">
        <v>109</v>
      </c>
      <c r="K124" t="s">
        <v>110</v>
      </c>
      <c r="L124" s="4">
        <v>41970.25</v>
      </c>
      <c r="M124" s="4" t="s">
        <v>57</v>
      </c>
      <c r="N124" s="4" t="s">
        <v>111</v>
      </c>
      <c r="O124" s="4">
        <v>41997.25</v>
      </c>
      <c r="P124" t="b">
        <v>0</v>
      </c>
      <c r="Q124" t="b">
        <v>0</v>
      </c>
      <c r="R124" t="s">
        <v>214</v>
      </c>
      <c r="S124" t="str" cm="1">
        <f t="array" ref="S124:T124">_xlfn.TEXTSPLIT(R124, "/", , FALSE)</f>
        <v>publishing</v>
      </c>
      <c r="T124" t="str">
        <v>fiction</v>
      </c>
    </row>
    <row r="125" spans="1:20" ht="17" x14ac:dyDescent="0.2">
      <c r="A125">
        <v>123</v>
      </c>
      <c r="B125" t="s">
        <v>392</v>
      </c>
      <c r="C125" s="3" t="s">
        <v>393</v>
      </c>
      <c r="D125">
        <v>177700</v>
      </c>
      <c r="E125">
        <v>33092</v>
      </c>
      <c r="F125" s="5">
        <f t="shared" si="2"/>
        <v>0.18622397298818233</v>
      </c>
      <c r="G125" t="s">
        <v>6</v>
      </c>
      <c r="H125">
        <v>662</v>
      </c>
      <c r="I125">
        <f t="shared" si="3"/>
        <v>49.987915407854985</v>
      </c>
      <c r="J125" t="s">
        <v>103</v>
      </c>
      <c r="K125" t="s">
        <v>104</v>
      </c>
      <c r="L125" s="4">
        <v>42332.25</v>
      </c>
      <c r="M125" s="4" t="s">
        <v>57</v>
      </c>
      <c r="N125" s="4" t="s">
        <v>105</v>
      </c>
      <c r="O125" s="4">
        <v>42335.25</v>
      </c>
      <c r="P125" t="b">
        <v>1</v>
      </c>
      <c r="Q125" t="b">
        <v>0</v>
      </c>
      <c r="R125" t="s">
        <v>124</v>
      </c>
      <c r="S125" t="str" cm="1">
        <f t="array" ref="S125:T125">_xlfn.TEXTSPLIT(R125, "/", , FALSE)</f>
        <v>theater</v>
      </c>
      <c r="T125" t="str">
        <v>plays</v>
      </c>
    </row>
    <row r="126" spans="1:20" ht="17" x14ac:dyDescent="0.2">
      <c r="A126">
        <v>124</v>
      </c>
      <c r="B126" t="s">
        <v>394</v>
      </c>
      <c r="C126" s="3" t="s">
        <v>395</v>
      </c>
      <c r="D126">
        <v>2600</v>
      </c>
      <c r="E126">
        <v>9562</v>
      </c>
      <c r="F126" s="5">
        <f t="shared" si="2"/>
        <v>3.6776923076923076</v>
      </c>
      <c r="G126" t="s">
        <v>8</v>
      </c>
      <c r="H126">
        <v>94</v>
      </c>
      <c r="I126">
        <f t="shared" si="3"/>
        <v>101.72340425531915</v>
      </c>
      <c r="J126" t="s">
        <v>202</v>
      </c>
      <c r="K126" t="s">
        <v>203</v>
      </c>
      <c r="L126" s="4">
        <v>43598.208333333328</v>
      </c>
      <c r="M126" s="4" t="s">
        <v>51</v>
      </c>
      <c r="N126" s="4" t="s">
        <v>121</v>
      </c>
      <c r="O126" s="4">
        <v>43651.208333333328</v>
      </c>
      <c r="P126" t="b">
        <v>0</v>
      </c>
      <c r="Q126" t="b">
        <v>0</v>
      </c>
      <c r="R126" t="s">
        <v>217</v>
      </c>
      <c r="S126" t="str" cm="1">
        <f t="array" ref="S126:T126">_xlfn.TEXTSPLIT(R126, "/", , FALSE)</f>
        <v>photography</v>
      </c>
      <c r="T126" t="str">
        <v>photography books</v>
      </c>
    </row>
    <row r="127" spans="1:20" ht="17" x14ac:dyDescent="0.2">
      <c r="A127">
        <v>125</v>
      </c>
      <c r="B127" t="s">
        <v>396</v>
      </c>
      <c r="C127" s="3" t="s">
        <v>397</v>
      </c>
      <c r="D127">
        <v>5300</v>
      </c>
      <c r="E127">
        <v>8475</v>
      </c>
      <c r="F127" s="5">
        <f t="shared" si="2"/>
        <v>1.5990566037735849</v>
      </c>
      <c r="G127" t="s">
        <v>8</v>
      </c>
      <c r="H127">
        <v>180</v>
      </c>
      <c r="I127">
        <f t="shared" si="3"/>
        <v>47.083333333333336</v>
      </c>
      <c r="J127" t="s">
        <v>109</v>
      </c>
      <c r="K127" t="s">
        <v>110</v>
      </c>
      <c r="L127" s="4">
        <v>43362.208333333328</v>
      </c>
      <c r="M127" s="4" t="s">
        <v>55</v>
      </c>
      <c r="N127" s="4" t="s">
        <v>169</v>
      </c>
      <c r="O127" s="4">
        <v>43366.208333333328</v>
      </c>
      <c r="P127" t="b">
        <v>0</v>
      </c>
      <c r="Q127" t="b">
        <v>0</v>
      </c>
      <c r="R127" t="s">
        <v>124</v>
      </c>
      <c r="S127" t="str" cm="1">
        <f t="array" ref="S127:T127">_xlfn.TEXTSPLIT(R127, "/", , FALSE)</f>
        <v>theater</v>
      </c>
      <c r="T127" t="str">
        <v>plays</v>
      </c>
    </row>
    <row r="128" spans="1:20" ht="17" x14ac:dyDescent="0.2">
      <c r="A128">
        <v>126</v>
      </c>
      <c r="B128" t="s">
        <v>398</v>
      </c>
      <c r="C128" s="3" t="s">
        <v>399</v>
      </c>
      <c r="D128">
        <v>180200</v>
      </c>
      <c r="E128">
        <v>69617</v>
      </c>
      <c r="F128" s="5">
        <f t="shared" si="2"/>
        <v>0.38633185349611543</v>
      </c>
      <c r="G128" t="s">
        <v>6</v>
      </c>
      <c r="H128">
        <v>774</v>
      </c>
      <c r="I128">
        <f t="shared" si="3"/>
        <v>89.944444444444443</v>
      </c>
      <c r="J128" t="s">
        <v>109</v>
      </c>
      <c r="K128" t="s">
        <v>110</v>
      </c>
      <c r="L128" s="4">
        <v>42596.208333333328</v>
      </c>
      <c r="M128" s="4" t="s">
        <v>54</v>
      </c>
      <c r="N128" s="4" t="s">
        <v>153</v>
      </c>
      <c r="O128" s="4">
        <v>42624.208333333328</v>
      </c>
      <c r="P128" t="b">
        <v>0</v>
      </c>
      <c r="Q128" t="b">
        <v>1</v>
      </c>
      <c r="R128" t="s">
        <v>124</v>
      </c>
      <c r="S128" t="str" cm="1">
        <f t="array" ref="S128:T128">_xlfn.TEXTSPLIT(R128, "/", , FALSE)</f>
        <v>theater</v>
      </c>
      <c r="T128" t="str">
        <v>plays</v>
      </c>
    </row>
    <row r="129" spans="1:20" ht="17" x14ac:dyDescent="0.2">
      <c r="A129">
        <v>127</v>
      </c>
      <c r="B129" t="s">
        <v>400</v>
      </c>
      <c r="C129" s="3" t="s">
        <v>401</v>
      </c>
      <c r="D129">
        <v>103200</v>
      </c>
      <c r="E129">
        <v>53067</v>
      </c>
      <c r="F129" s="5">
        <f t="shared" si="2"/>
        <v>0.51421511627906979</v>
      </c>
      <c r="G129" t="s">
        <v>6</v>
      </c>
      <c r="H129">
        <v>672</v>
      </c>
      <c r="I129">
        <f t="shared" si="3"/>
        <v>78.96875</v>
      </c>
      <c r="J129" t="s">
        <v>103</v>
      </c>
      <c r="K129" t="s">
        <v>104</v>
      </c>
      <c r="L129" s="4">
        <v>40310.208333333336</v>
      </c>
      <c r="M129" s="4" t="s">
        <v>51</v>
      </c>
      <c r="N129" s="4" t="s">
        <v>140</v>
      </c>
      <c r="O129" s="4">
        <v>40313.208333333336</v>
      </c>
      <c r="P129" t="b">
        <v>0</v>
      </c>
      <c r="Q129" t="b">
        <v>0</v>
      </c>
      <c r="R129" t="s">
        <v>124</v>
      </c>
      <c r="S129" t="str" cm="1">
        <f t="array" ref="S129:T129">_xlfn.TEXTSPLIT(R129, "/", , FALSE)</f>
        <v>theater</v>
      </c>
      <c r="T129" t="str">
        <v>plays</v>
      </c>
    </row>
    <row r="130" spans="1:20" ht="17" x14ac:dyDescent="0.2">
      <c r="A130">
        <v>128</v>
      </c>
      <c r="B130" t="s">
        <v>402</v>
      </c>
      <c r="C130" s="3" t="s">
        <v>403</v>
      </c>
      <c r="D130">
        <v>70600</v>
      </c>
      <c r="E130">
        <v>42596</v>
      </c>
      <c r="F130" s="5">
        <f t="shared" si="2"/>
        <v>0.60334277620396604</v>
      </c>
      <c r="G130" t="s">
        <v>5</v>
      </c>
      <c r="H130">
        <v>532</v>
      </c>
      <c r="I130">
        <f t="shared" si="3"/>
        <v>80.067669172932327</v>
      </c>
      <c r="J130" t="s">
        <v>109</v>
      </c>
      <c r="K130" t="s">
        <v>110</v>
      </c>
      <c r="L130" s="4">
        <v>40417.208333333336</v>
      </c>
      <c r="M130" s="4" t="s">
        <v>54</v>
      </c>
      <c r="N130" s="4" t="s">
        <v>140</v>
      </c>
      <c r="O130" s="4">
        <v>40430.208333333336</v>
      </c>
      <c r="P130" t="b">
        <v>0</v>
      </c>
      <c r="Q130" t="b">
        <v>0</v>
      </c>
      <c r="R130" t="s">
        <v>112</v>
      </c>
      <c r="S130" t="str" cm="1">
        <f t="array" ref="S130:T130">_xlfn.TEXTSPLIT(R130, "/", , FALSE)</f>
        <v>music</v>
      </c>
      <c r="T130" t="str">
        <v>rock</v>
      </c>
    </row>
    <row r="131" spans="1:20" ht="17" x14ac:dyDescent="0.2">
      <c r="A131">
        <v>129</v>
      </c>
      <c r="B131" t="s">
        <v>404</v>
      </c>
      <c r="C131" s="3" t="s">
        <v>405</v>
      </c>
      <c r="D131">
        <v>148500</v>
      </c>
      <c r="E131">
        <v>4756</v>
      </c>
      <c r="F131" s="5">
        <f t="shared" ref="F131:F194" si="4">E131/D131</f>
        <v>3.2026936026936029E-2</v>
      </c>
      <c r="G131" t="s">
        <v>5</v>
      </c>
      <c r="H131">
        <v>55</v>
      </c>
      <c r="I131">
        <f t="shared" ref="I131:I194" si="5">E131/H131</f>
        <v>86.472727272727269</v>
      </c>
      <c r="J131" t="s">
        <v>115</v>
      </c>
      <c r="K131" t="s">
        <v>116</v>
      </c>
      <c r="L131" s="4">
        <v>42038.25</v>
      </c>
      <c r="M131" s="4" t="s">
        <v>48</v>
      </c>
      <c r="N131" s="4" t="s">
        <v>105</v>
      </c>
      <c r="O131" s="4">
        <v>42063.25</v>
      </c>
      <c r="P131" t="b">
        <v>0</v>
      </c>
      <c r="Q131" t="b">
        <v>0</v>
      </c>
      <c r="R131" t="s">
        <v>106</v>
      </c>
      <c r="S131" t="str" cm="1">
        <f t="array" ref="S131:T131">_xlfn.TEXTSPLIT(R131, "/", , FALSE)</f>
        <v>food</v>
      </c>
      <c r="T131" t="str">
        <v>food trucks</v>
      </c>
    </row>
    <row r="132" spans="1:20" ht="17" x14ac:dyDescent="0.2">
      <c r="A132">
        <v>130</v>
      </c>
      <c r="B132" t="s">
        <v>406</v>
      </c>
      <c r="C132" s="3" t="s">
        <v>407</v>
      </c>
      <c r="D132">
        <v>9600</v>
      </c>
      <c r="E132">
        <v>14925</v>
      </c>
      <c r="F132" s="5">
        <f t="shared" si="4"/>
        <v>1.5546875</v>
      </c>
      <c r="G132" t="s">
        <v>8</v>
      </c>
      <c r="H132">
        <v>533</v>
      </c>
      <c r="I132">
        <f t="shared" si="5"/>
        <v>28.001876172607879</v>
      </c>
      <c r="J132" t="s">
        <v>127</v>
      </c>
      <c r="K132" t="s">
        <v>128</v>
      </c>
      <c r="L132" s="4">
        <v>40842.208333333336</v>
      </c>
      <c r="M132" s="4" t="s">
        <v>56</v>
      </c>
      <c r="N132" s="4" t="s">
        <v>165</v>
      </c>
      <c r="O132" s="4">
        <v>40858.25</v>
      </c>
      <c r="P132" t="b">
        <v>0</v>
      </c>
      <c r="Q132" t="b">
        <v>0</v>
      </c>
      <c r="R132" t="s">
        <v>146</v>
      </c>
      <c r="S132" t="str" cm="1">
        <f t="array" ref="S132:T132">_xlfn.TEXTSPLIT(R132, "/", , FALSE)</f>
        <v>film &amp; video</v>
      </c>
      <c r="T132" t="str">
        <v>drama</v>
      </c>
    </row>
    <row r="133" spans="1:20" ht="34" x14ac:dyDescent="0.2">
      <c r="A133">
        <v>131</v>
      </c>
      <c r="B133" t="s">
        <v>408</v>
      </c>
      <c r="C133" s="3" t="s">
        <v>409</v>
      </c>
      <c r="D133">
        <v>164700</v>
      </c>
      <c r="E133">
        <v>166116</v>
      </c>
      <c r="F133" s="5">
        <f t="shared" si="4"/>
        <v>1.0085974499089254</v>
      </c>
      <c r="G133" t="s">
        <v>8</v>
      </c>
      <c r="H133">
        <v>2443</v>
      </c>
      <c r="I133">
        <f t="shared" si="5"/>
        <v>67.996725337699544</v>
      </c>
      <c r="J133" t="s">
        <v>132</v>
      </c>
      <c r="K133" t="s">
        <v>133</v>
      </c>
      <c r="L133" s="4">
        <v>41607.25</v>
      </c>
      <c r="M133" s="4" t="s">
        <v>57</v>
      </c>
      <c r="N133" s="4" t="s">
        <v>117</v>
      </c>
      <c r="O133" s="4">
        <v>41620.25</v>
      </c>
      <c r="P133" t="b">
        <v>0</v>
      </c>
      <c r="Q133" t="b">
        <v>0</v>
      </c>
      <c r="R133" t="s">
        <v>118</v>
      </c>
      <c r="S133" t="str" cm="1">
        <f t="array" ref="S133:T133">_xlfn.TEXTSPLIT(R133, "/", , FALSE)</f>
        <v>technology</v>
      </c>
      <c r="T133" t="str">
        <v>web</v>
      </c>
    </row>
    <row r="134" spans="1:20" ht="17" x14ac:dyDescent="0.2">
      <c r="A134">
        <v>132</v>
      </c>
      <c r="B134" t="s">
        <v>410</v>
      </c>
      <c r="C134" s="3" t="s">
        <v>411</v>
      </c>
      <c r="D134">
        <v>3300</v>
      </c>
      <c r="E134">
        <v>3834</v>
      </c>
      <c r="F134" s="5">
        <f t="shared" si="4"/>
        <v>1.1618181818181819</v>
      </c>
      <c r="G134" t="s">
        <v>8</v>
      </c>
      <c r="H134">
        <v>89</v>
      </c>
      <c r="I134">
        <f t="shared" si="5"/>
        <v>43.078651685393261</v>
      </c>
      <c r="J134" t="s">
        <v>109</v>
      </c>
      <c r="K134" t="s">
        <v>110</v>
      </c>
      <c r="L134" s="4">
        <v>43112.25</v>
      </c>
      <c r="M134" s="4" t="s">
        <v>47</v>
      </c>
      <c r="N134" s="4" t="s">
        <v>169</v>
      </c>
      <c r="O134" s="4">
        <v>43128.25</v>
      </c>
      <c r="P134" t="b">
        <v>0</v>
      </c>
      <c r="Q134" t="b">
        <v>1</v>
      </c>
      <c r="R134" t="s">
        <v>124</v>
      </c>
      <c r="S134" t="str" cm="1">
        <f t="array" ref="S134:T134">_xlfn.TEXTSPLIT(R134, "/", , FALSE)</f>
        <v>theater</v>
      </c>
      <c r="T134" t="str">
        <v>plays</v>
      </c>
    </row>
    <row r="135" spans="1:20" ht="17" x14ac:dyDescent="0.2">
      <c r="A135">
        <v>133</v>
      </c>
      <c r="B135" t="s">
        <v>412</v>
      </c>
      <c r="C135" s="3" t="s">
        <v>413</v>
      </c>
      <c r="D135">
        <v>4500</v>
      </c>
      <c r="E135">
        <v>13985</v>
      </c>
      <c r="F135" s="5">
        <f t="shared" si="4"/>
        <v>3.1077777777777778</v>
      </c>
      <c r="G135" t="s">
        <v>8</v>
      </c>
      <c r="H135">
        <v>159</v>
      </c>
      <c r="I135">
        <f t="shared" si="5"/>
        <v>87.95597484276729</v>
      </c>
      <c r="J135" t="s">
        <v>109</v>
      </c>
      <c r="K135" t="s">
        <v>110</v>
      </c>
      <c r="L135" s="4">
        <v>40767.208333333336</v>
      </c>
      <c r="M135" s="4" t="s">
        <v>54</v>
      </c>
      <c r="N135" s="4" t="s">
        <v>165</v>
      </c>
      <c r="O135" s="4">
        <v>40789.208333333336</v>
      </c>
      <c r="P135" t="b">
        <v>0</v>
      </c>
      <c r="Q135" t="b">
        <v>0</v>
      </c>
      <c r="R135" t="s">
        <v>414</v>
      </c>
      <c r="S135" t="str" cm="1">
        <f t="array" ref="S135:T135">_xlfn.TEXTSPLIT(R135, "/", , FALSE)</f>
        <v>music</v>
      </c>
      <c r="T135" t="str">
        <v>world music</v>
      </c>
    </row>
    <row r="136" spans="1:20" ht="17" x14ac:dyDescent="0.2">
      <c r="A136">
        <v>134</v>
      </c>
      <c r="B136" t="s">
        <v>415</v>
      </c>
      <c r="C136" s="3" t="s">
        <v>416</v>
      </c>
      <c r="D136">
        <v>99500</v>
      </c>
      <c r="E136">
        <v>89288</v>
      </c>
      <c r="F136" s="5">
        <f t="shared" si="4"/>
        <v>0.89736683417085428</v>
      </c>
      <c r="G136" t="s">
        <v>6</v>
      </c>
      <c r="H136">
        <v>940</v>
      </c>
      <c r="I136">
        <f t="shared" si="5"/>
        <v>94.987234042553197</v>
      </c>
      <c r="J136" t="s">
        <v>193</v>
      </c>
      <c r="K136" t="s">
        <v>194</v>
      </c>
      <c r="L136" s="4">
        <v>40713.208333333336</v>
      </c>
      <c r="M136" s="4" t="s">
        <v>52</v>
      </c>
      <c r="N136" s="4" t="s">
        <v>165</v>
      </c>
      <c r="O136" s="4">
        <v>40762.208333333336</v>
      </c>
      <c r="P136" t="b">
        <v>0</v>
      </c>
      <c r="Q136" t="b">
        <v>1</v>
      </c>
      <c r="R136" t="s">
        <v>135</v>
      </c>
      <c r="S136" t="str" cm="1">
        <f t="array" ref="S136:T136">_xlfn.TEXTSPLIT(R136, "/", , FALSE)</f>
        <v>film &amp; video</v>
      </c>
      <c r="T136" t="str">
        <v>documentary</v>
      </c>
    </row>
    <row r="137" spans="1:20" ht="17" x14ac:dyDescent="0.2">
      <c r="A137">
        <v>135</v>
      </c>
      <c r="B137" t="s">
        <v>417</v>
      </c>
      <c r="C137" s="3" t="s">
        <v>418</v>
      </c>
      <c r="D137">
        <v>7700</v>
      </c>
      <c r="E137">
        <v>5488</v>
      </c>
      <c r="F137" s="5">
        <f t="shared" si="4"/>
        <v>0.71272727272727276</v>
      </c>
      <c r="G137" t="s">
        <v>6</v>
      </c>
      <c r="H137">
        <v>117</v>
      </c>
      <c r="I137">
        <f t="shared" si="5"/>
        <v>46.905982905982903</v>
      </c>
      <c r="J137" t="s">
        <v>109</v>
      </c>
      <c r="K137" t="s">
        <v>110</v>
      </c>
      <c r="L137" s="4">
        <v>41340.25</v>
      </c>
      <c r="M137" s="4" t="s">
        <v>49</v>
      </c>
      <c r="N137" s="4" t="s">
        <v>117</v>
      </c>
      <c r="O137" s="4">
        <v>41345.208333333336</v>
      </c>
      <c r="P137" t="b">
        <v>0</v>
      </c>
      <c r="Q137" t="b">
        <v>1</v>
      </c>
      <c r="R137" t="s">
        <v>124</v>
      </c>
      <c r="S137" t="str" cm="1">
        <f t="array" ref="S137:T137">_xlfn.TEXTSPLIT(R137, "/", , FALSE)</f>
        <v>theater</v>
      </c>
      <c r="T137" t="str">
        <v>plays</v>
      </c>
    </row>
    <row r="138" spans="1:20" ht="17" x14ac:dyDescent="0.2">
      <c r="A138">
        <v>136</v>
      </c>
      <c r="B138" t="s">
        <v>419</v>
      </c>
      <c r="C138" s="3" t="s">
        <v>420</v>
      </c>
      <c r="D138">
        <v>82800</v>
      </c>
      <c r="E138">
        <v>2721</v>
      </c>
      <c r="F138" s="5">
        <f t="shared" si="4"/>
        <v>3.2862318840579711E-2</v>
      </c>
      <c r="G138" t="s">
        <v>5</v>
      </c>
      <c r="H138">
        <v>58</v>
      </c>
      <c r="I138">
        <f t="shared" si="5"/>
        <v>46.913793103448278</v>
      </c>
      <c r="J138" t="s">
        <v>109</v>
      </c>
      <c r="K138" t="s">
        <v>110</v>
      </c>
      <c r="L138" s="4">
        <v>41797.208333333336</v>
      </c>
      <c r="M138" s="4" t="s">
        <v>52</v>
      </c>
      <c r="N138" s="4" t="s">
        <v>111</v>
      </c>
      <c r="O138" s="4">
        <v>41809.208333333336</v>
      </c>
      <c r="P138" t="b">
        <v>0</v>
      </c>
      <c r="Q138" t="b">
        <v>1</v>
      </c>
      <c r="R138" t="s">
        <v>146</v>
      </c>
      <c r="S138" t="str" cm="1">
        <f t="array" ref="S138:T138">_xlfn.TEXTSPLIT(R138, "/", , FALSE)</f>
        <v>film &amp; video</v>
      </c>
      <c r="T138" t="str">
        <v>drama</v>
      </c>
    </row>
    <row r="139" spans="1:20" ht="17" x14ac:dyDescent="0.2">
      <c r="A139">
        <v>137</v>
      </c>
      <c r="B139" t="s">
        <v>421</v>
      </c>
      <c r="C139" s="3" t="s">
        <v>422</v>
      </c>
      <c r="D139">
        <v>1800</v>
      </c>
      <c r="E139">
        <v>4712</v>
      </c>
      <c r="F139" s="5">
        <f t="shared" si="4"/>
        <v>2.617777777777778</v>
      </c>
      <c r="G139" t="s">
        <v>8</v>
      </c>
      <c r="H139">
        <v>50</v>
      </c>
      <c r="I139">
        <f t="shared" si="5"/>
        <v>94.24</v>
      </c>
      <c r="J139" t="s">
        <v>109</v>
      </c>
      <c r="K139" t="s">
        <v>110</v>
      </c>
      <c r="L139" s="4">
        <v>40457.208333333336</v>
      </c>
      <c r="M139" s="4" t="s">
        <v>56</v>
      </c>
      <c r="N139" s="4" t="s">
        <v>140</v>
      </c>
      <c r="O139" s="4">
        <v>40463.208333333336</v>
      </c>
      <c r="P139" t="b">
        <v>0</v>
      </c>
      <c r="Q139" t="b">
        <v>0</v>
      </c>
      <c r="R139" t="s">
        <v>162</v>
      </c>
      <c r="S139" t="str" cm="1">
        <f t="array" ref="S139:T139">_xlfn.TEXTSPLIT(R139, "/", , FALSE)</f>
        <v>publishing</v>
      </c>
      <c r="T139" t="str">
        <v>nonfiction</v>
      </c>
    </row>
    <row r="140" spans="1:20" ht="34" x14ac:dyDescent="0.2">
      <c r="A140">
        <v>138</v>
      </c>
      <c r="B140" t="s">
        <v>423</v>
      </c>
      <c r="C140" s="3" t="s">
        <v>424</v>
      </c>
      <c r="D140">
        <v>9600</v>
      </c>
      <c r="E140">
        <v>9216</v>
      </c>
      <c r="F140" s="5">
        <f t="shared" si="4"/>
        <v>0.96</v>
      </c>
      <c r="G140" t="s">
        <v>6</v>
      </c>
      <c r="H140">
        <v>115</v>
      </c>
      <c r="I140">
        <f t="shared" si="5"/>
        <v>80.139130434782615</v>
      </c>
      <c r="J140" t="s">
        <v>109</v>
      </c>
      <c r="K140" t="s">
        <v>110</v>
      </c>
      <c r="L140" s="4">
        <v>41180.208333333336</v>
      </c>
      <c r="M140" s="4" t="s">
        <v>55</v>
      </c>
      <c r="N140" s="4" t="s">
        <v>129</v>
      </c>
      <c r="O140" s="4">
        <v>41186.208333333336</v>
      </c>
      <c r="P140" t="b">
        <v>0</v>
      </c>
      <c r="Q140" t="b">
        <v>0</v>
      </c>
      <c r="R140" t="s">
        <v>387</v>
      </c>
      <c r="S140" t="str" cm="1">
        <f t="array" ref="S140:T140">_xlfn.TEXTSPLIT(R140, "/", , FALSE)</f>
        <v>games</v>
      </c>
      <c r="T140" t="str">
        <v>mobile games</v>
      </c>
    </row>
    <row r="141" spans="1:20" ht="17" x14ac:dyDescent="0.2">
      <c r="A141">
        <v>139</v>
      </c>
      <c r="B141" t="s">
        <v>425</v>
      </c>
      <c r="C141" s="3" t="s">
        <v>426</v>
      </c>
      <c r="D141">
        <v>92100</v>
      </c>
      <c r="E141">
        <v>19246</v>
      </c>
      <c r="F141" s="5">
        <f t="shared" si="4"/>
        <v>0.20896851248642778</v>
      </c>
      <c r="G141" t="s">
        <v>6</v>
      </c>
      <c r="H141">
        <v>326</v>
      </c>
      <c r="I141">
        <f t="shared" si="5"/>
        <v>59.036809815950917</v>
      </c>
      <c r="J141" t="s">
        <v>109</v>
      </c>
      <c r="K141" t="s">
        <v>110</v>
      </c>
      <c r="L141" s="4">
        <v>42115.208333333328</v>
      </c>
      <c r="M141" s="4" t="s">
        <v>50</v>
      </c>
      <c r="N141" s="4" t="s">
        <v>105</v>
      </c>
      <c r="O141" s="4">
        <v>42131.208333333328</v>
      </c>
      <c r="P141" t="b">
        <v>0</v>
      </c>
      <c r="Q141" t="b">
        <v>1</v>
      </c>
      <c r="R141" t="s">
        <v>159</v>
      </c>
      <c r="S141" t="str" cm="1">
        <f t="array" ref="S141:T141">_xlfn.TEXTSPLIT(R141, "/", , FALSE)</f>
        <v>technology</v>
      </c>
      <c r="T141" t="str">
        <v>wearables</v>
      </c>
    </row>
    <row r="142" spans="1:20" ht="34" x14ac:dyDescent="0.2">
      <c r="A142">
        <v>140</v>
      </c>
      <c r="B142" t="s">
        <v>427</v>
      </c>
      <c r="C142" s="3" t="s">
        <v>428</v>
      </c>
      <c r="D142">
        <v>5500</v>
      </c>
      <c r="E142">
        <v>12274</v>
      </c>
      <c r="F142" s="5">
        <f t="shared" si="4"/>
        <v>2.2316363636363636</v>
      </c>
      <c r="G142" t="s">
        <v>8</v>
      </c>
      <c r="H142">
        <v>186</v>
      </c>
      <c r="I142">
        <f t="shared" si="5"/>
        <v>65.989247311827953</v>
      </c>
      <c r="J142" t="s">
        <v>109</v>
      </c>
      <c r="K142" t="s">
        <v>110</v>
      </c>
      <c r="L142" s="4">
        <v>43156.25</v>
      </c>
      <c r="M142" s="4" t="s">
        <v>48</v>
      </c>
      <c r="N142" s="4" t="s">
        <v>169</v>
      </c>
      <c r="O142" s="4">
        <v>43161.25</v>
      </c>
      <c r="P142" t="b">
        <v>0</v>
      </c>
      <c r="Q142" t="b">
        <v>0</v>
      </c>
      <c r="R142" t="s">
        <v>135</v>
      </c>
      <c r="S142" t="str" cm="1">
        <f t="array" ref="S142:T142">_xlfn.TEXTSPLIT(R142, "/", , FALSE)</f>
        <v>film &amp; video</v>
      </c>
      <c r="T142" t="str">
        <v>documentary</v>
      </c>
    </row>
    <row r="143" spans="1:20" ht="17" x14ac:dyDescent="0.2">
      <c r="A143">
        <v>141</v>
      </c>
      <c r="B143" t="s">
        <v>429</v>
      </c>
      <c r="C143" s="3" t="s">
        <v>430</v>
      </c>
      <c r="D143">
        <v>64300</v>
      </c>
      <c r="E143">
        <v>65323</v>
      </c>
      <c r="F143" s="5">
        <f t="shared" si="4"/>
        <v>1.0159097978227061</v>
      </c>
      <c r="G143" t="s">
        <v>8</v>
      </c>
      <c r="H143">
        <v>1071</v>
      </c>
      <c r="I143">
        <f t="shared" si="5"/>
        <v>60.992530345471522</v>
      </c>
      <c r="J143" t="s">
        <v>109</v>
      </c>
      <c r="K143" t="s">
        <v>110</v>
      </c>
      <c r="L143" s="4">
        <v>42167.208333333328</v>
      </c>
      <c r="M143" s="4" t="s">
        <v>52</v>
      </c>
      <c r="N143" s="4" t="s">
        <v>105</v>
      </c>
      <c r="O143" s="4">
        <v>42173.208333333328</v>
      </c>
      <c r="P143" t="b">
        <v>0</v>
      </c>
      <c r="Q143" t="b">
        <v>0</v>
      </c>
      <c r="R143" t="s">
        <v>118</v>
      </c>
      <c r="S143" t="str" cm="1">
        <f t="array" ref="S143:T143">_xlfn.TEXTSPLIT(R143, "/", , FALSE)</f>
        <v>technology</v>
      </c>
      <c r="T143" t="str">
        <v>web</v>
      </c>
    </row>
    <row r="144" spans="1:20" ht="34" x14ac:dyDescent="0.2">
      <c r="A144">
        <v>142</v>
      </c>
      <c r="B144" t="s">
        <v>431</v>
      </c>
      <c r="C144" s="3" t="s">
        <v>432</v>
      </c>
      <c r="D144">
        <v>5000</v>
      </c>
      <c r="E144">
        <v>11502</v>
      </c>
      <c r="F144" s="5">
        <f t="shared" si="4"/>
        <v>2.3003999999999998</v>
      </c>
      <c r="G144" t="s">
        <v>8</v>
      </c>
      <c r="H144">
        <v>117</v>
      </c>
      <c r="I144">
        <f t="shared" si="5"/>
        <v>98.307692307692307</v>
      </c>
      <c r="J144" t="s">
        <v>109</v>
      </c>
      <c r="K144" t="s">
        <v>110</v>
      </c>
      <c r="L144" s="4">
        <v>41005.208333333336</v>
      </c>
      <c r="M144" s="4" t="s">
        <v>50</v>
      </c>
      <c r="N144" s="4" t="s">
        <v>129</v>
      </c>
      <c r="O144" s="4">
        <v>41046.208333333336</v>
      </c>
      <c r="P144" t="b">
        <v>0</v>
      </c>
      <c r="Q144" t="b">
        <v>0</v>
      </c>
      <c r="R144" t="s">
        <v>118</v>
      </c>
      <c r="S144" t="str" cm="1">
        <f t="array" ref="S144:T144">_xlfn.TEXTSPLIT(R144, "/", , FALSE)</f>
        <v>technology</v>
      </c>
      <c r="T144" t="str">
        <v>web</v>
      </c>
    </row>
    <row r="145" spans="1:20" ht="17" x14ac:dyDescent="0.2">
      <c r="A145">
        <v>143</v>
      </c>
      <c r="B145" t="s">
        <v>433</v>
      </c>
      <c r="C145" s="3" t="s">
        <v>434</v>
      </c>
      <c r="D145">
        <v>5400</v>
      </c>
      <c r="E145">
        <v>7322</v>
      </c>
      <c r="F145" s="5">
        <f t="shared" si="4"/>
        <v>1.355925925925926</v>
      </c>
      <c r="G145" t="s">
        <v>8</v>
      </c>
      <c r="H145">
        <v>70</v>
      </c>
      <c r="I145">
        <f t="shared" si="5"/>
        <v>104.6</v>
      </c>
      <c r="J145" t="s">
        <v>109</v>
      </c>
      <c r="K145" t="s">
        <v>110</v>
      </c>
      <c r="L145" s="4">
        <v>40357.208333333336</v>
      </c>
      <c r="M145" s="4" t="s">
        <v>52</v>
      </c>
      <c r="N145" s="4" t="s">
        <v>140</v>
      </c>
      <c r="O145" s="4">
        <v>40377.208333333336</v>
      </c>
      <c r="P145" t="b">
        <v>0</v>
      </c>
      <c r="Q145" t="b">
        <v>0</v>
      </c>
      <c r="R145" t="s">
        <v>154</v>
      </c>
      <c r="S145" t="str" cm="1">
        <f t="array" ref="S145:T145">_xlfn.TEXTSPLIT(R145, "/", , FALSE)</f>
        <v>music</v>
      </c>
      <c r="T145" t="str">
        <v>indie rock</v>
      </c>
    </row>
    <row r="146" spans="1:20" ht="17" x14ac:dyDescent="0.2">
      <c r="A146">
        <v>144</v>
      </c>
      <c r="B146" t="s">
        <v>435</v>
      </c>
      <c r="C146" s="3" t="s">
        <v>436</v>
      </c>
      <c r="D146">
        <v>9000</v>
      </c>
      <c r="E146">
        <v>11619</v>
      </c>
      <c r="F146" s="5">
        <f t="shared" si="4"/>
        <v>1.2909999999999999</v>
      </c>
      <c r="G146" t="s">
        <v>8</v>
      </c>
      <c r="H146">
        <v>135</v>
      </c>
      <c r="I146">
        <f t="shared" si="5"/>
        <v>86.066666666666663</v>
      </c>
      <c r="J146" t="s">
        <v>109</v>
      </c>
      <c r="K146" t="s">
        <v>110</v>
      </c>
      <c r="L146" s="4">
        <v>43633.208333333328</v>
      </c>
      <c r="M146" s="4" t="s">
        <v>52</v>
      </c>
      <c r="N146" s="4" t="s">
        <v>121</v>
      </c>
      <c r="O146" s="4">
        <v>43641.208333333328</v>
      </c>
      <c r="P146" t="b">
        <v>0</v>
      </c>
      <c r="Q146" t="b">
        <v>0</v>
      </c>
      <c r="R146" t="s">
        <v>124</v>
      </c>
      <c r="S146" t="str" cm="1">
        <f t="array" ref="S146:T146">_xlfn.TEXTSPLIT(R146, "/", , FALSE)</f>
        <v>theater</v>
      </c>
      <c r="T146" t="str">
        <v>plays</v>
      </c>
    </row>
    <row r="147" spans="1:20" ht="17" x14ac:dyDescent="0.2">
      <c r="A147">
        <v>145</v>
      </c>
      <c r="B147" t="s">
        <v>437</v>
      </c>
      <c r="C147" s="3" t="s">
        <v>438</v>
      </c>
      <c r="D147">
        <v>25000</v>
      </c>
      <c r="E147">
        <v>59128</v>
      </c>
      <c r="F147" s="5">
        <f t="shared" si="4"/>
        <v>2.3651200000000001</v>
      </c>
      <c r="G147" t="s">
        <v>8</v>
      </c>
      <c r="H147">
        <v>768</v>
      </c>
      <c r="I147">
        <f t="shared" si="5"/>
        <v>76.989583333333329</v>
      </c>
      <c r="J147" t="s">
        <v>193</v>
      </c>
      <c r="K147" t="s">
        <v>194</v>
      </c>
      <c r="L147" s="4">
        <v>41889.208333333336</v>
      </c>
      <c r="M147" s="4" t="s">
        <v>55</v>
      </c>
      <c r="N147" s="4" t="s">
        <v>111</v>
      </c>
      <c r="O147" s="4">
        <v>41894.208333333336</v>
      </c>
      <c r="P147" t="b">
        <v>0</v>
      </c>
      <c r="Q147" t="b">
        <v>0</v>
      </c>
      <c r="R147" t="s">
        <v>159</v>
      </c>
      <c r="S147" t="str" cm="1">
        <f t="array" ref="S147:T147">_xlfn.TEXTSPLIT(R147, "/", , FALSE)</f>
        <v>technology</v>
      </c>
      <c r="T147" t="str">
        <v>wearables</v>
      </c>
    </row>
    <row r="148" spans="1:20" ht="34" x14ac:dyDescent="0.2">
      <c r="A148">
        <v>146</v>
      </c>
      <c r="B148" t="s">
        <v>439</v>
      </c>
      <c r="C148" s="3" t="s">
        <v>440</v>
      </c>
      <c r="D148">
        <v>8800</v>
      </c>
      <c r="E148">
        <v>1518</v>
      </c>
      <c r="F148" s="5">
        <f t="shared" si="4"/>
        <v>0.17249999999999999</v>
      </c>
      <c r="G148" t="s">
        <v>5</v>
      </c>
      <c r="H148">
        <v>51</v>
      </c>
      <c r="I148">
        <f t="shared" si="5"/>
        <v>29.764705882352942</v>
      </c>
      <c r="J148" t="s">
        <v>109</v>
      </c>
      <c r="K148" t="s">
        <v>110</v>
      </c>
      <c r="L148" s="4">
        <v>40855.25</v>
      </c>
      <c r="M148" s="4" t="s">
        <v>57</v>
      </c>
      <c r="N148" s="4" t="s">
        <v>165</v>
      </c>
      <c r="O148" s="4">
        <v>40875.25</v>
      </c>
      <c r="P148" t="b">
        <v>0</v>
      </c>
      <c r="Q148" t="b">
        <v>0</v>
      </c>
      <c r="R148" t="s">
        <v>124</v>
      </c>
      <c r="S148" t="str" cm="1">
        <f t="array" ref="S148:T148">_xlfn.TEXTSPLIT(R148, "/", , FALSE)</f>
        <v>theater</v>
      </c>
      <c r="T148" t="str">
        <v>plays</v>
      </c>
    </row>
    <row r="149" spans="1:20" ht="34" x14ac:dyDescent="0.2">
      <c r="A149">
        <v>147</v>
      </c>
      <c r="B149" t="s">
        <v>441</v>
      </c>
      <c r="C149" s="3" t="s">
        <v>442</v>
      </c>
      <c r="D149">
        <v>8300</v>
      </c>
      <c r="E149">
        <v>9337</v>
      </c>
      <c r="F149" s="5">
        <f t="shared" si="4"/>
        <v>1.1249397590361445</v>
      </c>
      <c r="G149" t="s">
        <v>8</v>
      </c>
      <c r="H149">
        <v>199</v>
      </c>
      <c r="I149">
        <f t="shared" si="5"/>
        <v>46.91959798994975</v>
      </c>
      <c r="J149" t="s">
        <v>109</v>
      </c>
      <c r="K149" t="s">
        <v>110</v>
      </c>
      <c r="L149" s="4">
        <v>42534.208333333328</v>
      </c>
      <c r="M149" s="4" t="s">
        <v>52</v>
      </c>
      <c r="N149" s="4" t="s">
        <v>153</v>
      </c>
      <c r="O149" s="4">
        <v>42540.208333333328</v>
      </c>
      <c r="P149" t="b">
        <v>0</v>
      </c>
      <c r="Q149" t="b">
        <v>1</v>
      </c>
      <c r="R149" t="s">
        <v>124</v>
      </c>
      <c r="S149" t="str" cm="1">
        <f t="array" ref="S149:T149">_xlfn.TEXTSPLIT(R149, "/", , FALSE)</f>
        <v>theater</v>
      </c>
      <c r="T149" t="str">
        <v>plays</v>
      </c>
    </row>
    <row r="150" spans="1:20" ht="17" x14ac:dyDescent="0.2">
      <c r="A150">
        <v>148</v>
      </c>
      <c r="B150" t="s">
        <v>443</v>
      </c>
      <c r="C150" s="3" t="s">
        <v>444</v>
      </c>
      <c r="D150">
        <v>9300</v>
      </c>
      <c r="E150">
        <v>11255</v>
      </c>
      <c r="F150" s="5">
        <f t="shared" si="4"/>
        <v>1.2102150537634409</v>
      </c>
      <c r="G150" t="s">
        <v>8</v>
      </c>
      <c r="H150">
        <v>107</v>
      </c>
      <c r="I150">
        <f t="shared" si="5"/>
        <v>105.18691588785046</v>
      </c>
      <c r="J150" t="s">
        <v>109</v>
      </c>
      <c r="K150" t="s">
        <v>110</v>
      </c>
      <c r="L150" s="4">
        <v>42941.208333333328</v>
      </c>
      <c r="M150" s="4" t="s">
        <v>53</v>
      </c>
      <c r="N150" s="4" t="s">
        <v>134</v>
      </c>
      <c r="O150" s="4">
        <v>42950.208333333328</v>
      </c>
      <c r="P150" t="b">
        <v>0</v>
      </c>
      <c r="Q150" t="b">
        <v>0</v>
      </c>
      <c r="R150" t="s">
        <v>159</v>
      </c>
      <c r="S150" t="str" cm="1">
        <f t="array" ref="S150:T150">_xlfn.TEXTSPLIT(R150, "/", , FALSE)</f>
        <v>technology</v>
      </c>
      <c r="T150" t="str">
        <v>wearables</v>
      </c>
    </row>
    <row r="151" spans="1:20" ht="17" x14ac:dyDescent="0.2">
      <c r="A151">
        <v>149</v>
      </c>
      <c r="B151" t="s">
        <v>445</v>
      </c>
      <c r="C151" s="3" t="s">
        <v>446</v>
      </c>
      <c r="D151">
        <v>6200</v>
      </c>
      <c r="E151">
        <v>13632</v>
      </c>
      <c r="F151" s="5">
        <f t="shared" si="4"/>
        <v>2.1987096774193549</v>
      </c>
      <c r="G151" t="s">
        <v>8</v>
      </c>
      <c r="H151">
        <v>195</v>
      </c>
      <c r="I151">
        <f t="shared" si="5"/>
        <v>69.907692307692301</v>
      </c>
      <c r="J151" t="s">
        <v>109</v>
      </c>
      <c r="K151" t="s">
        <v>110</v>
      </c>
      <c r="L151" s="4">
        <v>41275.25</v>
      </c>
      <c r="M151" s="4" t="s">
        <v>47</v>
      </c>
      <c r="N151" s="4" t="s">
        <v>117</v>
      </c>
      <c r="O151" s="4">
        <v>41327.25</v>
      </c>
      <c r="P151" t="b">
        <v>0</v>
      </c>
      <c r="Q151" t="b">
        <v>0</v>
      </c>
      <c r="R151" t="s">
        <v>154</v>
      </c>
      <c r="S151" t="str" cm="1">
        <f t="array" ref="S151:T151">_xlfn.TEXTSPLIT(R151, "/", , FALSE)</f>
        <v>music</v>
      </c>
      <c r="T151" t="str">
        <v>indie rock</v>
      </c>
    </row>
    <row r="152" spans="1:20" ht="17" x14ac:dyDescent="0.2">
      <c r="A152">
        <v>150</v>
      </c>
      <c r="B152" t="s">
        <v>447</v>
      </c>
      <c r="C152" s="3" t="s">
        <v>448</v>
      </c>
      <c r="D152">
        <v>100</v>
      </c>
      <c r="E152">
        <v>1</v>
      </c>
      <c r="F152" s="5">
        <f t="shared" si="4"/>
        <v>0.01</v>
      </c>
      <c r="G152" t="s">
        <v>6</v>
      </c>
      <c r="H152">
        <v>1</v>
      </c>
      <c r="I152">
        <f t="shared" si="5"/>
        <v>1</v>
      </c>
      <c r="J152" t="s">
        <v>109</v>
      </c>
      <c r="K152" t="s">
        <v>110</v>
      </c>
      <c r="L152" s="4">
        <v>43450.25</v>
      </c>
      <c r="M152" s="4" t="s">
        <v>58</v>
      </c>
      <c r="N152" s="4" t="s">
        <v>169</v>
      </c>
      <c r="O152" s="4">
        <v>43451.25</v>
      </c>
      <c r="P152" t="b">
        <v>0</v>
      </c>
      <c r="Q152" t="b">
        <v>0</v>
      </c>
      <c r="R152" t="s">
        <v>112</v>
      </c>
      <c r="S152" t="str" cm="1">
        <f t="array" ref="S152:T152">_xlfn.TEXTSPLIT(R152, "/", , FALSE)</f>
        <v>music</v>
      </c>
      <c r="T152" t="str">
        <v>rock</v>
      </c>
    </row>
    <row r="153" spans="1:20" ht="17" x14ac:dyDescent="0.2">
      <c r="A153">
        <v>151</v>
      </c>
      <c r="B153" t="s">
        <v>449</v>
      </c>
      <c r="C153" s="3" t="s">
        <v>450</v>
      </c>
      <c r="D153">
        <v>137200</v>
      </c>
      <c r="E153">
        <v>88037</v>
      </c>
      <c r="F153" s="5">
        <f t="shared" si="4"/>
        <v>0.64166909620991253</v>
      </c>
      <c r="G153" t="s">
        <v>6</v>
      </c>
      <c r="H153">
        <v>1467</v>
      </c>
      <c r="I153">
        <f t="shared" si="5"/>
        <v>60.011588275391958</v>
      </c>
      <c r="J153" t="s">
        <v>109</v>
      </c>
      <c r="K153" t="s">
        <v>110</v>
      </c>
      <c r="L153" s="4">
        <v>41799.208333333336</v>
      </c>
      <c r="M153" s="4" t="s">
        <v>52</v>
      </c>
      <c r="N153" s="4" t="s">
        <v>111</v>
      </c>
      <c r="O153" s="4">
        <v>41850.208333333336</v>
      </c>
      <c r="P153" t="b">
        <v>0</v>
      </c>
      <c r="Q153" t="b">
        <v>0</v>
      </c>
      <c r="R153" t="s">
        <v>143</v>
      </c>
      <c r="S153" t="str" cm="1">
        <f t="array" ref="S153:T153">_xlfn.TEXTSPLIT(R153, "/", , FALSE)</f>
        <v>music</v>
      </c>
      <c r="T153" t="str">
        <v>electric music</v>
      </c>
    </row>
    <row r="154" spans="1:20" ht="17" x14ac:dyDescent="0.2">
      <c r="A154">
        <v>152</v>
      </c>
      <c r="B154" t="s">
        <v>451</v>
      </c>
      <c r="C154" s="3" t="s">
        <v>452</v>
      </c>
      <c r="D154">
        <v>41500</v>
      </c>
      <c r="E154">
        <v>175573</v>
      </c>
      <c r="F154" s="5">
        <f t="shared" si="4"/>
        <v>4.2306746987951804</v>
      </c>
      <c r="G154" t="s">
        <v>8</v>
      </c>
      <c r="H154">
        <v>3376</v>
      </c>
      <c r="I154">
        <f t="shared" si="5"/>
        <v>52.006220379146917</v>
      </c>
      <c r="J154" t="s">
        <v>109</v>
      </c>
      <c r="K154" t="s">
        <v>110</v>
      </c>
      <c r="L154" s="4">
        <v>42783.25</v>
      </c>
      <c r="M154" s="4" t="s">
        <v>48</v>
      </c>
      <c r="N154" s="4" t="s">
        <v>134</v>
      </c>
      <c r="O154" s="4">
        <v>42790.25</v>
      </c>
      <c r="P154" t="b">
        <v>0</v>
      </c>
      <c r="Q154" t="b">
        <v>0</v>
      </c>
      <c r="R154" t="s">
        <v>154</v>
      </c>
      <c r="S154" t="str" cm="1">
        <f t="array" ref="S154:T154">_xlfn.TEXTSPLIT(R154, "/", , FALSE)</f>
        <v>music</v>
      </c>
      <c r="T154" t="str">
        <v>indie rock</v>
      </c>
    </row>
    <row r="155" spans="1:20" ht="17" x14ac:dyDescent="0.2">
      <c r="A155">
        <v>153</v>
      </c>
      <c r="B155" t="s">
        <v>453</v>
      </c>
      <c r="C155" s="3" t="s">
        <v>454</v>
      </c>
      <c r="D155">
        <v>189400</v>
      </c>
      <c r="E155">
        <v>176112</v>
      </c>
      <c r="F155" s="5">
        <f t="shared" si="4"/>
        <v>0.92984160506863778</v>
      </c>
      <c r="G155" t="s">
        <v>6</v>
      </c>
      <c r="H155">
        <v>5681</v>
      </c>
      <c r="I155">
        <f t="shared" si="5"/>
        <v>31.000176025347649</v>
      </c>
      <c r="J155" t="s">
        <v>109</v>
      </c>
      <c r="K155" t="s">
        <v>110</v>
      </c>
      <c r="L155" s="4">
        <v>41201.208333333336</v>
      </c>
      <c r="M155" s="4" t="s">
        <v>56</v>
      </c>
      <c r="N155" s="4" t="s">
        <v>129</v>
      </c>
      <c r="O155" s="4">
        <v>41207.208333333336</v>
      </c>
      <c r="P155" t="b">
        <v>0</v>
      </c>
      <c r="Q155" t="b">
        <v>0</v>
      </c>
      <c r="R155" t="s">
        <v>124</v>
      </c>
      <c r="S155" t="str" cm="1">
        <f t="array" ref="S155:T155">_xlfn.TEXTSPLIT(R155, "/", , FALSE)</f>
        <v>theater</v>
      </c>
      <c r="T155" t="str">
        <v>plays</v>
      </c>
    </row>
    <row r="156" spans="1:20" ht="17" x14ac:dyDescent="0.2">
      <c r="A156">
        <v>154</v>
      </c>
      <c r="B156" t="s">
        <v>455</v>
      </c>
      <c r="C156" s="3" t="s">
        <v>456</v>
      </c>
      <c r="D156">
        <v>171300</v>
      </c>
      <c r="E156">
        <v>100650</v>
      </c>
      <c r="F156" s="5">
        <f t="shared" si="4"/>
        <v>0.58756567425569173</v>
      </c>
      <c r="G156" t="s">
        <v>6</v>
      </c>
      <c r="H156">
        <v>1059</v>
      </c>
      <c r="I156">
        <f t="shared" si="5"/>
        <v>95.042492917847028</v>
      </c>
      <c r="J156" t="s">
        <v>109</v>
      </c>
      <c r="K156" t="s">
        <v>110</v>
      </c>
      <c r="L156" s="4">
        <v>42502.208333333328</v>
      </c>
      <c r="M156" s="4" t="s">
        <v>51</v>
      </c>
      <c r="N156" s="4" t="s">
        <v>153</v>
      </c>
      <c r="O156" s="4">
        <v>42525.208333333328</v>
      </c>
      <c r="P156" t="b">
        <v>0</v>
      </c>
      <c r="Q156" t="b">
        <v>1</v>
      </c>
      <c r="R156" t="s">
        <v>154</v>
      </c>
      <c r="S156" t="str" cm="1">
        <f t="array" ref="S156:T156">_xlfn.TEXTSPLIT(R156, "/", , FALSE)</f>
        <v>music</v>
      </c>
      <c r="T156" t="str">
        <v>indie rock</v>
      </c>
    </row>
    <row r="157" spans="1:20" ht="17" x14ac:dyDescent="0.2">
      <c r="A157">
        <v>155</v>
      </c>
      <c r="B157" t="s">
        <v>457</v>
      </c>
      <c r="C157" s="3" t="s">
        <v>458</v>
      </c>
      <c r="D157">
        <v>139500</v>
      </c>
      <c r="E157">
        <v>90706</v>
      </c>
      <c r="F157" s="5">
        <f t="shared" si="4"/>
        <v>0.65022222222222226</v>
      </c>
      <c r="G157" t="s">
        <v>6</v>
      </c>
      <c r="H157">
        <v>1194</v>
      </c>
      <c r="I157">
        <f t="shared" si="5"/>
        <v>75.968174204355108</v>
      </c>
      <c r="J157" t="s">
        <v>109</v>
      </c>
      <c r="K157" t="s">
        <v>110</v>
      </c>
      <c r="L157" s="4">
        <v>40262.208333333336</v>
      </c>
      <c r="M157" s="4" t="s">
        <v>49</v>
      </c>
      <c r="N157" s="4" t="s">
        <v>140</v>
      </c>
      <c r="O157" s="4">
        <v>40277.208333333336</v>
      </c>
      <c r="P157" t="b">
        <v>0</v>
      </c>
      <c r="Q157" t="b">
        <v>0</v>
      </c>
      <c r="R157" t="s">
        <v>124</v>
      </c>
      <c r="S157" t="str" cm="1">
        <f t="array" ref="S157:T157">_xlfn.TEXTSPLIT(R157, "/", , FALSE)</f>
        <v>theater</v>
      </c>
      <c r="T157" t="str">
        <v>plays</v>
      </c>
    </row>
    <row r="158" spans="1:20" ht="17" x14ac:dyDescent="0.2">
      <c r="A158">
        <v>156</v>
      </c>
      <c r="B158" t="s">
        <v>459</v>
      </c>
      <c r="C158" s="3" t="s">
        <v>460</v>
      </c>
      <c r="D158">
        <v>36400</v>
      </c>
      <c r="E158">
        <v>26914</v>
      </c>
      <c r="F158" s="5">
        <f t="shared" si="4"/>
        <v>0.73939560439560437</v>
      </c>
      <c r="G158" t="s">
        <v>5</v>
      </c>
      <c r="H158">
        <v>379</v>
      </c>
      <c r="I158">
        <f t="shared" si="5"/>
        <v>71.013192612137203</v>
      </c>
      <c r="J158" t="s">
        <v>115</v>
      </c>
      <c r="K158" t="s">
        <v>116</v>
      </c>
      <c r="L158" s="4">
        <v>43743.208333333328</v>
      </c>
      <c r="M158" s="4" t="s">
        <v>56</v>
      </c>
      <c r="N158" s="4" t="s">
        <v>121</v>
      </c>
      <c r="O158" s="4">
        <v>43767.208333333328</v>
      </c>
      <c r="P158" t="b">
        <v>0</v>
      </c>
      <c r="Q158" t="b">
        <v>0</v>
      </c>
      <c r="R158" t="s">
        <v>112</v>
      </c>
      <c r="S158" t="str" cm="1">
        <f t="array" ref="S158:T158">_xlfn.TEXTSPLIT(R158, "/", , FALSE)</f>
        <v>music</v>
      </c>
      <c r="T158" t="str">
        <v>rock</v>
      </c>
    </row>
    <row r="159" spans="1:20" ht="17" x14ac:dyDescent="0.2">
      <c r="A159">
        <v>157</v>
      </c>
      <c r="B159" t="s">
        <v>461</v>
      </c>
      <c r="C159" s="3" t="s">
        <v>462</v>
      </c>
      <c r="D159">
        <v>4200</v>
      </c>
      <c r="E159">
        <v>2212</v>
      </c>
      <c r="F159" s="5">
        <f t="shared" si="4"/>
        <v>0.52666666666666662</v>
      </c>
      <c r="G159" t="s">
        <v>6</v>
      </c>
      <c r="H159">
        <v>30</v>
      </c>
      <c r="I159">
        <f t="shared" si="5"/>
        <v>73.733333333333334</v>
      </c>
      <c r="J159" t="s">
        <v>115</v>
      </c>
      <c r="K159" t="s">
        <v>116</v>
      </c>
      <c r="L159" s="4">
        <v>41638.25</v>
      </c>
      <c r="M159" s="4" t="s">
        <v>58</v>
      </c>
      <c r="N159" s="4" t="s">
        <v>117</v>
      </c>
      <c r="O159" s="4">
        <v>41650.25</v>
      </c>
      <c r="P159" t="b">
        <v>0</v>
      </c>
      <c r="Q159" t="b">
        <v>0</v>
      </c>
      <c r="R159" t="s">
        <v>217</v>
      </c>
      <c r="S159" t="str" cm="1">
        <f t="array" ref="S159:T159">_xlfn.TEXTSPLIT(R159, "/", , FALSE)</f>
        <v>photography</v>
      </c>
      <c r="T159" t="str">
        <v>photography books</v>
      </c>
    </row>
    <row r="160" spans="1:20" ht="17" x14ac:dyDescent="0.2">
      <c r="A160">
        <v>158</v>
      </c>
      <c r="B160" t="s">
        <v>463</v>
      </c>
      <c r="C160" s="3" t="s">
        <v>464</v>
      </c>
      <c r="D160">
        <v>2100</v>
      </c>
      <c r="E160">
        <v>4640</v>
      </c>
      <c r="F160" s="5">
        <f t="shared" si="4"/>
        <v>2.2095238095238097</v>
      </c>
      <c r="G160" t="s">
        <v>8</v>
      </c>
      <c r="H160">
        <v>41</v>
      </c>
      <c r="I160">
        <f t="shared" si="5"/>
        <v>113.17073170731707</v>
      </c>
      <c r="J160" t="s">
        <v>109</v>
      </c>
      <c r="K160" t="s">
        <v>110</v>
      </c>
      <c r="L160" s="4">
        <v>42346.25</v>
      </c>
      <c r="M160" s="4" t="s">
        <v>58</v>
      </c>
      <c r="N160" s="4" t="s">
        <v>105</v>
      </c>
      <c r="O160" s="4">
        <v>42347.25</v>
      </c>
      <c r="P160" t="b">
        <v>0</v>
      </c>
      <c r="Q160" t="b">
        <v>0</v>
      </c>
      <c r="R160" t="s">
        <v>112</v>
      </c>
      <c r="S160" t="str" cm="1">
        <f t="array" ref="S160:T160">_xlfn.TEXTSPLIT(R160, "/", , FALSE)</f>
        <v>music</v>
      </c>
      <c r="T160" t="str">
        <v>rock</v>
      </c>
    </row>
    <row r="161" spans="1:20" ht="17" x14ac:dyDescent="0.2">
      <c r="A161">
        <v>159</v>
      </c>
      <c r="B161" t="s">
        <v>465</v>
      </c>
      <c r="C161" s="3" t="s">
        <v>466</v>
      </c>
      <c r="D161">
        <v>191200</v>
      </c>
      <c r="E161">
        <v>191222</v>
      </c>
      <c r="F161" s="5">
        <f t="shared" si="4"/>
        <v>1.0001150627615063</v>
      </c>
      <c r="G161" t="s">
        <v>8</v>
      </c>
      <c r="H161">
        <v>1821</v>
      </c>
      <c r="I161">
        <f t="shared" si="5"/>
        <v>105.00933552992861</v>
      </c>
      <c r="J161" t="s">
        <v>109</v>
      </c>
      <c r="K161" t="s">
        <v>110</v>
      </c>
      <c r="L161" s="4">
        <v>43551.208333333328</v>
      </c>
      <c r="M161" s="4" t="s">
        <v>49</v>
      </c>
      <c r="N161" s="4" t="s">
        <v>121</v>
      </c>
      <c r="O161" s="4">
        <v>43569.208333333328</v>
      </c>
      <c r="P161" t="b">
        <v>0</v>
      </c>
      <c r="Q161" t="b">
        <v>1</v>
      </c>
      <c r="R161" t="s">
        <v>124</v>
      </c>
      <c r="S161" t="str" cm="1">
        <f t="array" ref="S161:T161">_xlfn.TEXTSPLIT(R161, "/", , FALSE)</f>
        <v>theater</v>
      </c>
      <c r="T161" t="str">
        <v>plays</v>
      </c>
    </row>
    <row r="162" spans="1:20" ht="17" x14ac:dyDescent="0.2">
      <c r="A162">
        <v>160</v>
      </c>
      <c r="B162" t="s">
        <v>467</v>
      </c>
      <c r="C162" s="3" t="s">
        <v>468</v>
      </c>
      <c r="D162">
        <v>8000</v>
      </c>
      <c r="E162">
        <v>12985</v>
      </c>
      <c r="F162" s="5">
        <f t="shared" si="4"/>
        <v>1.6231249999999999</v>
      </c>
      <c r="G162" t="s">
        <v>8</v>
      </c>
      <c r="H162">
        <v>164</v>
      </c>
      <c r="I162">
        <f t="shared" si="5"/>
        <v>79.176829268292678</v>
      </c>
      <c r="J162" t="s">
        <v>109</v>
      </c>
      <c r="K162" t="s">
        <v>110</v>
      </c>
      <c r="L162" s="4">
        <v>43582.208333333328</v>
      </c>
      <c r="M162" s="4" t="s">
        <v>50</v>
      </c>
      <c r="N162" s="4" t="s">
        <v>121</v>
      </c>
      <c r="O162" s="4">
        <v>43598.208333333328</v>
      </c>
      <c r="P162" t="b">
        <v>0</v>
      </c>
      <c r="Q162" t="b">
        <v>0</v>
      </c>
      <c r="R162" t="s">
        <v>159</v>
      </c>
      <c r="S162" t="str" cm="1">
        <f t="array" ref="S162:T162">_xlfn.TEXTSPLIT(R162, "/", , FALSE)</f>
        <v>technology</v>
      </c>
      <c r="T162" t="str">
        <v>wearables</v>
      </c>
    </row>
    <row r="163" spans="1:20" ht="34" x14ac:dyDescent="0.2">
      <c r="A163">
        <v>161</v>
      </c>
      <c r="B163" t="s">
        <v>469</v>
      </c>
      <c r="C163" s="3" t="s">
        <v>470</v>
      </c>
      <c r="D163">
        <v>5500</v>
      </c>
      <c r="E163">
        <v>4300</v>
      </c>
      <c r="F163" s="5">
        <f t="shared" si="4"/>
        <v>0.78181818181818186</v>
      </c>
      <c r="G163" t="s">
        <v>6</v>
      </c>
      <c r="H163">
        <v>75</v>
      </c>
      <c r="I163">
        <f t="shared" si="5"/>
        <v>57.333333333333336</v>
      </c>
      <c r="J163" t="s">
        <v>109</v>
      </c>
      <c r="K163" t="s">
        <v>110</v>
      </c>
      <c r="L163" s="4">
        <v>42270.208333333328</v>
      </c>
      <c r="M163" s="4" t="s">
        <v>55</v>
      </c>
      <c r="N163" s="4" t="s">
        <v>105</v>
      </c>
      <c r="O163" s="4">
        <v>42276.208333333328</v>
      </c>
      <c r="P163" t="b">
        <v>0</v>
      </c>
      <c r="Q163" t="b">
        <v>1</v>
      </c>
      <c r="R163" t="s">
        <v>118</v>
      </c>
      <c r="S163" t="str" cm="1">
        <f t="array" ref="S163:T163">_xlfn.TEXTSPLIT(R163, "/", , FALSE)</f>
        <v>technology</v>
      </c>
      <c r="T163" t="str">
        <v>web</v>
      </c>
    </row>
    <row r="164" spans="1:20" ht="34" x14ac:dyDescent="0.2">
      <c r="A164">
        <v>162</v>
      </c>
      <c r="B164" t="s">
        <v>471</v>
      </c>
      <c r="C164" s="3" t="s">
        <v>472</v>
      </c>
      <c r="D164">
        <v>6100</v>
      </c>
      <c r="E164">
        <v>9134</v>
      </c>
      <c r="F164" s="5">
        <f t="shared" si="4"/>
        <v>1.4973770491803278</v>
      </c>
      <c r="G164" t="s">
        <v>8</v>
      </c>
      <c r="H164">
        <v>157</v>
      </c>
      <c r="I164">
        <f t="shared" si="5"/>
        <v>58.178343949044589</v>
      </c>
      <c r="J164" t="s">
        <v>193</v>
      </c>
      <c r="K164" t="s">
        <v>194</v>
      </c>
      <c r="L164" s="4">
        <v>43442.25</v>
      </c>
      <c r="M164" s="4" t="s">
        <v>58</v>
      </c>
      <c r="N164" s="4" t="s">
        <v>169</v>
      </c>
      <c r="O164" s="4">
        <v>43472.25</v>
      </c>
      <c r="P164" t="b">
        <v>0</v>
      </c>
      <c r="Q164" t="b">
        <v>0</v>
      </c>
      <c r="R164" t="s">
        <v>112</v>
      </c>
      <c r="S164" t="str" cm="1">
        <f t="array" ref="S164:T164">_xlfn.TEXTSPLIT(R164, "/", , FALSE)</f>
        <v>music</v>
      </c>
      <c r="T164" t="str">
        <v>rock</v>
      </c>
    </row>
    <row r="165" spans="1:20" ht="17" x14ac:dyDescent="0.2">
      <c r="A165">
        <v>163</v>
      </c>
      <c r="B165" t="s">
        <v>473</v>
      </c>
      <c r="C165" s="3" t="s">
        <v>474</v>
      </c>
      <c r="D165">
        <v>3500</v>
      </c>
      <c r="E165">
        <v>8864</v>
      </c>
      <c r="F165" s="5">
        <f t="shared" si="4"/>
        <v>2.5325714285714285</v>
      </c>
      <c r="G165" t="s">
        <v>8</v>
      </c>
      <c r="H165">
        <v>246</v>
      </c>
      <c r="I165">
        <f t="shared" si="5"/>
        <v>36.032520325203251</v>
      </c>
      <c r="J165" t="s">
        <v>109</v>
      </c>
      <c r="K165" t="s">
        <v>110</v>
      </c>
      <c r="L165" s="4">
        <v>43028.208333333328</v>
      </c>
      <c r="M165" s="4" t="s">
        <v>56</v>
      </c>
      <c r="N165" s="4" t="s">
        <v>134</v>
      </c>
      <c r="O165" s="4">
        <v>43077.25</v>
      </c>
      <c r="P165" t="b">
        <v>0</v>
      </c>
      <c r="Q165" t="b">
        <v>1</v>
      </c>
      <c r="R165" t="s">
        <v>217</v>
      </c>
      <c r="S165" t="str" cm="1">
        <f t="array" ref="S165:T165">_xlfn.TEXTSPLIT(R165, "/", , FALSE)</f>
        <v>photography</v>
      </c>
      <c r="T165" t="str">
        <v>photography books</v>
      </c>
    </row>
    <row r="166" spans="1:20" ht="17" x14ac:dyDescent="0.2">
      <c r="A166">
        <v>164</v>
      </c>
      <c r="B166" t="s">
        <v>475</v>
      </c>
      <c r="C166" s="3" t="s">
        <v>476</v>
      </c>
      <c r="D166">
        <v>150500</v>
      </c>
      <c r="E166">
        <v>150755</v>
      </c>
      <c r="F166" s="5">
        <f t="shared" si="4"/>
        <v>1.0016943521594683</v>
      </c>
      <c r="G166" t="s">
        <v>8</v>
      </c>
      <c r="H166">
        <v>1396</v>
      </c>
      <c r="I166">
        <f t="shared" si="5"/>
        <v>107.99068767908309</v>
      </c>
      <c r="J166" t="s">
        <v>109</v>
      </c>
      <c r="K166" t="s">
        <v>110</v>
      </c>
      <c r="L166" s="4">
        <v>43016.208333333328</v>
      </c>
      <c r="M166" s="4" t="s">
        <v>56</v>
      </c>
      <c r="N166" s="4" t="s">
        <v>134</v>
      </c>
      <c r="O166" s="4">
        <v>43017.208333333328</v>
      </c>
      <c r="P166" t="b">
        <v>0</v>
      </c>
      <c r="Q166" t="b">
        <v>0</v>
      </c>
      <c r="R166" t="s">
        <v>124</v>
      </c>
      <c r="S166" t="str" cm="1">
        <f t="array" ref="S166:T166">_xlfn.TEXTSPLIT(R166, "/", , FALSE)</f>
        <v>theater</v>
      </c>
      <c r="T166" t="str">
        <v>plays</v>
      </c>
    </row>
    <row r="167" spans="1:20" ht="17" x14ac:dyDescent="0.2">
      <c r="A167">
        <v>165</v>
      </c>
      <c r="B167" t="s">
        <v>477</v>
      </c>
      <c r="C167" s="3" t="s">
        <v>478</v>
      </c>
      <c r="D167">
        <v>90400</v>
      </c>
      <c r="E167">
        <v>110279</v>
      </c>
      <c r="F167" s="5">
        <f t="shared" si="4"/>
        <v>1.2199004424778761</v>
      </c>
      <c r="G167" t="s">
        <v>8</v>
      </c>
      <c r="H167">
        <v>2506</v>
      </c>
      <c r="I167">
        <f t="shared" si="5"/>
        <v>44.005985634477256</v>
      </c>
      <c r="J167" t="s">
        <v>109</v>
      </c>
      <c r="K167" t="s">
        <v>110</v>
      </c>
      <c r="L167" s="4">
        <v>42948.208333333328</v>
      </c>
      <c r="M167" s="4" t="s">
        <v>54</v>
      </c>
      <c r="N167" s="4" t="s">
        <v>134</v>
      </c>
      <c r="O167" s="4">
        <v>42980.208333333328</v>
      </c>
      <c r="P167" t="b">
        <v>0</v>
      </c>
      <c r="Q167" t="b">
        <v>0</v>
      </c>
      <c r="R167" t="s">
        <v>118</v>
      </c>
      <c r="S167" t="str" cm="1">
        <f t="array" ref="S167:T167">_xlfn.TEXTSPLIT(R167, "/", , FALSE)</f>
        <v>technology</v>
      </c>
      <c r="T167" t="str">
        <v>web</v>
      </c>
    </row>
    <row r="168" spans="1:20" ht="17" x14ac:dyDescent="0.2">
      <c r="A168">
        <v>166</v>
      </c>
      <c r="B168" t="s">
        <v>479</v>
      </c>
      <c r="C168" s="3" t="s">
        <v>480</v>
      </c>
      <c r="D168">
        <v>9800</v>
      </c>
      <c r="E168">
        <v>13439</v>
      </c>
      <c r="F168" s="5">
        <f t="shared" si="4"/>
        <v>1.3713265306122449</v>
      </c>
      <c r="G168" t="s">
        <v>8</v>
      </c>
      <c r="H168">
        <v>244</v>
      </c>
      <c r="I168">
        <f t="shared" si="5"/>
        <v>55.077868852459019</v>
      </c>
      <c r="J168" t="s">
        <v>109</v>
      </c>
      <c r="K168" t="s">
        <v>110</v>
      </c>
      <c r="L168" s="4">
        <v>40534.25</v>
      </c>
      <c r="M168" s="4" t="s">
        <v>58</v>
      </c>
      <c r="N168" s="4" t="s">
        <v>140</v>
      </c>
      <c r="O168" s="4">
        <v>40538.25</v>
      </c>
      <c r="P168" t="b">
        <v>0</v>
      </c>
      <c r="Q168" t="b">
        <v>0</v>
      </c>
      <c r="R168" t="s">
        <v>217</v>
      </c>
      <c r="S168" t="str" cm="1">
        <f t="array" ref="S168:T168">_xlfn.TEXTSPLIT(R168, "/", , FALSE)</f>
        <v>photography</v>
      </c>
      <c r="T168" t="str">
        <v>photography books</v>
      </c>
    </row>
    <row r="169" spans="1:20" ht="17" x14ac:dyDescent="0.2">
      <c r="A169">
        <v>167</v>
      </c>
      <c r="B169" t="s">
        <v>481</v>
      </c>
      <c r="C169" s="3" t="s">
        <v>482</v>
      </c>
      <c r="D169">
        <v>2600</v>
      </c>
      <c r="E169">
        <v>10804</v>
      </c>
      <c r="F169" s="5">
        <f t="shared" si="4"/>
        <v>4.155384615384615</v>
      </c>
      <c r="G169" t="s">
        <v>8</v>
      </c>
      <c r="H169">
        <v>146</v>
      </c>
      <c r="I169">
        <f t="shared" si="5"/>
        <v>74</v>
      </c>
      <c r="J169" t="s">
        <v>115</v>
      </c>
      <c r="K169" t="s">
        <v>116</v>
      </c>
      <c r="L169" s="4">
        <v>41435.208333333336</v>
      </c>
      <c r="M169" s="4" t="s">
        <v>52</v>
      </c>
      <c r="N169" s="4" t="s">
        <v>117</v>
      </c>
      <c r="O169" s="4">
        <v>41445.208333333336</v>
      </c>
      <c r="P169" t="b">
        <v>0</v>
      </c>
      <c r="Q169" t="b">
        <v>0</v>
      </c>
      <c r="R169" t="s">
        <v>124</v>
      </c>
      <c r="S169" t="str" cm="1">
        <f t="array" ref="S169:T169">_xlfn.TEXTSPLIT(R169, "/", , FALSE)</f>
        <v>theater</v>
      </c>
      <c r="T169" t="str">
        <v>plays</v>
      </c>
    </row>
    <row r="170" spans="1:20" ht="17" x14ac:dyDescent="0.2">
      <c r="A170">
        <v>168</v>
      </c>
      <c r="B170" t="s">
        <v>483</v>
      </c>
      <c r="C170" s="3" t="s">
        <v>484</v>
      </c>
      <c r="D170">
        <v>128100</v>
      </c>
      <c r="E170">
        <v>40107</v>
      </c>
      <c r="F170" s="5">
        <f t="shared" si="4"/>
        <v>0.3130913348946136</v>
      </c>
      <c r="G170" t="s">
        <v>6</v>
      </c>
      <c r="H170">
        <v>955</v>
      </c>
      <c r="I170">
        <f t="shared" si="5"/>
        <v>41.996858638743454</v>
      </c>
      <c r="J170" t="s">
        <v>127</v>
      </c>
      <c r="K170" t="s">
        <v>128</v>
      </c>
      <c r="L170" s="4">
        <v>43518.25</v>
      </c>
      <c r="M170" s="4" t="s">
        <v>48</v>
      </c>
      <c r="N170" s="4" t="s">
        <v>121</v>
      </c>
      <c r="O170" s="4">
        <v>43541.208333333328</v>
      </c>
      <c r="P170" t="b">
        <v>0</v>
      </c>
      <c r="Q170" t="b">
        <v>1</v>
      </c>
      <c r="R170" t="s">
        <v>154</v>
      </c>
      <c r="S170" t="str" cm="1">
        <f t="array" ref="S170:T170">_xlfn.TEXTSPLIT(R170, "/", , FALSE)</f>
        <v>music</v>
      </c>
      <c r="T170" t="str">
        <v>indie rock</v>
      </c>
    </row>
    <row r="171" spans="1:20" ht="17" x14ac:dyDescent="0.2">
      <c r="A171">
        <v>169</v>
      </c>
      <c r="B171" t="s">
        <v>485</v>
      </c>
      <c r="C171" s="3" t="s">
        <v>486</v>
      </c>
      <c r="D171">
        <v>23300</v>
      </c>
      <c r="E171">
        <v>98811</v>
      </c>
      <c r="F171" s="5">
        <f t="shared" si="4"/>
        <v>4.240815450643777</v>
      </c>
      <c r="G171" t="s">
        <v>8</v>
      </c>
      <c r="H171">
        <v>1267</v>
      </c>
      <c r="I171">
        <f t="shared" si="5"/>
        <v>77.988161010260455</v>
      </c>
      <c r="J171" t="s">
        <v>109</v>
      </c>
      <c r="K171" t="s">
        <v>110</v>
      </c>
      <c r="L171" s="4">
        <v>41077.208333333336</v>
      </c>
      <c r="M171" s="4" t="s">
        <v>52</v>
      </c>
      <c r="N171" s="4" t="s">
        <v>129</v>
      </c>
      <c r="O171" s="4">
        <v>41105.208333333336</v>
      </c>
      <c r="P171" t="b">
        <v>0</v>
      </c>
      <c r="Q171" t="b">
        <v>1</v>
      </c>
      <c r="R171" t="s">
        <v>195</v>
      </c>
      <c r="S171" t="str" cm="1">
        <f t="array" ref="S171:T171">_xlfn.TEXTSPLIT(R171, "/", , FALSE)</f>
        <v>film &amp; video</v>
      </c>
      <c r="T171" t="str">
        <v>shorts</v>
      </c>
    </row>
    <row r="172" spans="1:20" ht="17" x14ac:dyDescent="0.2">
      <c r="A172">
        <v>170</v>
      </c>
      <c r="B172" t="s">
        <v>487</v>
      </c>
      <c r="C172" s="3" t="s">
        <v>488</v>
      </c>
      <c r="D172">
        <v>188100</v>
      </c>
      <c r="E172">
        <v>5528</v>
      </c>
      <c r="F172" s="5">
        <f t="shared" si="4"/>
        <v>2.9388623072833599E-2</v>
      </c>
      <c r="G172" t="s">
        <v>6</v>
      </c>
      <c r="H172">
        <v>67</v>
      </c>
      <c r="I172">
        <f t="shared" si="5"/>
        <v>82.507462686567166</v>
      </c>
      <c r="J172" t="s">
        <v>109</v>
      </c>
      <c r="K172" t="s">
        <v>110</v>
      </c>
      <c r="L172" s="4">
        <v>42950.208333333328</v>
      </c>
      <c r="M172" s="4" t="s">
        <v>54</v>
      </c>
      <c r="N172" s="4" t="s">
        <v>134</v>
      </c>
      <c r="O172" s="4">
        <v>42957.208333333328</v>
      </c>
      <c r="P172" t="b">
        <v>0</v>
      </c>
      <c r="Q172" t="b">
        <v>0</v>
      </c>
      <c r="R172" t="s">
        <v>154</v>
      </c>
      <c r="S172" t="str" cm="1">
        <f t="array" ref="S172:T172">_xlfn.TEXTSPLIT(R172, "/", , FALSE)</f>
        <v>music</v>
      </c>
      <c r="T172" t="str">
        <v>indie rock</v>
      </c>
    </row>
    <row r="173" spans="1:20" ht="34" x14ac:dyDescent="0.2">
      <c r="A173">
        <v>171</v>
      </c>
      <c r="B173" t="s">
        <v>489</v>
      </c>
      <c r="C173" s="3" t="s">
        <v>490</v>
      </c>
      <c r="D173">
        <v>4900</v>
      </c>
      <c r="E173">
        <v>521</v>
      </c>
      <c r="F173" s="5">
        <f t="shared" si="4"/>
        <v>0.1063265306122449</v>
      </c>
      <c r="G173" t="s">
        <v>6</v>
      </c>
      <c r="H173">
        <v>5</v>
      </c>
      <c r="I173">
        <f t="shared" si="5"/>
        <v>104.2</v>
      </c>
      <c r="J173" t="s">
        <v>109</v>
      </c>
      <c r="K173" t="s">
        <v>110</v>
      </c>
      <c r="L173" s="4">
        <v>41718.208333333336</v>
      </c>
      <c r="M173" s="4" t="s">
        <v>49</v>
      </c>
      <c r="N173" s="4" t="s">
        <v>111</v>
      </c>
      <c r="O173" s="4">
        <v>41740.208333333336</v>
      </c>
      <c r="P173" t="b">
        <v>0</v>
      </c>
      <c r="Q173" t="b">
        <v>0</v>
      </c>
      <c r="R173" t="s">
        <v>301</v>
      </c>
      <c r="S173" t="str" cm="1">
        <f t="array" ref="S173:T173">_xlfn.TEXTSPLIT(R173, "/", , FALSE)</f>
        <v>publishing</v>
      </c>
      <c r="T173" t="str">
        <v>translations</v>
      </c>
    </row>
    <row r="174" spans="1:20" ht="17" x14ac:dyDescent="0.2">
      <c r="A174">
        <v>172</v>
      </c>
      <c r="B174" t="s">
        <v>491</v>
      </c>
      <c r="C174" s="3" t="s">
        <v>492</v>
      </c>
      <c r="D174">
        <v>800</v>
      </c>
      <c r="E174">
        <v>663</v>
      </c>
      <c r="F174" s="5">
        <f t="shared" si="4"/>
        <v>0.82874999999999999</v>
      </c>
      <c r="G174" t="s">
        <v>6</v>
      </c>
      <c r="H174">
        <v>26</v>
      </c>
      <c r="I174">
        <f t="shared" si="5"/>
        <v>25.5</v>
      </c>
      <c r="J174" t="s">
        <v>109</v>
      </c>
      <c r="K174" t="s">
        <v>110</v>
      </c>
      <c r="L174" s="4">
        <v>41839.208333333336</v>
      </c>
      <c r="M174" s="4" t="s">
        <v>53</v>
      </c>
      <c r="N174" s="4" t="s">
        <v>111</v>
      </c>
      <c r="O174" s="4">
        <v>41854.208333333336</v>
      </c>
      <c r="P174" t="b">
        <v>0</v>
      </c>
      <c r="Q174" t="b">
        <v>1</v>
      </c>
      <c r="R174" t="s">
        <v>135</v>
      </c>
      <c r="S174" t="str" cm="1">
        <f t="array" ref="S174:T174">_xlfn.TEXTSPLIT(R174, "/", , FALSE)</f>
        <v>film &amp; video</v>
      </c>
      <c r="T174" t="str">
        <v>documentary</v>
      </c>
    </row>
    <row r="175" spans="1:20" ht="34" x14ac:dyDescent="0.2">
      <c r="A175">
        <v>173</v>
      </c>
      <c r="B175" t="s">
        <v>493</v>
      </c>
      <c r="C175" s="3" t="s">
        <v>494</v>
      </c>
      <c r="D175">
        <v>96700</v>
      </c>
      <c r="E175">
        <v>157635</v>
      </c>
      <c r="F175" s="5">
        <f t="shared" si="4"/>
        <v>1.6301447776628748</v>
      </c>
      <c r="G175" t="s">
        <v>8</v>
      </c>
      <c r="H175">
        <v>1561</v>
      </c>
      <c r="I175">
        <f t="shared" si="5"/>
        <v>100.98334401024984</v>
      </c>
      <c r="J175" t="s">
        <v>109</v>
      </c>
      <c r="K175" t="s">
        <v>110</v>
      </c>
      <c r="L175" s="4">
        <v>41412.208333333336</v>
      </c>
      <c r="M175" s="4" t="s">
        <v>51</v>
      </c>
      <c r="N175" s="4" t="s">
        <v>117</v>
      </c>
      <c r="O175" s="4">
        <v>41418.208333333336</v>
      </c>
      <c r="P175" t="b">
        <v>0</v>
      </c>
      <c r="Q175" t="b">
        <v>0</v>
      </c>
      <c r="R175" t="s">
        <v>124</v>
      </c>
      <c r="S175" t="str" cm="1">
        <f t="array" ref="S175:T175">_xlfn.TEXTSPLIT(R175, "/", , FALSE)</f>
        <v>theater</v>
      </c>
      <c r="T175" t="str">
        <v>plays</v>
      </c>
    </row>
    <row r="176" spans="1:20" ht="17" x14ac:dyDescent="0.2">
      <c r="A176">
        <v>174</v>
      </c>
      <c r="B176" t="s">
        <v>495</v>
      </c>
      <c r="C176" s="3" t="s">
        <v>496</v>
      </c>
      <c r="D176">
        <v>600</v>
      </c>
      <c r="E176">
        <v>5368</v>
      </c>
      <c r="F176" s="5">
        <f t="shared" si="4"/>
        <v>8.9466666666666672</v>
      </c>
      <c r="G176" t="s">
        <v>8</v>
      </c>
      <c r="H176">
        <v>48</v>
      </c>
      <c r="I176">
        <f t="shared" si="5"/>
        <v>111.83333333333333</v>
      </c>
      <c r="J176" t="s">
        <v>109</v>
      </c>
      <c r="K176" t="s">
        <v>110</v>
      </c>
      <c r="L176" s="4">
        <v>42282.208333333328</v>
      </c>
      <c r="M176" s="4" t="s">
        <v>56</v>
      </c>
      <c r="N176" s="4" t="s">
        <v>105</v>
      </c>
      <c r="O176" s="4">
        <v>42283.208333333328</v>
      </c>
      <c r="P176" t="b">
        <v>0</v>
      </c>
      <c r="Q176" t="b">
        <v>1</v>
      </c>
      <c r="R176" t="s">
        <v>159</v>
      </c>
      <c r="S176" t="str" cm="1">
        <f t="array" ref="S176:T176">_xlfn.TEXTSPLIT(R176, "/", , FALSE)</f>
        <v>technology</v>
      </c>
      <c r="T176" t="str">
        <v>wearables</v>
      </c>
    </row>
    <row r="177" spans="1:20" ht="17" x14ac:dyDescent="0.2">
      <c r="A177">
        <v>175</v>
      </c>
      <c r="B177" t="s">
        <v>497</v>
      </c>
      <c r="C177" s="3" t="s">
        <v>498</v>
      </c>
      <c r="D177">
        <v>181200</v>
      </c>
      <c r="E177">
        <v>47459</v>
      </c>
      <c r="F177" s="5">
        <f t="shared" si="4"/>
        <v>0.26191501103752757</v>
      </c>
      <c r="G177" t="s">
        <v>6</v>
      </c>
      <c r="H177">
        <v>1130</v>
      </c>
      <c r="I177">
        <f t="shared" si="5"/>
        <v>41.999115044247787</v>
      </c>
      <c r="J177" t="s">
        <v>109</v>
      </c>
      <c r="K177" t="s">
        <v>110</v>
      </c>
      <c r="L177" s="4">
        <v>42613.208333333328</v>
      </c>
      <c r="M177" s="4" t="s">
        <v>54</v>
      </c>
      <c r="N177" s="4" t="s">
        <v>153</v>
      </c>
      <c r="O177" s="4">
        <v>42632.208333333328</v>
      </c>
      <c r="P177" t="b">
        <v>0</v>
      </c>
      <c r="Q177" t="b">
        <v>0</v>
      </c>
      <c r="R177" t="s">
        <v>124</v>
      </c>
      <c r="S177" t="str" cm="1">
        <f t="array" ref="S177:T177">_xlfn.TEXTSPLIT(R177, "/", , FALSE)</f>
        <v>theater</v>
      </c>
      <c r="T177" t="str">
        <v>plays</v>
      </c>
    </row>
    <row r="178" spans="1:20" ht="34" x14ac:dyDescent="0.2">
      <c r="A178">
        <v>176</v>
      </c>
      <c r="B178" t="s">
        <v>499</v>
      </c>
      <c r="C178" s="3" t="s">
        <v>500</v>
      </c>
      <c r="D178">
        <v>115000</v>
      </c>
      <c r="E178">
        <v>86060</v>
      </c>
      <c r="F178" s="5">
        <f t="shared" si="4"/>
        <v>0.74834782608695649</v>
      </c>
      <c r="G178" t="s">
        <v>6</v>
      </c>
      <c r="H178">
        <v>782</v>
      </c>
      <c r="I178">
        <f t="shared" si="5"/>
        <v>110.05115089514067</v>
      </c>
      <c r="J178" t="s">
        <v>109</v>
      </c>
      <c r="K178" t="s">
        <v>110</v>
      </c>
      <c r="L178" s="4">
        <v>42616.208333333328</v>
      </c>
      <c r="M178" s="4" t="s">
        <v>55</v>
      </c>
      <c r="N178" s="4" t="s">
        <v>153</v>
      </c>
      <c r="O178" s="4">
        <v>42625.208333333328</v>
      </c>
      <c r="P178" t="b">
        <v>0</v>
      </c>
      <c r="Q178" t="b">
        <v>0</v>
      </c>
      <c r="R178" t="s">
        <v>124</v>
      </c>
      <c r="S178" t="str" cm="1">
        <f t="array" ref="S178:T178">_xlfn.TEXTSPLIT(R178, "/", , FALSE)</f>
        <v>theater</v>
      </c>
      <c r="T178" t="str">
        <v>plays</v>
      </c>
    </row>
    <row r="179" spans="1:20" ht="17" x14ac:dyDescent="0.2">
      <c r="A179">
        <v>177</v>
      </c>
      <c r="B179" t="s">
        <v>501</v>
      </c>
      <c r="C179" s="3" t="s">
        <v>502</v>
      </c>
      <c r="D179">
        <v>38800</v>
      </c>
      <c r="E179">
        <v>161593</v>
      </c>
      <c r="F179" s="5">
        <f t="shared" si="4"/>
        <v>4.1647680412371137</v>
      </c>
      <c r="G179" t="s">
        <v>8</v>
      </c>
      <c r="H179">
        <v>2739</v>
      </c>
      <c r="I179">
        <f t="shared" si="5"/>
        <v>58.997079225994888</v>
      </c>
      <c r="J179" t="s">
        <v>109</v>
      </c>
      <c r="K179" t="s">
        <v>110</v>
      </c>
      <c r="L179" s="4">
        <v>40497.25</v>
      </c>
      <c r="M179" s="4" t="s">
        <v>57</v>
      </c>
      <c r="N179" s="4" t="s">
        <v>140</v>
      </c>
      <c r="O179" s="4">
        <v>40522.25</v>
      </c>
      <c r="P179" t="b">
        <v>0</v>
      </c>
      <c r="Q179" t="b">
        <v>0</v>
      </c>
      <c r="R179" t="s">
        <v>124</v>
      </c>
      <c r="S179" t="str" cm="1">
        <f t="array" ref="S179:T179">_xlfn.TEXTSPLIT(R179, "/", , FALSE)</f>
        <v>theater</v>
      </c>
      <c r="T179" t="str">
        <v>plays</v>
      </c>
    </row>
    <row r="180" spans="1:20" ht="17" x14ac:dyDescent="0.2">
      <c r="A180">
        <v>178</v>
      </c>
      <c r="B180" t="s">
        <v>503</v>
      </c>
      <c r="C180" s="3" t="s">
        <v>504</v>
      </c>
      <c r="D180">
        <v>7200</v>
      </c>
      <c r="E180">
        <v>6927</v>
      </c>
      <c r="F180" s="5">
        <f t="shared" si="4"/>
        <v>0.96208333333333329</v>
      </c>
      <c r="G180" t="s">
        <v>6</v>
      </c>
      <c r="H180">
        <v>210</v>
      </c>
      <c r="I180">
        <f t="shared" si="5"/>
        <v>32.985714285714288</v>
      </c>
      <c r="J180" t="s">
        <v>109</v>
      </c>
      <c r="K180" t="s">
        <v>110</v>
      </c>
      <c r="L180" s="4">
        <v>42999.208333333328</v>
      </c>
      <c r="M180" s="4" t="s">
        <v>55</v>
      </c>
      <c r="N180" s="4" t="s">
        <v>134</v>
      </c>
      <c r="O180" s="4">
        <v>43008.208333333328</v>
      </c>
      <c r="P180" t="b">
        <v>0</v>
      </c>
      <c r="Q180" t="b">
        <v>0</v>
      </c>
      <c r="R180" t="s">
        <v>106</v>
      </c>
      <c r="S180" t="str" cm="1">
        <f t="array" ref="S180:T180">_xlfn.TEXTSPLIT(R180, "/", , FALSE)</f>
        <v>food</v>
      </c>
      <c r="T180" t="str">
        <v>food trucks</v>
      </c>
    </row>
    <row r="181" spans="1:20" ht="34" x14ac:dyDescent="0.2">
      <c r="A181">
        <v>179</v>
      </c>
      <c r="B181" t="s">
        <v>505</v>
      </c>
      <c r="C181" s="3" t="s">
        <v>506</v>
      </c>
      <c r="D181">
        <v>44500</v>
      </c>
      <c r="E181">
        <v>159185</v>
      </c>
      <c r="F181" s="5">
        <f t="shared" si="4"/>
        <v>3.5771910112359548</v>
      </c>
      <c r="G181" t="s">
        <v>8</v>
      </c>
      <c r="H181">
        <v>3537</v>
      </c>
      <c r="I181">
        <f t="shared" si="5"/>
        <v>45.005654509471306</v>
      </c>
      <c r="J181" t="s">
        <v>103</v>
      </c>
      <c r="K181" t="s">
        <v>104</v>
      </c>
      <c r="L181" s="4">
        <v>41350.208333333336</v>
      </c>
      <c r="M181" s="4" t="s">
        <v>49</v>
      </c>
      <c r="N181" s="4" t="s">
        <v>117</v>
      </c>
      <c r="O181" s="4">
        <v>41351.208333333336</v>
      </c>
      <c r="P181" t="b">
        <v>0</v>
      </c>
      <c r="Q181" t="b">
        <v>1</v>
      </c>
      <c r="R181" t="s">
        <v>124</v>
      </c>
      <c r="S181" t="str" cm="1">
        <f t="array" ref="S181:T181">_xlfn.TEXTSPLIT(R181, "/", , FALSE)</f>
        <v>theater</v>
      </c>
      <c r="T181" t="str">
        <v>plays</v>
      </c>
    </row>
    <row r="182" spans="1:20" ht="17" x14ac:dyDescent="0.2">
      <c r="A182">
        <v>180</v>
      </c>
      <c r="B182" t="s">
        <v>507</v>
      </c>
      <c r="C182" s="3" t="s">
        <v>508</v>
      </c>
      <c r="D182">
        <v>56000</v>
      </c>
      <c r="E182">
        <v>172736</v>
      </c>
      <c r="F182" s="5">
        <f t="shared" si="4"/>
        <v>3.0845714285714285</v>
      </c>
      <c r="G182" t="s">
        <v>8</v>
      </c>
      <c r="H182">
        <v>2107</v>
      </c>
      <c r="I182">
        <f t="shared" si="5"/>
        <v>81.98196487897485</v>
      </c>
      <c r="J182" t="s">
        <v>115</v>
      </c>
      <c r="K182" t="s">
        <v>116</v>
      </c>
      <c r="L182" s="4">
        <v>40259.208333333336</v>
      </c>
      <c r="M182" s="4" t="s">
        <v>49</v>
      </c>
      <c r="N182" s="4" t="s">
        <v>140</v>
      </c>
      <c r="O182" s="4">
        <v>40264.208333333336</v>
      </c>
      <c r="P182" t="b">
        <v>0</v>
      </c>
      <c r="Q182" t="b">
        <v>0</v>
      </c>
      <c r="R182" t="s">
        <v>159</v>
      </c>
      <c r="S182" t="str" cm="1">
        <f t="array" ref="S182:T182">_xlfn.TEXTSPLIT(R182, "/", , FALSE)</f>
        <v>technology</v>
      </c>
      <c r="T182" t="str">
        <v>wearables</v>
      </c>
    </row>
    <row r="183" spans="1:20" ht="17" x14ac:dyDescent="0.2">
      <c r="A183">
        <v>181</v>
      </c>
      <c r="B183" t="s">
        <v>509</v>
      </c>
      <c r="C183" s="3" t="s">
        <v>510</v>
      </c>
      <c r="D183">
        <v>8600</v>
      </c>
      <c r="E183">
        <v>5315</v>
      </c>
      <c r="F183" s="5">
        <f t="shared" si="4"/>
        <v>0.61802325581395345</v>
      </c>
      <c r="G183" t="s">
        <v>6</v>
      </c>
      <c r="H183">
        <v>136</v>
      </c>
      <c r="I183">
        <f t="shared" si="5"/>
        <v>39.080882352941174</v>
      </c>
      <c r="J183" t="s">
        <v>109</v>
      </c>
      <c r="K183" t="s">
        <v>110</v>
      </c>
      <c r="L183" s="4">
        <v>43012.208333333328</v>
      </c>
      <c r="M183" s="4" t="s">
        <v>56</v>
      </c>
      <c r="N183" s="4" t="s">
        <v>134</v>
      </c>
      <c r="O183" s="4">
        <v>43030.208333333328</v>
      </c>
      <c r="P183" t="b">
        <v>0</v>
      </c>
      <c r="Q183" t="b">
        <v>0</v>
      </c>
      <c r="R183" t="s">
        <v>118</v>
      </c>
      <c r="S183" t="str" cm="1">
        <f t="array" ref="S183:T183">_xlfn.TEXTSPLIT(R183, "/", , FALSE)</f>
        <v>technology</v>
      </c>
      <c r="T183" t="str">
        <v>web</v>
      </c>
    </row>
    <row r="184" spans="1:20" ht="34" x14ac:dyDescent="0.2">
      <c r="A184">
        <v>182</v>
      </c>
      <c r="B184" t="s">
        <v>511</v>
      </c>
      <c r="C184" s="3" t="s">
        <v>512</v>
      </c>
      <c r="D184">
        <v>27100</v>
      </c>
      <c r="E184">
        <v>195750</v>
      </c>
      <c r="F184" s="5">
        <f t="shared" si="4"/>
        <v>7.2232472324723247</v>
      </c>
      <c r="G184" t="s">
        <v>8</v>
      </c>
      <c r="H184">
        <v>3318</v>
      </c>
      <c r="I184">
        <f t="shared" si="5"/>
        <v>58.996383363471971</v>
      </c>
      <c r="J184" t="s">
        <v>127</v>
      </c>
      <c r="K184" t="s">
        <v>128</v>
      </c>
      <c r="L184" s="4">
        <v>43631.208333333328</v>
      </c>
      <c r="M184" s="4" t="s">
        <v>52</v>
      </c>
      <c r="N184" s="4" t="s">
        <v>121</v>
      </c>
      <c r="O184" s="4">
        <v>43647.208333333328</v>
      </c>
      <c r="P184" t="b">
        <v>0</v>
      </c>
      <c r="Q184" t="b">
        <v>0</v>
      </c>
      <c r="R184" t="s">
        <v>124</v>
      </c>
      <c r="S184" t="str" cm="1">
        <f t="array" ref="S184:T184">_xlfn.TEXTSPLIT(R184, "/", , FALSE)</f>
        <v>theater</v>
      </c>
      <c r="T184" t="str">
        <v>plays</v>
      </c>
    </row>
    <row r="185" spans="1:20" ht="34" x14ac:dyDescent="0.2">
      <c r="A185">
        <v>183</v>
      </c>
      <c r="B185" t="s">
        <v>513</v>
      </c>
      <c r="C185" s="3" t="s">
        <v>514</v>
      </c>
      <c r="D185">
        <v>5100</v>
      </c>
      <c r="E185">
        <v>3525</v>
      </c>
      <c r="F185" s="5">
        <f t="shared" si="4"/>
        <v>0.69117647058823528</v>
      </c>
      <c r="G185" t="s">
        <v>6</v>
      </c>
      <c r="H185">
        <v>86</v>
      </c>
      <c r="I185">
        <f t="shared" si="5"/>
        <v>40.988372093023258</v>
      </c>
      <c r="J185" t="s">
        <v>103</v>
      </c>
      <c r="K185" t="s">
        <v>104</v>
      </c>
      <c r="L185" s="4">
        <v>40430.208333333336</v>
      </c>
      <c r="M185" s="4" t="s">
        <v>55</v>
      </c>
      <c r="N185" s="4" t="s">
        <v>140</v>
      </c>
      <c r="O185" s="4">
        <v>40443.208333333336</v>
      </c>
      <c r="P185" t="b">
        <v>0</v>
      </c>
      <c r="Q185" t="b">
        <v>0</v>
      </c>
      <c r="R185" t="s">
        <v>112</v>
      </c>
      <c r="S185" t="str" cm="1">
        <f t="array" ref="S185:T185">_xlfn.TEXTSPLIT(R185, "/", , FALSE)</f>
        <v>music</v>
      </c>
      <c r="T185" t="str">
        <v>rock</v>
      </c>
    </row>
    <row r="186" spans="1:20" ht="17" x14ac:dyDescent="0.2">
      <c r="A186">
        <v>184</v>
      </c>
      <c r="B186" t="s">
        <v>515</v>
      </c>
      <c r="C186" s="3" t="s">
        <v>516</v>
      </c>
      <c r="D186">
        <v>3600</v>
      </c>
      <c r="E186">
        <v>10550</v>
      </c>
      <c r="F186" s="5">
        <f t="shared" si="4"/>
        <v>2.9305555555555554</v>
      </c>
      <c r="G186" t="s">
        <v>8</v>
      </c>
      <c r="H186">
        <v>340</v>
      </c>
      <c r="I186">
        <f t="shared" si="5"/>
        <v>31.029411764705884</v>
      </c>
      <c r="J186" t="s">
        <v>109</v>
      </c>
      <c r="K186" t="s">
        <v>110</v>
      </c>
      <c r="L186" s="4">
        <v>43588.208333333328</v>
      </c>
      <c r="M186" s="4" t="s">
        <v>51</v>
      </c>
      <c r="N186" s="4" t="s">
        <v>121</v>
      </c>
      <c r="O186" s="4">
        <v>43589.208333333328</v>
      </c>
      <c r="P186" t="b">
        <v>0</v>
      </c>
      <c r="Q186" t="b">
        <v>0</v>
      </c>
      <c r="R186" t="s">
        <v>124</v>
      </c>
      <c r="S186" t="str" cm="1">
        <f t="array" ref="S186:T186">_xlfn.TEXTSPLIT(R186, "/", , FALSE)</f>
        <v>theater</v>
      </c>
      <c r="T186" t="str">
        <v>plays</v>
      </c>
    </row>
    <row r="187" spans="1:20" ht="17" x14ac:dyDescent="0.2">
      <c r="A187">
        <v>185</v>
      </c>
      <c r="B187" t="s">
        <v>517</v>
      </c>
      <c r="C187" s="3" t="s">
        <v>518</v>
      </c>
      <c r="D187">
        <v>1000</v>
      </c>
      <c r="E187">
        <v>718</v>
      </c>
      <c r="F187" s="5">
        <f t="shared" si="4"/>
        <v>0.71799999999999997</v>
      </c>
      <c r="G187" t="s">
        <v>6</v>
      </c>
      <c r="H187">
        <v>19</v>
      </c>
      <c r="I187">
        <f t="shared" si="5"/>
        <v>37.789473684210527</v>
      </c>
      <c r="J187" t="s">
        <v>109</v>
      </c>
      <c r="K187" t="s">
        <v>110</v>
      </c>
      <c r="L187" s="4">
        <v>43233.208333333328</v>
      </c>
      <c r="M187" s="4" t="s">
        <v>51</v>
      </c>
      <c r="N187" s="4" t="s">
        <v>169</v>
      </c>
      <c r="O187" s="4">
        <v>43244.208333333328</v>
      </c>
      <c r="P187" t="b">
        <v>0</v>
      </c>
      <c r="Q187" t="b">
        <v>0</v>
      </c>
      <c r="R187" t="s">
        <v>364</v>
      </c>
      <c r="S187" t="str" cm="1">
        <f t="array" ref="S187:T187">_xlfn.TEXTSPLIT(R187, "/", , FALSE)</f>
        <v>film &amp; video</v>
      </c>
      <c r="T187" t="str">
        <v>television</v>
      </c>
    </row>
    <row r="188" spans="1:20" ht="17" x14ac:dyDescent="0.2">
      <c r="A188">
        <v>186</v>
      </c>
      <c r="B188" t="s">
        <v>519</v>
      </c>
      <c r="C188" s="3" t="s">
        <v>520</v>
      </c>
      <c r="D188">
        <v>88800</v>
      </c>
      <c r="E188">
        <v>28358</v>
      </c>
      <c r="F188" s="5">
        <f t="shared" si="4"/>
        <v>0.31934684684684683</v>
      </c>
      <c r="G188" t="s">
        <v>6</v>
      </c>
      <c r="H188">
        <v>886</v>
      </c>
      <c r="I188">
        <f t="shared" si="5"/>
        <v>32.006772009029348</v>
      </c>
      <c r="J188" t="s">
        <v>109</v>
      </c>
      <c r="K188" t="s">
        <v>110</v>
      </c>
      <c r="L188" s="4">
        <v>41782.208333333336</v>
      </c>
      <c r="M188" s="4" t="s">
        <v>51</v>
      </c>
      <c r="N188" s="4" t="s">
        <v>111</v>
      </c>
      <c r="O188" s="4">
        <v>41797.208333333336</v>
      </c>
      <c r="P188" t="b">
        <v>0</v>
      </c>
      <c r="Q188" t="b">
        <v>0</v>
      </c>
      <c r="R188" t="s">
        <v>124</v>
      </c>
      <c r="S188" t="str" cm="1">
        <f t="array" ref="S188:T188">_xlfn.TEXTSPLIT(R188, "/", , FALSE)</f>
        <v>theater</v>
      </c>
      <c r="T188" t="str">
        <v>plays</v>
      </c>
    </row>
    <row r="189" spans="1:20" ht="17" x14ac:dyDescent="0.2">
      <c r="A189">
        <v>187</v>
      </c>
      <c r="B189" t="s">
        <v>521</v>
      </c>
      <c r="C189" s="3" t="s">
        <v>522</v>
      </c>
      <c r="D189">
        <v>60200</v>
      </c>
      <c r="E189">
        <v>138384</v>
      </c>
      <c r="F189" s="5">
        <f t="shared" si="4"/>
        <v>2.2987375415282392</v>
      </c>
      <c r="G189" t="s">
        <v>8</v>
      </c>
      <c r="H189">
        <v>1442</v>
      </c>
      <c r="I189">
        <f t="shared" si="5"/>
        <v>95.966712898751737</v>
      </c>
      <c r="J189" t="s">
        <v>103</v>
      </c>
      <c r="K189" t="s">
        <v>104</v>
      </c>
      <c r="L189" s="4">
        <v>41328.25</v>
      </c>
      <c r="M189" s="4" t="s">
        <v>48</v>
      </c>
      <c r="N189" s="4" t="s">
        <v>117</v>
      </c>
      <c r="O189" s="4">
        <v>41356.208333333336</v>
      </c>
      <c r="P189" t="b">
        <v>0</v>
      </c>
      <c r="Q189" t="b">
        <v>1</v>
      </c>
      <c r="R189" t="s">
        <v>195</v>
      </c>
      <c r="S189" t="str" cm="1">
        <f t="array" ref="S189:T189">_xlfn.TEXTSPLIT(R189, "/", , FALSE)</f>
        <v>film &amp; video</v>
      </c>
      <c r="T189" t="str">
        <v>shorts</v>
      </c>
    </row>
    <row r="190" spans="1:20" ht="17" x14ac:dyDescent="0.2">
      <c r="A190">
        <v>188</v>
      </c>
      <c r="B190" t="s">
        <v>523</v>
      </c>
      <c r="C190" s="3" t="s">
        <v>524</v>
      </c>
      <c r="D190">
        <v>8200</v>
      </c>
      <c r="E190">
        <v>2625</v>
      </c>
      <c r="F190" s="5">
        <f t="shared" si="4"/>
        <v>0.3201219512195122</v>
      </c>
      <c r="G190" t="s">
        <v>6</v>
      </c>
      <c r="H190">
        <v>35</v>
      </c>
      <c r="I190">
        <f t="shared" si="5"/>
        <v>75</v>
      </c>
      <c r="J190" t="s">
        <v>202</v>
      </c>
      <c r="K190" t="s">
        <v>203</v>
      </c>
      <c r="L190" s="4">
        <v>41975.25</v>
      </c>
      <c r="M190" s="4" t="s">
        <v>58</v>
      </c>
      <c r="N190" s="4" t="s">
        <v>111</v>
      </c>
      <c r="O190" s="4">
        <v>41976.25</v>
      </c>
      <c r="P190" t="b">
        <v>0</v>
      </c>
      <c r="Q190" t="b">
        <v>0</v>
      </c>
      <c r="R190" t="s">
        <v>124</v>
      </c>
      <c r="S190" t="str" cm="1">
        <f t="array" ref="S190:T190">_xlfn.TEXTSPLIT(R190, "/", , FALSE)</f>
        <v>theater</v>
      </c>
      <c r="T190" t="str">
        <v>plays</v>
      </c>
    </row>
    <row r="191" spans="1:20" ht="17" x14ac:dyDescent="0.2">
      <c r="A191">
        <v>189</v>
      </c>
      <c r="B191" t="s">
        <v>525</v>
      </c>
      <c r="C191" s="3" t="s">
        <v>526</v>
      </c>
      <c r="D191">
        <v>191300</v>
      </c>
      <c r="E191">
        <v>45004</v>
      </c>
      <c r="F191" s="5">
        <f t="shared" si="4"/>
        <v>0.23525352848928385</v>
      </c>
      <c r="G191" t="s">
        <v>5</v>
      </c>
      <c r="H191">
        <v>441</v>
      </c>
      <c r="I191">
        <f t="shared" si="5"/>
        <v>102.0498866213152</v>
      </c>
      <c r="J191" t="s">
        <v>109</v>
      </c>
      <c r="K191" t="s">
        <v>110</v>
      </c>
      <c r="L191" s="4">
        <v>42433.25</v>
      </c>
      <c r="M191" s="4" t="s">
        <v>49</v>
      </c>
      <c r="N191" s="4" t="s">
        <v>153</v>
      </c>
      <c r="O191" s="4">
        <v>42433.25</v>
      </c>
      <c r="P191" t="b">
        <v>0</v>
      </c>
      <c r="Q191" t="b">
        <v>0</v>
      </c>
      <c r="R191" t="s">
        <v>124</v>
      </c>
      <c r="S191" t="str" cm="1">
        <f t="array" ref="S191:T191">_xlfn.TEXTSPLIT(R191, "/", , FALSE)</f>
        <v>theater</v>
      </c>
      <c r="T191" t="str">
        <v>plays</v>
      </c>
    </row>
    <row r="192" spans="1:20" ht="17" x14ac:dyDescent="0.2">
      <c r="A192">
        <v>190</v>
      </c>
      <c r="B192" t="s">
        <v>527</v>
      </c>
      <c r="C192" s="3" t="s">
        <v>528</v>
      </c>
      <c r="D192">
        <v>3700</v>
      </c>
      <c r="E192">
        <v>2538</v>
      </c>
      <c r="F192" s="5">
        <f t="shared" si="4"/>
        <v>0.68594594594594593</v>
      </c>
      <c r="G192" t="s">
        <v>6</v>
      </c>
      <c r="H192">
        <v>24</v>
      </c>
      <c r="I192">
        <f t="shared" si="5"/>
        <v>105.75</v>
      </c>
      <c r="J192" t="s">
        <v>109</v>
      </c>
      <c r="K192" t="s">
        <v>110</v>
      </c>
      <c r="L192" s="4">
        <v>41429.208333333336</v>
      </c>
      <c r="M192" s="4" t="s">
        <v>52</v>
      </c>
      <c r="N192" s="4" t="s">
        <v>117</v>
      </c>
      <c r="O192" s="4">
        <v>41430.208333333336</v>
      </c>
      <c r="P192" t="b">
        <v>0</v>
      </c>
      <c r="Q192" t="b">
        <v>1</v>
      </c>
      <c r="R192" t="s">
        <v>124</v>
      </c>
      <c r="S192" t="str" cm="1">
        <f t="array" ref="S192:T192">_xlfn.TEXTSPLIT(R192, "/", , FALSE)</f>
        <v>theater</v>
      </c>
      <c r="T192" t="str">
        <v>plays</v>
      </c>
    </row>
    <row r="193" spans="1:20" ht="17" x14ac:dyDescent="0.2">
      <c r="A193">
        <v>191</v>
      </c>
      <c r="B193" t="s">
        <v>529</v>
      </c>
      <c r="C193" s="3" t="s">
        <v>530</v>
      </c>
      <c r="D193">
        <v>8400</v>
      </c>
      <c r="E193">
        <v>3188</v>
      </c>
      <c r="F193" s="5">
        <f t="shared" si="4"/>
        <v>0.37952380952380954</v>
      </c>
      <c r="G193" t="s">
        <v>6</v>
      </c>
      <c r="H193">
        <v>86</v>
      </c>
      <c r="I193">
        <f t="shared" si="5"/>
        <v>37.069767441860463</v>
      </c>
      <c r="J193" t="s">
        <v>202</v>
      </c>
      <c r="K193" t="s">
        <v>203</v>
      </c>
      <c r="L193" s="4">
        <v>43536.208333333328</v>
      </c>
      <c r="M193" s="4" t="s">
        <v>49</v>
      </c>
      <c r="N193" s="4" t="s">
        <v>121</v>
      </c>
      <c r="O193" s="4">
        <v>43539.208333333328</v>
      </c>
      <c r="P193" t="b">
        <v>0</v>
      </c>
      <c r="Q193" t="b">
        <v>0</v>
      </c>
      <c r="R193" t="s">
        <v>124</v>
      </c>
      <c r="S193" t="str" cm="1">
        <f t="array" ref="S193:T193">_xlfn.TEXTSPLIT(R193, "/", , FALSE)</f>
        <v>theater</v>
      </c>
      <c r="T193" t="str">
        <v>plays</v>
      </c>
    </row>
    <row r="194" spans="1:20" ht="17" x14ac:dyDescent="0.2">
      <c r="A194">
        <v>192</v>
      </c>
      <c r="B194" t="s">
        <v>531</v>
      </c>
      <c r="C194" s="3" t="s">
        <v>532</v>
      </c>
      <c r="D194">
        <v>42600</v>
      </c>
      <c r="E194">
        <v>8517</v>
      </c>
      <c r="F194" s="5">
        <f t="shared" si="4"/>
        <v>0.19992957746478873</v>
      </c>
      <c r="G194" t="s">
        <v>6</v>
      </c>
      <c r="H194">
        <v>243</v>
      </c>
      <c r="I194">
        <f t="shared" si="5"/>
        <v>35.049382716049379</v>
      </c>
      <c r="J194" t="s">
        <v>109</v>
      </c>
      <c r="K194" t="s">
        <v>110</v>
      </c>
      <c r="L194" s="4">
        <v>41817.208333333336</v>
      </c>
      <c r="M194" s="4" t="s">
        <v>52</v>
      </c>
      <c r="N194" s="4" t="s">
        <v>111</v>
      </c>
      <c r="O194" s="4">
        <v>41821.208333333336</v>
      </c>
      <c r="P194" t="b">
        <v>0</v>
      </c>
      <c r="Q194" t="b">
        <v>0</v>
      </c>
      <c r="R194" t="s">
        <v>112</v>
      </c>
      <c r="S194" t="str" cm="1">
        <f t="array" ref="S194:T194">_xlfn.TEXTSPLIT(R194, "/", , FALSE)</f>
        <v>music</v>
      </c>
      <c r="T194" t="str">
        <v>rock</v>
      </c>
    </row>
    <row r="195" spans="1:20" ht="17" x14ac:dyDescent="0.2">
      <c r="A195">
        <v>193</v>
      </c>
      <c r="B195" t="s">
        <v>533</v>
      </c>
      <c r="C195" s="3" t="s">
        <v>534</v>
      </c>
      <c r="D195">
        <v>6600</v>
      </c>
      <c r="E195">
        <v>3012</v>
      </c>
      <c r="F195" s="5">
        <f t="shared" ref="F195:F258" si="6">E195/D195</f>
        <v>0.45636363636363636</v>
      </c>
      <c r="G195" t="s">
        <v>6</v>
      </c>
      <c r="H195">
        <v>65</v>
      </c>
      <c r="I195">
        <f t="shared" ref="I195:I258" si="7">E195/H195</f>
        <v>46.338461538461537</v>
      </c>
      <c r="J195" t="s">
        <v>109</v>
      </c>
      <c r="K195" t="s">
        <v>110</v>
      </c>
      <c r="L195" s="4">
        <v>43198.208333333328</v>
      </c>
      <c r="M195" s="4" t="s">
        <v>50</v>
      </c>
      <c r="N195" s="4" t="s">
        <v>169</v>
      </c>
      <c r="O195" s="4">
        <v>43202.208333333328</v>
      </c>
      <c r="P195" t="b">
        <v>1</v>
      </c>
      <c r="Q195" t="b">
        <v>0</v>
      </c>
      <c r="R195" t="s">
        <v>154</v>
      </c>
      <c r="S195" t="str" cm="1">
        <f t="array" ref="S195:T195">_xlfn.TEXTSPLIT(R195, "/", , FALSE)</f>
        <v>music</v>
      </c>
      <c r="T195" t="str">
        <v>indie rock</v>
      </c>
    </row>
    <row r="196" spans="1:20" ht="17" x14ac:dyDescent="0.2">
      <c r="A196">
        <v>194</v>
      </c>
      <c r="B196" t="s">
        <v>535</v>
      </c>
      <c r="C196" s="3" t="s">
        <v>536</v>
      </c>
      <c r="D196">
        <v>7100</v>
      </c>
      <c r="E196">
        <v>8716</v>
      </c>
      <c r="F196" s="5">
        <f t="shared" si="6"/>
        <v>1.227605633802817</v>
      </c>
      <c r="G196" t="s">
        <v>8</v>
      </c>
      <c r="H196">
        <v>126</v>
      </c>
      <c r="I196">
        <f t="shared" si="7"/>
        <v>69.174603174603178</v>
      </c>
      <c r="J196" t="s">
        <v>109</v>
      </c>
      <c r="K196" t="s">
        <v>110</v>
      </c>
      <c r="L196" s="4">
        <v>42261.208333333328</v>
      </c>
      <c r="M196" s="4" t="s">
        <v>55</v>
      </c>
      <c r="N196" s="4" t="s">
        <v>105</v>
      </c>
      <c r="O196" s="4">
        <v>42277.208333333328</v>
      </c>
      <c r="P196" t="b">
        <v>0</v>
      </c>
      <c r="Q196" t="b">
        <v>0</v>
      </c>
      <c r="R196" t="s">
        <v>243</v>
      </c>
      <c r="S196" t="str" cm="1">
        <f t="array" ref="S196:T196">_xlfn.TEXTSPLIT(R196, "/", , FALSE)</f>
        <v>music</v>
      </c>
      <c r="T196" t="str">
        <v>metal</v>
      </c>
    </row>
    <row r="197" spans="1:20" ht="17" x14ac:dyDescent="0.2">
      <c r="A197">
        <v>195</v>
      </c>
      <c r="B197" t="s">
        <v>537</v>
      </c>
      <c r="C197" s="3" t="s">
        <v>538</v>
      </c>
      <c r="D197">
        <v>15800</v>
      </c>
      <c r="E197">
        <v>57157</v>
      </c>
      <c r="F197" s="5">
        <f t="shared" si="6"/>
        <v>3.61753164556962</v>
      </c>
      <c r="G197" t="s">
        <v>8</v>
      </c>
      <c r="H197">
        <v>524</v>
      </c>
      <c r="I197">
        <f t="shared" si="7"/>
        <v>109.07824427480917</v>
      </c>
      <c r="J197" t="s">
        <v>109</v>
      </c>
      <c r="K197" t="s">
        <v>110</v>
      </c>
      <c r="L197" s="4">
        <v>43310.208333333328</v>
      </c>
      <c r="M197" s="4" t="s">
        <v>53</v>
      </c>
      <c r="N197" s="4" t="s">
        <v>169</v>
      </c>
      <c r="O197" s="4">
        <v>43317.208333333328</v>
      </c>
      <c r="P197" t="b">
        <v>0</v>
      </c>
      <c r="Q197" t="b">
        <v>0</v>
      </c>
      <c r="R197" t="s">
        <v>143</v>
      </c>
      <c r="S197" t="str" cm="1">
        <f t="array" ref="S197:T197">_xlfn.TEXTSPLIT(R197, "/", , FALSE)</f>
        <v>music</v>
      </c>
      <c r="T197" t="str">
        <v>electric music</v>
      </c>
    </row>
    <row r="198" spans="1:20" ht="17" x14ac:dyDescent="0.2">
      <c r="A198">
        <v>196</v>
      </c>
      <c r="B198" t="s">
        <v>539</v>
      </c>
      <c r="C198" s="3" t="s">
        <v>540</v>
      </c>
      <c r="D198">
        <v>8200</v>
      </c>
      <c r="E198">
        <v>5178</v>
      </c>
      <c r="F198" s="5">
        <f t="shared" si="6"/>
        <v>0.63146341463414635</v>
      </c>
      <c r="G198" t="s">
        <v>6</v>
      </c>
      <c r="H198">
        <v>100</v>
      </c>
      <c r="I198">
        <f t="shared" si="7"/>
        <v>51.78</v>
      </c>
      <c r="J198" t="s">
        <v>127</v>
      </c>
      <c r="K198" t="s">
        <v>128</v>
      </c>
      <c r="L198" s="4">
        <v>42616.208333333328</v>
      </c>
      <c r="M198" s="4" t="s">
        <v>55</v>
      </c>
      <c r="N198" s="4" t="s">
        <v>153</v>
      </c>
      <c r="O198" s="4">
        <v>42635.208333333328</v>
      </c>
      <c r="P198" t="b">
        <v>0</v>
      </c>
      <c r="Q198" t="b">
        <v>0</v>
      </c>
      <c r="R198" t="s">
        <v>159</v>
      </c>
      <c r="S198" t="str" cm="1">
        <f t="array" ref="S198:T198">_xlfn.TEXTSPLIT(R198, "/", , FALSE)</f>
        <v>technology</v>
      </c>
      <c r="T198" t="str">
        <v>wearables</v>
      </c>
    </row>
    <row r="199" spans="1:20" ht="17" x14ac:dyDescent="0.2">
      <c r="A199">
        <v>197</v>
      </c>
      <c r="B199" t="s">
        <v>541</v>
      </c>
      <c r="C199" s="3" t="s">
        <v>542</v>
      </c>
      <c r="D199">
        <v>54700</v>
      </c>
      <c r="E199">
        <v>163118</v>
      </c>
      <c r="F199" s="5">
        <f t="shared" si="6"/>
        <v>2.9820475319926874</v>
      </c>
      <c r="G199" t="s">
        <v>8</v>
      </c>
      <c r="H199">
        <v>1989</v>
      </c>
      <c r="I199">
        <f t="shared" si="7"/>
        <v>82.010055304172951</v>
      </c>
      <c r="J199" t="s">
        <v>109</v>
      </c>
      <c r="K199" t="s">
        <v>110</v>
      </c>
      <c r="L199" s="4">
        <v>42909.208333333328</v>
      </c>
      <c r="M199" s="4" t="s">
        <v>52</v>
      </c>
      <c r="N199" s="4" t="s">
        <v>134</v>
      </c>
      <c r="O199" s="4">
        <v>42923.208333333328</v>
      </c>
      <c r="P199" t="b">
        <v>0</v>
      </c>
      <c r="Q199" t="b">
        <v>0</v>
      </c>
      <c r="R199" t="s">
        <v>146</v>
      </c>
      <c r="S199" t="str" cm="1">
        <f t="array" ref="S199:T199">_xlfn.TEXTSPLIT(R199, "/", , FALSE)</f>
        <v>film &amp; video</v>
      </c>
      <c r="T199" t="str">
        <v>drama</v>
      </c>
    </row>
    <row r="200" spans="1:20" ht="17" x14ac:dyDescent="0.2">
      <c r="A200">
        <v>198</v>
      </c>
      <c r="B200" t="s">
        <v>543</v>
      </c>
      <c r="C200" s="3" t="s">
        <v>544</v>
      </c>
      <c r="D200">
        <v>63200</v>
      </c>
      <c r="E200">
        <v>6041</v>
      </c>
      <c r="F200" s="5">
        <f t="shared" si="6"/>
        <v>9.5585443037974685E-2</v>
      </c>
      <c r="G200" t="s">
        <v>6</v>
      </c>
      <c r="H200">
        <v>168</v>
      </c>
      <c r="I200">
        <f t="shared" si="7"/>
        <v>35.958333333333336</v>
      </c>
      <c r="J200" t="s">
        <v>109</v>
      </c>
      <c r="K200" t="s">
        <v>110</v>
      </c>
      <c r="L200" s="4">
        <v>40396.208333333336</v>
      </c>
      <c r="M200" s="4" t="s">
        <v>54</v>
      </c>
      <c r="N200" s="4" t="s">
        <v>140</v>
      </c>
      <c r="O200" s="4">
        <v>40425.208333333336</v>
      </c>
      <c r="P200" t="b">
        <v>0</v>
      </c>
      <c r="Q200" t="b">
        <v>0</v>
      </c>
      <c r="R200" t="s">
        <v>143</v>
      </c>
      <c r="S200" t="str" cm="1">
        <f t="array" ref="S200:T200">_xlfn.TEXTSPLIT(R200, "/", , FALSE)</f>
        <v>music</v>
      </c>
      <c r="T200" t="str">
        <v>electric music</v>
      </c>
    </row>
    <row r="201" spans="1:20" ht="17" x14ac:dyDescent="0.2">
      <c r="A201">
        <v>199</v>
      </c>
      <c r="B201" t="s">
        <v>545</v>
      </c>
      <c r="C201" s="3" t="s">
        <v>546</v>
      </c>
      <c r="D201">
        <v>1800</v>
      </c>
      <c r="E201">
        <v>968</v>
      </c>
      <c r="F201" s="5">
        <f t="shared" si="6"/>
        <v>0.5377777777777778</v>
      </c>
      <c r="G201" t="s">
        <v>6</v>
      </c>
      <c r="H201">
        <v>13</v>
      </c>
      <c r="I201">
        <f t="shared" si="7"/>
        <v>74.461538461538467</v>
      </c>
      <c r="J201" t="s">
        <v>109</v>
      </c>
      <c r="K201" t="s">
        <v>110</v>
      </c>
      <c r="L201" s="4">
        <v>42192.208333333328</v>
      </c>
      <c r="M201" s="4" t="s">
        <v>53</v>
      </c>
      <c r="N201" s="4" t="s">
        <v>105</v>
      </c>
      <c r="O201" s="4">
        <v>42196.208333333328</v>
      </c>
      <c r="P201" t="b">
        <v>0</v>
      </c>
      <c r="Q201" t="b">
        <v>0</v>
      </c>
      <c r="R201" t="s">
        <v>112</v>
      </c>
      <c r="S201" t="str" cm="1">
        <f t="array" ref="S201:T201">_xlfn.TEXTSPLIT(R201, "/", , FALSE)</f>
        <v>music</v>
      </c>
      <c r="T201" t="str">
        <v>rock</v>
      </c>
    </row>
    <row r="202" spans="1:20" ht="17" x14ac:dyDescent="0.2">
      <c r="A202">
        <v>200</v>
      </c>
      <c r="B202" t="s">
        <v>547</v>
      </c>
      <c r="C202" s="3" t="s">
        <v>548</v>
      </c>
      <c r="D202">
        <v>100</v>
      </c>
      <c r="E202">
        <v>2</v>
      </c>
      <c r="F202" s="5">
        <f t="shared" si="6"/>
        <v>0.02</v>
      </c>
      <c r="G202" t="s">
        <v>6</v>
      </c>
      <c r="H202">
        <v>1</v>
      </c>
      <c r="I202">
        <f t="shared" si="7"/>
        <v>2</v>
      </c>
      <c r="J202" t="s">
        <v>103</v>
      </c>
      <c r="K202" t="s">
        <v>104</v>
      </c>
      <c r="L202" s="4">
        <v>40262.208333333336</v>
      </c>
      <c r="M202" s="4" t="s">
        <v>49</v>
      </c>
      <c r="N202" s="4" t="s">
        <v>140</v>
      </c>
      <c r="O202" s="4">
        <v>40273.208333333336</v>
      </c>
      <c r="P202" t="b">
        <v>0</v>
      </c>
      <c r="Q202" t="b">
        <v>0</v>
      </c>
      <c r="R202" t="s">
        <v>124</v>
      </c>
      <c r="S202" t="str" cm="1">
        <f t="array" ref="S202:T202">_xlfn.TEXTSPLIT(R202, "/", , FALSE)</f>
        <v>theater</v>
      </c>
      <c r="T202" t="str">
        <v>plays</v>
      </c>
    </row>
    <row r="203" spans="1:20" ht="34" x14ac:dyDescent="0.2">
      <c r="A203">
        <v>201</v>
      </c>
      <c r="B203" t="s">
        <v>549</v>
      </c>
      <c r="C203" s="3" t="s">
        <v>550</v>
      </c>
      <c r="D203">
        <v>2100</v>
      </c>
      <c r="E203">
        <v>14305</v>
      </c>
      <c r="F203" s="5">
        <f t="shared" si="6"/>
        <v>6.8119047619047617</v>
      </c>
      <c r="G203" t="s">
        <v>8</v>
      </c>
      <c r="H203">
        <v>157</v>
      </c>
      <c r="I203">
        <f t="shared" si="7"/>
        <v>91.114649681528661</v>
      </c>
      <c r="J203" t="s">
        <v>109</v>
      </c>
      <c r="K203" t="s">
        <v>110</v>
      </c>
      <c r="L203" s="4">
        <v>41845.208333333336</v>
      </c>
      <c r="M203" s="4" t="s">
        <v>53</v>
      </c>
      <c r="N203" s="4" t="s">
        <v>111</v>
      </c>
      <c r="O203" s="4">
        <v>41863.208333333336</v>
      </c>
      <c r="P203" t="b">
        <v>0</v>
      </c>
      <c r="Q203" t="b">
        <v>0</v>
      </c>
      <c r="R203" t="s">
        <v>118</v>
      </c>
      <c r="S203" t="str" cm="1">
        <f t="array" ref="S203:T203">_xlfn.TEXTSPLIT(R203, "/", , FALSE)</f>
        <v>technology</v>
      </c>
      <c r="T203" t="str">
        <v>web</v>
      </c>
    </row>
    <row r="204" spans="1:20" ht="17" x14ac:dyDescent="0.2">
      <c r="A204">
        <v>202</v>
      </c>
      <c r="B204" t="s">
        <v>551</v>
      </c>
      <c r="C204" s="3" t="s">
        <v>552</v>
      </c>
      <c r="D204">
        <v>8300</v>
      </c>
      <c r="E204">
        <v>6543</v>
      </c>
      <c r="F204" s="5">
        <f t="shared" si="6"/>
        <v>0.78831325301204824</v>
      </c>
      <c r="G204" t="s">
        <v>5</v>
      </c>
      <c r="H204">
        <v>82</v>
      </c>
      <c r="I204">
        <f t="shared" si="7"/>
        <v>79.792682926829272</v>
      </c>
      <c r="J204" t="s">
        <v>109</v>
      </c>
      <c r="K204" t="s">
        <v>110</v>
      </c>
      <c r="L204" s="4">
        <v>40818.208333333336</v>
      </c>
      <c r="M204" s="4" t="s">
        <v>56</v>
      </c>
      <c r="N204" s="4" t="s">
        <v>165</v>
      </c>
      <c r="O204" s="4">
        <v>40822.208333333336</v>
      </c>
      <c r="P204" t="b">
        <v>0</v>
      </c>
      <c r="Q204" t="b">
        <v>0</v>
      </c>
      <c r="R204" t="s">
        <v>106</v>
      </c>
      <c r="S204" t="str" cm="1">
        <f t="array" ref="S204:T204">_xlfn.TEXTSPLIT(R204, "/", , FALSE)</f>
        <v>food</v>
      </c>
      <c r="T204" t="str">
        <v>food trucks</v>
      </c>
    </row>
    <row r="205" spans="1:20" ht="34" x14ac:dyDescent="0.2">
      <c r="A205">
        <v>203</v>
      </c>
      <c r="B205" t="s">
        <v>553</v>
      </c>
      <c r="C205" s="3" t="s">
        <v>554</v>
      </c>
      <c r="D205">
        <v>143900</v>
      </c>
      <c r="E205">
        <v>193413</v>
      </c>
      <c r="F205" s="5">
        <f t="shared" si="6"/>
        <v>1.3440792216817234</v>
      </c>
      <c r="G205" t="s">
        <v>8</v>
      </c>
      <c r="H205">
        <v>4498</v>
      </c>
      <c r="I205">
        <f t="shared" si="7"/>
        <v>42.999777678968428</v>
      </c>
      <c r="J205" t="s">
        <v>115</v>
      </c>
      <c r="K205" t="s">
        <v>116</v>
      </c>
      <c r="L205" s="4">
        <v>42752.25</v>
      </c>
      <c r="M205" s="4" t="s">
        <v>47</v>
      </c>
      <c r="N205" s="4" t="s">
        <v>134</v>
      </c>
      <c r="O205" s="4">
        <v>42754.25</v>
      </c>
      <c r="P205" t="b">
        <v>0</v>
      </c>
      <c r="Q205" t="b">
        <v>0</v>
      </c>
      <c r="R205" t="s">
        <v>124</v>
      </c>
      <c r="S205" t="str" cm="1">
        <f t="array" ref="S205:T205">_xlfn.TEXTSPLIT(R205, "/", , FALSE)</f>
        <v>theater</v>
      </c>
      <c r="T205" t="str">
        <v>plays</v>
      </c>
    </row>
    <row r="206" spans="1:20" ht="17" x14ac:dyDescent="0.2">
      <c r="A206">
        <v>204</v>
      </c>
      <c r="B206" t="s">
        <v>555</v>
      </c>
      <c r="C206" s="3" t="s">
        <v>556</v>
      </c>
      <c r="D206">
        <v>75000</v>
      </c>
      <c r="E206">
        <v>2529</v>
      </c>
      <c r="F206" s="5">
        <f t="shared" si="6"/>
        <v>3.372E-2</v>
      </c>
      <c r="G206" t="s">
        <v>6</v>
      </c>
      <c r="H206">
        <v>40</v>
      </c>
      <c r="I206">
        <f t="shared" si="7"/>
        <v>63.225000000000001</v>
      </c>
      <c r="J206" t="s">
        <v>109</v>
      </c>
      <c r="K206" t="s">
        <v>110</v>
      </c>
      <c r="L206" s="4">
        <v>40636.208333333336</v>
      </c>
      <c r="M206" s="4" t="s">
        <v>50</v>
      </c>
      <c r="N206" s="4" t="s">
        <v>165</v>
      </c>
      <c r="O206" s="4">
        <v>40646.208333333336</v>
      </c>
      <c r="P206" t="b">
        <v>0</v>
      </c>
      <c r="Q206" t="b">
        <v>0</v>
      </c>
      <c r="R206" t="s">
        <v>254</v>
      </c>
      <c r="S206" t="str" cm="1">
        <f t="array" ref="S206:T206">_xlfn.TEXTSPLIT(R206, "/", , FALSE)</f>
        <v>music</v>
      </c>
      <c r="T206" t="str">
        <v>jazz</v>
      </c>
    </row>
    <row r="207" spans="1:20" ht="17" x14ac:dyDescent="0.2">
      <c r="A207">
        <v>205</v>
      </c>
      <c r="B207" t="s">
        <v>557</v>
      </c>
      <c r="C207" s="3" t="s">
        <v>558</v>
      </c>
      <c r="D207">
        <v>1300</v>
      </c>
      <c r="E207">
        <v>5614</v>
      </c>
      <c r="F207" s="5">
        <f t="shared" si="6"/>
        <v>4.3184615384615386</v>
      </c>
      <c r="G207" t="s">
        <v>8</v>
      </c>
      <c r="H207">
        <v>80</v>
      </c>
      <c r="I207">
        <f t="shared" si="7"/>
        <v>70.174999999999997</v>
      </c>
      <c r="J207" t="s">
        <v>109</v>
      </c>
      <c r="K207" t="s">
        <v>110</v>
      </c>
      <c r="L207" s="4">
        <v>43390.208333333328</v>
      </c>
      <c r="M207" s="4" t="s">
        <v>56</v>
      </c>
      <c r="N207" s="4" t="s">
        <v>169</v>
      </c>
      <c r="O207" s="4">
        <v>43402.208333333328</v>
      </c>
      <c r="P207" t="b">
        <v>1</v>
      </c>
      <c r="Q207" t="b">
        <v>0</v>
      </c>
      <c r="R207" t="s">
        <v>124</v>
      </c>
      <c r="S207" t="str" cm="1">
        <f t="array" ref="S207:T207">_xlfn.TEXTSPLIT(R207, "/", , FALSE)</f>
        <v>theater</v>
      </c>
      <c r="T207" t="str">
        <v>plays</v>
      </c>
    </row>
    <row r="208" spans="1:20" ht="17" x14ac:dyDescent="0.2">
      <c r="A208">
        <v>206</v>
      </c>
      <c r="B208" t="s">
        <v>559</v>
      </c>
      <c r="C208" s="3" t="s">
        <v>560</v>
      </c>
      <c r="D208">
        <v>9000</v>
      </c>
      <c r="E208">
        <v>3496</v>
      </c>
      <c r="F208" s="5">
        <f t="shared" si="6"/>
        <v>0.38844444444444443</v>
      </c>
      <c r="G208" t="s">
        <v>5</v>
      </c>
      <c r="H208">
        <v>57</v>
      </c>
      <c r="I208">
        <f t="shared" si="7"/>
        <v>61.333333333333336</v>
      </c>
      <c r="J208" t="s">
        <v>109</v>
      </c>
      <c r="K208" t="s">
        <v>110</v>
      </c>
      <c r="L208" s="4">
        <v>40236.25</v>
      </c>
      <c r="M208" s="4" t="s">
        <v>48</v>
      </c>
      <c r="N208" s="4" t="s">
        <v>140</v>
      </c>
      <c r="O208" s="4">
        <v>40245.25</v>
      </c>
      <c r="P208" t="b">
        <v>0</v>
      </c>
      <c r="Q208" t="b">
        <v>0</v>
      </c>
      <c r="R208" t="s">
        <v>214</v>
      </c>
      <c r="S208" t="str" cm="1">
        <f t="array" ref="S208:T208">_xlfn.TEXTSPLIT(R208, "/", , FALSE)</f>
        <v>publishing</v>
      </c>
      <c r="T208" t="str">
        <v>fiction</v>
      </c>
    </row>
    <row r="209" spans="1:20" ht="34" x14ac:dyDescent="0.2">
      <c r="A209">
        <v>207</v>
      </c>
      <c r="B209" t="s">
        <v>561</v>
      </c>
      <c r="C209" s="3" t="s">
        <v>562</v>
      </c>
      <c r="D209">
        <v>1000</v>
      </c>
      <c r="E209">
        <v>4257</v>
      </c>
      <c r="F209" s="5">
        <f t="shared" si="6"/>
        <v>4.2569999999999997</v>
      </c>
      <c r="G209" t="s">
        <v>8</v>
      </c>
      <c r="H209">
        <v>43</v>
      </c>
      <c r="I209">
        <f t="shared" si="7"/>
        <v>99</v>
      </c>
      <c r="J209" t="s">
        <v>109</v>
      </c>
      <c r="K209" t="s">
        <v>110</v>
      </c>
      <c r="L209" s="4">
        <v>43340.208333333328</v>
      </c>
      <c r="M209" s="4" t="s">
        <v>54</v>
      </c>
      <c r="N209" s="4" t="s">
        <v>169</v>
      </c>
      <c r="O209" s="4">
        <v>43360.208333333328</v>
      </c>
      <c r="P209" t="b">
        <v>0</v>
      </c>
      <c r="Q209" t="b">
        <v>1</v>
      </c>
      <c r="R209" t="s">
        <v>112</v>
      </c>
      <c r="S209" t="str" cm="1">
        <f t="array" ref="S209:T209">_xlfn.TEXTSPLIT(R209, "/", , FALSE)</f>
        <v>music</v>
      </c>
      <c r="T209" t="str">
        <v>rock</v>
      </c>
    </row>
    <row r="210" spans="1:20" ht="17" x14ac:dyDescent="0.2">
      <c r="A210">
        <v>208</v>
      </c>
      <c r="B210" t="s">
        <v>563</v>
      </c>
      <c r="C210" s="3" t="s">
        <v>564</v>
      </c>
      <c r="D210">
        <v>196900</v>
      </c>
      <c r="E210">
        <v>199110</v>
      </c>
      <c r="F210" s="5">
        <f t="shared" si="6"/>
        <v>1.0112239715591671</v>
      </c>
      <c r="G210" t="s">
        <v>8</v>
      </c>
      <c r="H210">
        <v>2053</v>
      </c>
      <c r="I210">
        <f t="shared" si="7"/>
        <v>96.984900146127615</v>
      </c>
      <c r="J210" t="s">
        <v>109</v>
      </c>
      <c r="K210" t="s">
        <v>110</v>
      </c>
      <c r="L210" s="4">
        <v>43048.25</v>
      </c>
      <c r="M210" s="4" t="s">
        <v>57</v>
      </c>
      <c r="N210" s="4" t="s">
        <v>134</v>
      </c>
      <c r="O210" s="4">
        <v>43072.25</v>
      </c>
      <c r="P210" t="b">
        <v>0</v>
      </c>
      <c r="Q210" t="b">
        <v>0</v>
      </c>
      <c r="R210" t="s">
        <v>135</v>
      </c>
      <c r="S210" t="str" cm="1">
        <f t="array" ref="S210:T210">_xlfn.TEXTSPLIT(R210, "/", , FALSE)</f>
        <v>film &amp; video</v>
      </c>
      <c r="T210" t="str">
        <v>documentary</v>
      </c>
    </row>
    <row r="211" spans="1:20" ht="17" x14ac:dyDescent="0.2">
      <c r="A211">
        <v>209</v>
      </c>
      <c r="B211" t="s">
        <v>565</v>
      </c>
      <c r="C211" s="3" t="s">
        <v>566</v>
      </c>
      <c r="D211">
        <v>194500</v>
      </c>
      <c r="E211">
        <v>41212</v>
      </c>
      <c r="F211" s="5">
        <f t="shared" si="6"/>
        <v>0.21188688946015424</v>
      </c>
      <c r="G211" t="s">
        <v>7</v>
      </c>
      <c r="H211">
        <v>808</v>
      </c>
      <c r="I211">
        <f t="shared" si="7"/>
        <v>51.004950495049506</v>
      </c>
      <c r="J211" t="s">
        <v>115</v>
      </c>
      <c r="K211" t="s">
        <v>116</v>
      </c>
      <c r="L211" s="4">
        <v>42496.208333333328</v>
      </c>
      <c r="M211" s="4" t="s">
        <v>51</v>
      </c>
      <c r="N211" s="4" t="s">
        <v>153</v>
      </c>
      <c r="O211" s="4">
        <v>42503.208333333328</v>
      </c>
      <c r="P211" t="b">
        <v>0</v>
      </c>
      <c r="Q211" t="b">
        <v>0</v>
      </c>
      <c r="R211" t="s">
        <v>135</v>
      </c>
      <c r="S211" t="str" cm="1">
        <f t="array" ref="S211:T211">_xlfn.TEXTSPLIT(R211, "/", , FALSE)</f>
        <v>film &amp; video</v>
      </c>
      <c r="T211" t="str">
        <v>documentary</v>
      </c>
    </row>
    <row r="212" spans="1:20" ht="17" x14ac:dyDescent="0.2">
      <c r="A212">
        <v>210</v>
      </c>
      <c r="B212" t="s">
        <v>567</v>
      </c>
      <c r="C212" s="3" t="s">
        <v>568</v>
      </c>
      <c r="D212">
        <v>9400</v>
      </c>
      <c r="E212">
        <v>6338</v>
      </c>
      <c r="F212" s="5">
        <f t="shared" si="6"/>
        <v>0.67425531914893622</v>
      </c>
      <c r="G212" t="s">
        <v>6</v>
      </c>
      <c r="H212">
        <v>226</v>
      </c>
      <c r="I212">
        <f t="shared" si="7"/>
        <v>28.044247787610619</v>
      </c>
      <c r="J212" t="s">
        <v>127</v>
      </c>
      <c r="K212" t="s">
        <v>128</v>
      </c>
      <c r="L212" s="4">
        <v>42797.25</v>
      </c>
      <c r="M212" s="4" t="s">
        <v>49</v>
      </c>
      <c r="N212" s="4" t="s">
        <v>134</v>
      </c>
      <c r="O212" s="4">
        <v>42824.208333333328</v>
      </c>
      <c r="P212" t="b">
        <v>0</v>
      </c>
      <c r="Q212" t="b">
        <v>0</v>
      </c>
      <c r="R212" t="s">
        <v>569</v>
      </c>
      <c r="S212" t="str" cm="1">
        <f t="array" ref="S212:T212">_xlfn.TEXTSPLIT(R212, "/", , FALSE)</f>
        <v>film &amp; video</v>
      </c>
      <c r="T212" t="str">
        <v>science fiction</v>
      </c>
    </row>
    <row r="213" spans="1:20" ht="34" x14ac:dyDescent="0.2">
      <c r="A213">
        <v>211</v>
      </c>
      <c r="B213" t="s">
        <v>570</v>
      </c>
      <c r="C213" s="3" t="s">
        <v>571</v>
      </c>
      <c r="D213">
        <v>104400</v>
      </c>
      <c r="E213">
        <v>99100</v>
      </c>
      <c r="F213" s="5">
        <f t="shared" si="6"/>
        <v>0.9492337164750958</v>
      </c>
      <c r="G213" t="s">
        <v>6</v>
      </c>
      <c r="H213">
        <v>1625</v>
      </c>
      <c r="I213">
        <f t="shared" si="7"/>
        <v>60.984615384615381</v>
      </c>
      <c r="J213" t="s">
        <v>109</v>
      </c>
      <c r="K213" t="s">
        <v>110</v>
      </c>
      <c r="L213" s="4">
        <v>41513.208333333336</v>
      </c>
      <c r="M213" s="4" t="s">
        <v>54</v>
      </c>
      <c r="N213" s="4" t="s">
        <v>117</v>
      </c>
      <c r="O213" s="4">
        <v>41537.208333333336</v>
      </c>
      <c r="P213" t="b">
        <v>0</v>
      </c>
      <c r="Q213" t="b">
        <v>0</v>
      </c>
      <c r="R213" t="s">
        <v>124</v>
      </c>
      <c r="S213" t="str" cm="1">
        <f t="array" ref="S213:T213">_xlfn.TEXTSPLIT(R213, "/", , FALSE)</f>
        <v>theater</v>
      </c>
      <c r="T213" t="str">
        <v>plays</v>
      </c>
    </row>
    <row r="214" spans="1:20" ht="34" x14ac:dyDescent="0.2">
      <c r="A214">
        <v>212</v>
      </c>
      <c r="B214" t="s">
        <v>572</v>
      </c>
      <c r="C214" s="3" t="s">
        <v>573</v>
      </c>
      <c r="D214">
        <v>8100</v>
      </c>
      <c r="E214">
        <v>12300</v>
      </c>
      <c r="F214" s="5">
        <f t="shared" si="6"/>
        <v>1.5185185185185186</v>
      </c>
      <c r="G214" t="s">
        <v>8</v>
      </c>
      <c r="H214">
        <v>168</v>
      </c>
      <c r="I214">
        <f t="shared" si="7"/>
        <v>73.214285714285708</v>
      </c>
      <c r="J214" t="s">
        <v>109</v>
      </c>
      <c r="K214" t="s">
        <v>110</v>
      </c>
      <c r="L214" s="4">
        <v>43814.25</v>
      </c>
      <c r="M214" s="4" t="s">
        <v>58</v>
      </c>
      <c r="N214" s="4" t="s">
        <v>121</v>
      </c>
      <c r="O214" s="4">
        <v>43860.25</v>
      </c>
      <c r="P214" t="b">
        <v>0</v>
      </c>
      <c r="Q214" t="b">
        <v>0</v>
      </c>
      <c r="R214" t="s">
        <v>124</v>
      </c>
      <c r="S214" t="str" cm="1">
        <f t="array" ref="S214:T214">_xlfn.TEXTSPLIT(R214, "/", , FALSE)</f>
        <v>theater</v>
      </c>
      <c r="T214" t="str">
        <v>plays</v>
      </c>
    </row>
    <row r="215" spans="1:20" ht="34" x14ac:dyDescent="0.2">
      <c r="A215">
        <v>213</v>
      </c>
      <c r="B215" t="s">
        <v>574</v>
      </c>
      <c r="C215" s="3" t="s">
        <v>575</v>
      </c>
      <c r="D215">
        <v>87900</v>
      </c>
      <c r="E215">
        <v>171549</v>
      </c>
      <c r="F215" s="5">
        <f t="shared" si="6"/>
        <v>1.9516382252559727</v>
      </c>
      <c r="G215" t="s">
        <v>8</v>
      </c>
      <c r="H215">
        <v>4289</v>
      </c>
      <c r="I215">
        <f t="shared" si="7"/>
        <v>39.997435299603637</v>
      </c>
      <c r="J215" t="s">
        <v>109</v>
      </c>
      <c r="K215" t="s">
        <v>110</v>
      </c>
      <c r="L215" s="4">
        <v>40488.208333333336</v>
      </c>
      <c r="M215" s="4" t="s">
        <v>57</v>
      </c>
      <c r="N215" s="4" t="s">
        <v>140</v>
      </c>
      <c r="O215" s="4">
        <v>40496.25</v>
      </c>
      <c r="P215" t="b">
        <v>0</v>
      </c>
      <c r="Q215" t="b">
        <v>1</v>
      </c>
      <c r="R215" t="s">
        <v>154</v>
      </c>
      <c r="S215" t="str" cm="1">
        <f t="array" ref="S215:T215">_xlfn.TEXTSPLIT(R215, "/", , FALSE)</f>
        <v>music</v>
      </c>
      <c r="T215" t="str">
        <v>indie rock</v>
      </c>
    </row>
    <row r="216" spans="1:20" ht="17" x14ac:dyDescent="0.2">
      <c r="A216">
        <v>214</v>
      </c>
      <c r="B216" t="s">
        <v>576</v>
      </c>
      <c r="C216" s="3" t="s">
        <v>577</v>
      </c>
      <c r="D216">
        <v>1400</v>
      </c>
      <c r="E216">
        <v>14324</v>
      </c>
      <c r="F216" s="5">
        <f t="shared" si="6"/>
        <v>10.231428571428571</v>
      </c>
      <c r="G216" t="s">
        <v>8</v>
      </c>
      <c r="H216">
        <v>165</v>
      </c>
      <c r="I216">
        <f t="shared" si="7"/>
        <v>86.812121212121212</v>
      </c>
      <c r="J216" t="s">
        <v>109</v>
      </c>
      <c r="K216" t="s">
        <v>110</v>
      </c>
      <c r="L216" s="4">
        <v>40409.208333333336</v>
      </c>
      <c r="M216" s="4" t="s">
        <v>54</v>
      </c>
      <c r="N216" s="4" t="s">
        <v>140</v>
      </c>
      <c r="O216" s="4">
        <v>40415.208333333336</v>
      </c>
      <c r="P216" t="b">
        <v>0</v>
      </c>
      <c r="Q216" t="b">
        <v>0</v>
      </c>
      <c r="R216" t="s">
        <v>112</v>
      </c>
      <c r="S216" t="str" cm="1">
        <f t="array" ref="S216:T216">_xlfn.TEXTSPLIT(R216, "/", , FALSE)</f>
        <v>music</v>
      </c>
      <c r="T216" t="str">
        <v>rock</v>
      </c>
    </row>
    <row r="217" spans="1:20" ht="17" x14ac:dyDescent="0.2">
      <c r="A217">
        <v>215</v>
      </c>
      <c r="B217" t="s">
        <v>578</v>
      </c>
      <c r="C217" s="3" t="s">
        <v>579</v>
      </c>
      <c r="D217">
        <v>156800</v>
      </c>
      <c r="E217">
        <v>6024</v>
      </c>
      <c r="F217" s="5">
        <f t="shared" si="6"/>
        <v>3.8418367346938778E-2</v>
      </c>
      <c r="G217" t="s">
        <v>6</v>
      </c>
      <c r="H217">
        <v>143</v>
      </c>
      <c r="I217">
        <f t="shared" si="7"/>
        <v>42.125874125874127</v>
      </c>
      <c r="J217" t="s">
        <v>109</v>
      </c>
      <c r="K217" t="s">
        <v>110</v>
      </c>
      <c r="L217" s="4">
        <v>43509.25</v>
      </c>
      <c r="M217" s="4" t="s">
        <v>48</v>
      </c>
      <c r="N217" s="4" t="s">
        <v>121</v>
      </c>
      <c r="O217" s="4">
        <v>43511.25</v>
      </c>
      <c r="P217" t="b">
        <v>0</v>
      </c>
      <c r="Q217" t="b">
        <v>0</v>
      </c>
      <c r="R217" t="s">
        <v>124</v>
      </c>
      <c r="S217" t="str" cm="1">
        <f t="array" ref="S217:T217">_xlfn.TEXTSPLIT(R217, "/", , FALSE)</f>
        <v>theater</v>
      </c>
      <c r="T217" t="str">
        <v>plays</v>
      </c>
    </row>
    <row r="218" spans="1:20" ht="17" x14ac:dyDescent="0.2">
      <c r="A218">
        <v>216</v>
      </c>
      <c r="B218" t="s">
        <v>580</v>
      </c>
      <c r="C218" s="3" t="s">
        <v>581</v>
      </c>
      <c r="D218">
        <v>121700</v>
      </c>
      <c r="E218">
        <v>188721</v>
      </c>
      <c r="F218" s="5">
        <f t="shared" si="6"/>
        <v>1.5507066557107643</v>
      </c>
      <c r="G218" t="s">
        <v>8</v>
      </c>
      <c r="H218">
        <v>1815</v>
      </c>
      <c r="I218">
        <f t="shared" si="7"/>
        <v>103.97851239669421</v>
      </c>
      <c r="J218" t="s">
        <v>109</v>
      </c>
      <c r="K218" t="s">
        <v>110</v>
      </c>
      <c r="L218" s="4">
        <v>40869.25</v>
      </c>
      <c r="M218" s="4" t="s">
        <v>57</v>
      </c>
      <c r="N218" s="4" t="s">
        <v>165</v>
      </c>
      <c r="O218" s="4">
        <v>40871.25</v>
      </c>
      <c r="P218" t="b">
        <v>0</v>
      </c>
      <c r="Q218" t="b">
        <v>0</v>
      </c>
      <c r="R218" t="s">
        <v>124</v>
      </c>
      <c r="S218" t="str" cm="1">
        <f t="array" ref="S218:T218">_xlfn.TEXTSPLIT(R218, "/", , FALSE)</f>
        <v>theater</v>
      </c>
      <c r="T218" t="str">
        <v>plays</v>
      </c>
    </row>
    <row r="219" spans="1:20" ht="17" x14ac:dyDescent="0.2">
      <c r="A219">
        <v>217</v>
      </c>
      <c r="B219" t="s">
        <v>582</v>
      </c>
      <c r="C219" s="3" t="s">
        <v>583</v>
      </c>
      <c r="D219">
        <v>129400</v>
      </c>
      <c r="E219">
        <v>57911</v>
      </c>
      <c r="F219" s="5">
        <f t="shared" si="6"/>
        <v>0.44753477588871715</v>
      </c>
      <c r="G219" t="s">
        <v>6</v>
      </c>
      <c r="H219">
        <v>934</v>
      </c>
      <c r="I219">
        <f t="shared" si="7"/>
        <v>62.003211991434689</v>
      </c>
      <c r="J219" t="s">
        <v>109</v>
      </c>
      <c r="K219" t="s">
        <v>110</v>
      </c>
      <c r="L219" s="4">
        <v>43583.208333333328</v>
      </c>
      <c r="M219" s="4" t="s">
        <v>50</v>
      </c>
      <c r="N219" s="4" t="s">
        <v>121</v>
      </c>
      <c r="O219" s="4">
        <v>43592.208333333328</v>
      </c>
      <c r="P219" t="b">
        <v>0</v>
      </c>
      <c r="Q219" t="b">
        <v>0</v>
      </c>
      <c r="R219" t="s">
        <v>569</v>
      </c>
      <c r="S219" t="str" cm="1">
        <f t="array" ref="S219:T219">_xlfn.TEXTSPLIT(R219, "/", , FALSE)</f>
        <v>film &amp; video</v>
      </c>
      <c r="T219" t="str">
        <v>science fiction</v>
      </c>
    </row>
    <row r="220" spans="1:20" ht="17" x14ac:dyDescent="0.2">
      <c r="A220">
        <v>218</v>
      </c>
      <c r="B220" t="s">
        <v>584</v>
      </c>
      <c r="C220" s="3" t="s">
        <v>585</v>
      </c>
      <c r="D220">
        <v>5700</v>
      </c>
      <c r="E220">
        <v>12309</v>
      </c>
      <c r="F220" s="5">
        <f t="shared" si="6"/>
        <v>2.1594736842105262</v>
      </c>
      <c r="G220" t="s">
        <v>8</v>
      </c>
      <c r="H220">
        <v>397</v>
      </c>
      <c r="I220">
        <f t="shared" si="7"/>
        <v>31.005037783375315</v>
      </c>
      <c r="J220" t="s">
        <v>132</v>
      </c>
      <c r="K220" t="s">
        <v>133</v>
      </c>
      <c r="L220" s="4">
        <v>40858.25</v>
      </c>
      <c r="M220" s="4" t="s">
        <v>57</v>
      </c>
      <c r="N220" s="4" t="s">
        <v>165</v>
      </c>
      <c r="O220" s="4">
        <v>40892.25</v>
      </c>
      <c r="P220" t="b">
        <v>0</v>
      </c>
      <c r="Q220" t="b">
        <v>1</v>
      </c>
      <c r="R220" t="s">
        <v>195</v>
      </c>
      <c r="S220" t="str" cm="1">
        <f t="array" ref="S220:T220">_xlfn.TEXTSPLIT(R220, "/", , FALSE)</f>
        <v>film &amp; video</v>
      </c>
      <c r="T220" t="str">
        <v>shorts</v>
      </c>
    </row>
    <row r="221" spans="1:20" ht="17" x14ac:dyDescent="0.2">
      <c r="A221">
        <v>219</v>
      </c>
      <c r="B221" t="s">
        <v>586</v>
      </c>
      <c r="C221" s="3" t="s">
        <v>587</v>
      </c>
      <c r="D221">
        <v>41700</v>
      </c>
      <c r="E221">
        <v>138497</v>
      </c>
      <c r="F221" s="5">
        <f t="shared" si="6"/>
        <v>3.3212709832134291</v>
      </c>
      <c r="G221" t="s">
        <v>8</v>
      </c>
      <c r="H221">
        <v>1539</v>
      </c>
      <c r="I221">
        <f t="shared" si="7"/>
        <v>89.991552956465242</v>
      </c>
      <c r="J221" t="s">
        <v>109</v>
      </c>
      <c r="K221" t="s">
        <v>110</v>
      </c>
      <c r="L221" s="4">
        <v>41137.208333333336</v>
      </c>
      <c r="M221" s="4" t="s">
        <v>54</v>
      </c>
      <c r="N221" s="4" t="s">
        <v>129</v>
      </c>
      <c r="O221" s="4">
        <v>41149.208333333336</v>
      </c>
      <c r="P221" t="b">
        <v>0</v>
      </c>
      <c r="Q221" t="b">
        <v>0</v>
      </c>
      <c r="R221" t="s">
        <v>166</v>
      </c>
      <c r="S221" t="str" cm="1">
        <f t="array" ref="S221:T221">_xlfn.TEXTSPLIT(R221, "/", , FALSE)</f>
        <v>film &amp; video</v>
      </c>
      <c r="T221" t="str">
        <v>animation</v>
      </c>
    </row>
    <row r="222" spans="1:20" ht="17" x14ac:dyDescent="0.2">
      <c r="A222">
        <v>220</v>
      </c>
      <c r="B222" t="s">
        <v>588</v>
      </c>
      <c r="C222" s="3" t="s">
        <v>589</v>
      </c>
      <c r="D222">
        <v>7900</v>
      </c>
      <c r="E222">
        <v>667</v>
      </c>
      <c r="F222" s="5">
        <f t="shared" si="6"/>
        <v>8.4430379746835441E-2</v>
      </c>
      <c r="G222" t="s">
        <v>6</v>
      </c>
      <c r="H222">
        <v>17</v>
      </c>
      <c r="I222">
        <f t="shared" si="7"/>
        <v>39.235294117647058</v>
      </c>
      <c r="J222" t="s">
        <v>109</v>
      </c>
      <c r="K222" t="s">
        <v>110</v>
      </c>
      <c r="L222" s="4">
        <v>40725.208333333336</v>
      </c>
      <c r="M222" s="4" t="s">
        <v>53</v>
      </c>
      <c r="N222" s="4" t="s">
        <v>165</v>
      </c>
      <c r="O222" s="4">
        <v>40743.208333333336</v>
      </c>
      <c r="P222" t="b">
        <v>1</v>
      </c>
      <c r="Q222" t="b">
        <v>0</v>
      </c>
      <c r="R222" t="s">
        <v>124</v>
      </c>
      <c r="S222" t="str" cm="1">
        <f t="array" ref="S222:T222">_xlfn.TEXTSPLIT(R222, "/", , FALSE)</f>
        <v>theater</v>
      </c>
      <c r="T222" t="str">
        <v>plays</v>
      </c>
    </row>
    <row r="223" spans="1:20" ht="34" x14ac:dyDescent="0.2">
      <c r="A223">
        <v>221</v>
      </c>
      <c r="B223" t="s">
        <v>590</v>
      </c>
      <c r="C223" s="3" t="s">
        <v>591</v>
      </c>
      <c r="D223">
        <v>121500</v>
      </c>
      <c r="E223">
        <v>119830</v>
      </c>
      <c r="F223" s="5">
        <f t="shared" si="6"/>
        <v>0.9862551440329218</v>
      </c>
      <c r="G223" t="s">
        <v>6</v>
      </c>
      <c r="H223">
        <v>2179</v>
      </c>
      <c r="I223">
        <f t="shared" si="7"/>
        <v>54.993116108306566</v>
      </c>
      <c r="J223" t="s">
        <v>109</v>
      </c>
      <c r="K223" t="s">
        <v>110</v>
      </c>
      <c r="L223" s="4">
        <v>41081.208333333336</v>
      </c>
      <c r="M223" s="4" t="s">
        <v>52</v>
      </c>
      <c r="N223" s="4" t="s">
        <v>129</v>
      </c>
      <c r="O223" s="4">
        <v>41083.208333333336</v>
      </c>
      <c r="P223" t="b">
        <v>1</v>
      </c>
      <c r="Q223" t="b">
        <v>0</v>
      </c>
      <c r="R223" t="s">
        <v>106</v>
      </c>
      <c r="S223" t="str" cm="1">
        <f t="array" ref="S223:T223">_xlfn.TEXTSPLIT(R223, "/", , FALSE)</f>
        <v>food</v>
      </c>
      <c r="T223" t="str">
        <v>food trucks</v>
      </c>
    </row>
    <row r="224" spans="1:20" ht="17" x14ac:dyDescent="0.2">
      <c r="A224">
        <v>222</v>
      </c>
      <c r="B224" t="s">
        <v>592</v>
      </c>
      <c r="C224" s="3" t="s">
        <v>593</v>
      </c>
      <c r="D224">
        <v>4800</v>
      </c>
      <c r="E224">
        <v>6623</v>
      </c>
      <c r="F224" s="5">
        <f t="shared" si="6"/>
        <v>1.3797916666666667</v>
      </c>
      <c r="G224" t="s">
        <v>8</v>
      </c>
      <c r="H224">
        <v>138</v>
      </c>
      <c r="I224">
        <f t="shared" si="7"/>
        <v>47.992753623188406</v>
      </c>
      <c r="J224" t="s">
        <v>109</v>
      </c>
      <c r="K224" t="s">
        <v>110</v>
      </c>
      <c r="L224" s="4">
        <v>41914.208333333336</v>
      </c>
      <c r="M224" s="4" t="s">
        <v>56</v>
      </c>
      <c r="N224" s="4" t="s">
        <v>111</v>
      </c>
      <c r="O224" s="4">
        <v>41915.208333333336</v>
      </c>
      <c r="P224" t="b">
        <v>0</v>
      </c>
      <c r="Q224" t="b">
        <v>0</v>
      </c>
      <c r="R224" t="s">
        <v>217</v>
      </c>
      <c r="S224" t="str" cm="1">
        <f t="array" ref="S224:T224">_xlfn.TEXTSPLIT(R224, "/", , FALSE)</f>
        <v>photography</v>
      </c>
      <c r="T224" t="str">
        <v>photography books</v>
      </c>
    </row>
    <row r="225" spans="1:20" ht="17" x14ac:dyDescent="0.2">
      <c r="A225">
        <v>223</v>
      </c>
      <c r="B225" t="s">
        <v>594</v>
      </c>
      <c r="C225" s="3" t="s">
        <v>595</v>
      </c>
      <c r="D225">
        <v>87300</v>
      </c>
      <c r="E225">
        <v>81897</v>
      </c>
      <c r="F225" s="5">
        <f t="shared" si="6"/>
        <v>0.93810996563573879</v>
      </c>
      <c r="G225" t="s">
        <v>6</v>
      </c>
      <c r="H225">
        <v>931</v>
      </c>
      <c r="I225">
        <f t="shared" si="7"/>
        <v>87.966702470461868</v>
      </c>
      <c r="J225" t="s">
        <v>109</v>
      </c>
      <c r="K225" t="s">
        <v>110</v>
      </c>
      <c r="L225" s="4">
        <v>42445.208333333328</v>
      </c>
      <c r="M225" s="4" t="s">
        <v>49</v>
      </c>
      <c r="N225" s="4" t="s">
        <v>153</v>
      </c>
      <c r="O225" s="4">
        <v>42459.208333333328</v>
      </c>
      <c r="P225" t="b">
        <v>0</v>
      </c>
      <c r="Q225" t="b">
        <v>0</v>
      </c>
      <c r="R225" t="s">
        <v>124</v>
      </c>
      <c r="S225" t="str" cm="1">
        <f t="array" ref="S225:T225">_xlfn.TEXTSPLIT(R225, "/", , FALSE)</f>
        <v>theater</v>
      </c>
      <c r="T225" t="str">
        <v>plays</v>
      </c>
    </row>
    <row r="226" spans="1:20" ht="17" x14ac:dyDescent="0.2">
      <c r="A226">
        <v>224</v>
      </c>
      <c r="B226" t="s">
        <v>596</v>
      </c>
      <c r="C226" s="3" t="s">
        <v>597</v>
      </c>
      <c r="D226">
        <v>46300</v>
      </c>
      <c r="E226">
        <v>186885</v>
      </c>
      <c r="F226" s="5">
        <f t="shared" si="6"/>
        <v>4.0363930885529156</v>
      </c>
      <c r="G226" t="s">
        <v>8</v>
      </c>
      <c r="H226">
        <v>3594</v>
      </c>
      <c r="I226">
        <f t="shared" si="7"/>
        <v>51.999165275459099</v>
      </c>
      <c r="J226" t="s">
        <v>109</v>
      </c>
      <c r="K226" t="s">
        <v>110</v>
      </c>
      <c r="L226" s="4">
        <v>41906.208333333336</v>
      </c>
      <c r="M226" s="4" t="s">
        <v>55</v>
      </c>
      <c r="N226" s="4" t="s">
        <v>111</v>
      </c>
      <c r="O226" s="4">
        <v>41951.25</v>
      </c>
      <c r="P226" t="b">
        <v>0</v>
      </c>
      <c r="Q226" t="b">
        <v>0</v>
      </c>
      <c r="R226" t="s">
        <v>569</v>
      </c>
      <c r="S226" t="str" cm="1">
        <f t="array" ref="S226:T226">_xlfn.TEXTSPLIT(R226, "/", , FALSE)</f>
        <v>film &amp; video</v>
      </c>
      <c r="T226" t="str">
        <v>science fiction</v>
      </c>
    </row>
    <row r="227" spans="1:20" ht="17" x14ac:dyDescent="0.2">
      <c r="A227">
        <v>225</v>
      </c>
      <c r="B227" t="s">
        <v>598</v>
      </c>
      <c r="C227" s="3" t="s">
        <v>599</v>
      </c>
      <c r="D227">
        <v>67800</v>
      </c>
      <c r="E227">
        <v>176398</v>
      </c>
      <c r="F227" s="5">
        <f t="shared" si="6"/>
        <v>2.6017404129793511</v>
      </c>
      <c r="G227" t="s">
        <v>8</v>
      </c>
      <c r="H227">
        <v>5880</v>
      </c>
      <c r="I227">
        <f t="shared" si="7"/>
        <v>29.999659863945578</v>
      </c>
      <c r="J227" t="s">
        <v>109</v>
      </c>
      <c r="K227" t="s">
        <v>110</v>
      </c>
      <c r="L227" s="4">
        <v>41762.208333333336</v>
      </c>
      <c r="M227" s="4" t="s">
        <v>51</v>
      </c>
      <c r="N227" s="4" t="s">
        <v>111</v>
      </c>
      <c r="O227" s="4">
        <v>41762.208333333336</v>
      </c>
      <c r="P227" t="b">
        <v>1</v>
      </c>
      <c r="Q227" t="b">
        <v>0</v>
      </c>
      <c r="R227" t="s">
        <v>112</v>
      </c>
      <c r="S227" t="str" cm="1">
        <f t="array" ref="S227:T227">_xlfn.TEXTSPLIT(R227, "/", , FALSE)</f>
        <v>music</v>
      </c>
      <c r="T227" t="str">
        <v>rock</v>
      </c>
    </row>
    <row r="228" spans="1:20" ht="17" x14ac:dyDescent="0.2">
      <c r="A228">
        <v>226</v>
      </c>
      <c r="B228" t="s">
        <v>348</v>
      </c>
      <c r="C228" s="3" t="s">
        <v>600</v>
      </c>
      <c r="D228">
        <v>3000</v>
      </c>
      <c r="E228">
        <v>10999</v>
      </c>
      <c r="F228" s="5">
        <f t="shared" si="6"/>
        <v>3.6663333333333332</v>
      </c>
      <c r="G228" t="s">
        <v>8</v>
      </c>
      <c r="H228">
        <v>112</v>
      </c>
      <c r="I228">
        <f t="shared" si="7"/>
        <v>98.205357142857139</v>
      </c>
      <c r="J228" t="s">
        <v>109</v>
      </c>
      <c r="K228" t="s">
        <v>110</v>
      </c>
      <c r="L228" s="4">
        <v>40276.208333333336</v>
      </c>
      <c r="M228" s="4" t="s">
        <v>50</v>
      </c>
      <c r="N228" s="4" t="s">
        <v>140</v>
      </c>
      <c r="O228" s="4">
        <v>40313.208333333336</v>
      </c>
      <c r="P228" t="b">
        <v>0</v>
      </c>
      <c r="Q228" t="b">
        <v>0</v>
      </c>
      <c r="R228" t="s">
        <v>217</v>
      </c>
      <c r="S228" t="str" cm="1">
        <f t="array" ref="S228:T228">_xlfn.TEXTSPLIT(R228, "/", , FALSE)</f>
        <v>photography</v>
      </c>
      <c r="T228" t="str">
        <v>photography books</v>
      </c>
    </row>
    <row r="229" spans="1:20" ht="17" x14ac:dyDescent="0.2">
      <c r="A229">
        <v>227</v>
      </c>
      <c r="B229" t="s">
        <v>601</v>
      </c>
      <c r="C229" s="3" t="s">
        <v>602</v>
      </c>
      <c r="D229">
        <v>60900</v>
      </c>
      <c r="E229">
        <v>102751</v>
      </c>
      <c r="F229" s="5">
        <f t="shared" si="6"/>
        <v>1.687208538587849</v>
      </c>
      <c r="G229" t="s">
        <v>8</v>
      </c>
      <c r="H229">
        <v>943</v>
      </c>
      <c r="I229">
        <f t="shared" si="7"/>
        <v>108.96182396606575</v>
      </c>
      <c r="J229" t="s">
        <v>109</v>
      </c>
      <c r="K229" t="s">
        <v>110</v>
      </c>
      <c r="L229" s="4">
        <v>42139.208333333328</v>
      </c>
      <c r="M229" s="4" t="s">
        <v>51</v>
      </c>
      <c r="N229" s="4" t="s">
        <v>105</v>
      </c>
      <c r="O229" s="4">
        <v>42145.208333333328</v>
      </c>
      <c r="P229" t="b">
        <v>0</v>
      </c>
      <c r="Q229" t="b">
        <v>0</v>
      </c>
      <c r="R229" t="s">
        <v>387</v>
      </c>
      <c r="S229" t="str" cm="1">
        <f t="array" ref="S229:T229">_xlfn.TEXTSPLIT(R229, "/", , FALSE)</f>
        <v>games</v>
      </c>
      <c r="T229" t="str">
        <v>mobile games</v>
      </c>
    </row>
    <row r="230" spans="1:20" ht="17" x14ac:dyDescent="0.2">
      <c r="A230">
        <v>228</v>
      </c>
      <c r="B230" t="s">
        <v>603</v>
      </c>
      <c r="C230" s="3" t="s">
        <v>604</v>
      </c>
      <c r="D230">
        <v>137900</v>
      </c>
      <c r="E230">
        <v>165352</v>
      </c>
      <c r="F230" s="5">
        <f t="shared" si="6"/>
        <v>1.1990717911530093</v>
      </c>
      <c r="G230" t="s">
        <v>8</v>
      </c>
      <c r="H230">
        <v>2468</v>
      </c>
      <c r="I230">
        <f t="shared" si="7"/>
        <v>66.998379254457049</v>
      </c>
      <c r="J230" t="s">
        <v>109</v>
      </c>
      <c r="K230" t="s">
        <v>110</v>
      </c>
      <c r="L230" s="4">
        <v>42613.208333333328</v>
      </c>
      <c r="M230" s="4" t="s">
        <v>54</v>
      </c>
      <c r="N230" s="4" t="s">
        <v>153</v>
      </c>
      <c r="O230" s="4">
        <v>42638.208333333328</v>
      </c>
      <c r="P230" t="b">
        <v>0</v>
      </c>
      <c r="Q230" t="b">
        <v>0</v>
      </c>
      <c r="R230" t="s">
        <v>166</v>
      </c>
      <c r="S230" t="str" cm="1">
        <f t="array" ref="S230:T230">_xlfn.TEXTSPLIT(R230, "/", , FALSE)</f>
        <v>film &amp; video</v>
      </c>
      <c r="T230" t="str">
        <v>animation</v>
      </c>
    </row>
    <row r="231" spans="1:20" ht="17" x14ac:dyDescent="0.2">
      <c r="A231">
        <v>229</v>
      </c>
      <c r="B231" t="s">
        <v>605</v>
      </c>
      <c r="C231" s="3" t="s">
        <v>606</v>
      </c>
      <c r="D231">
        <v>85600</v>
      </c>
      <c r="E231">
        <v>165798</v>
      </c>
      <c r="F231" s="5">
        <f t="shared" si="6"/>
        <v>1.936892523364486</v>
      </c>
      <c r="G231" t="s">
        <v>8</v>
      </c>
      <c r="H231">
        <v>2551</v>
      </c>
      <c r="I231">
        <f t="shared" si="7"/>
        <v>64.99333594668758</v>
      </c>
      <c r="J231" t="s">
        <v>109</v>
      </c>
      <c r="K231" t="s">
        <v>110</v>
      </c>
      <c r="L231" s="4">
        <v>42887.208333333328</v>
      </c>
      <c r="M231" s="4" t="s">
        <v>52</v>
      </c>
      <c r="N231" s="4" t="s">
        <v>134</v>
      </c>
      <c r="O231" s="4">
        <v>42935.208333333328</v>
      </c>
      <c r="P231" t="b">
        <v>0</v>
      </c>
      <c r="Q231" t="b">
        <v>1</v>
      </c>
      <c r="R231" t="s">
        <v>387</v>
      </c>
      <c r="S231" t="str" cm="1">
        <f t="array" ref="S231:T231">_xlfn.TEXTSPLIT(R231, "/", , FALSE)</f>
        <v>games</v>
      </c>
      <c r="T231" t="str">
        <v>mobile games</v>
      </c>
    </row>
    <row r="232" spans="1:20" ht="17" x14ac:dyDescent="0.2">
      <c r="A232">
        <v>230</v>
      </c>
      <c r="B232" t="s">
        <v>607</v>
      </c>
      <c r="C232" s="3" t="s">
        <v>608</v>
      </c>
      <c r="D232">
        <v>2400</v>
      </c>
      <c r="E232">
        <v>10084</v>
      </c>
      <c r="F232" s="5">
        <f t="shared" si="6"/>
        <v>4.2016666666666671</v>
      </c>
      <c r="G232" t="s">
        <v>8</v>
      </c>
      <c r="H232">
        <v>101</v>
      </c>
      <c r="I232">
        <f t="shared" si="7"/>
        <v>99.841584158415841</v>
      </c>
      <c r="J232" t="s">
        <v>109</v>
      </c>
      <c r="K232" t="s">
        <v>110</v>
      </c>
      <c r="L232" s="4">
        <v>43805.25</v>
      </c>
      <c r="M232" s="4" t="s">
        <v>58</v>
      </c>
      <c r="N232" s="4" t="s">
        <v>121</v>
      </c>
      <c r="O232" s="4">
        <v>43805.25</v>
      </c>
      <c r="P232" t="b">
        <v>0</v>
      </c>
      <c r="Q232" t="b">
        <v>0</v>
      </c>
      <c r="R232" t="s">
        <v>184</v>
      </c>
      <c r="S232" t="str" cm="1">
        <f t="array" ref="S232:T232">_xlfn.TEXTSPLIT(R232, "/", , FALSE)</f>
        <v>games</v>
      </c>
      <c r="T232" t="str">
        <v>video games</v>
      </c>
    </row>
    <row r="233" spans="1:20" ht="17" x14ac:dyDescent="0.2">
      <c r="A233">
        <v>231</v>
      </c>
      <c r="B233" t="s">
        <v>609</v>
      </c>
      <c r="C233" s="3" t="s">
        <v>610</v>
      </c>
      <c r="D233">
        <v>7200</v>
      </c>
      <c r="E233">
        <v>5523</v>
      </c>
      <c r="F233" s="5">
        <f t="shared" si="6"/>
        <v>0.76708333333333334</v>
      </c>
      <c r="G233" t="s">
        <v>5</v>
      </c>
      <c r="H233">
        <v>67</v>
      </c>
      <c r="I233">
        <f t="shared" si="7"/>
        <v>82.432835820895519</v>
      </c>
      <c r="J233" t="s">
        <v>109</v>
      </c>
      <c r="K233" t="s">
        <v>110</v>
      </c>
      <c r="L233" s="4">
        <v>41415.208333333336</v>
      </c>
      <c r="M233" s="4" t="s">
        <v>51</v>
      </c>
      <c r="N233" s="4" t="s">
        <v>117</v>
      </c>
      <c r="O233" s="4">
        <v>41473.208333333336</v>
      </c>
      <c r="P233" t="b">
        <v>0</v>
      </c>
      <c r="Q233" t="b">
        <v>0</v>
      </c>
      <c r="R233" t="s">
        <v>124</v>
      </c>
      <c r="S233" t="str" cm="1">
        <f t="array" ref="S233:T233">_xlfn.TEXTSPLIT(R233, "/", , FALSE)</f>
        <v>theater</v>
      </c>
      <c r="T233" t="str">
        <v>plays</v>
      </c>
    </row>
    <row r="234" spans="1:20" ht="17" x14ac:dyDescent="0.2">
      <c r="A234">
        <v>232</v>
      </c>
      <c r="B234" t="s">
        <v>611</v>
      </c>
      <c r="C234" s="3" t="s">
        <v>612</v>
      </c>
      <c r="D234">
        <v>3400</v>
      </c>
      <c r="E234">
        <v>5823</v>
      </c>
      <c r="F234" s="5">
        <f t="shared" si="6"/>
        <v>1.7126470588235294</v>
      </c>
      <c r="G234" t="s">
        <v>8</v>
      </c>
      <c r="H234">
        <v>92</v>
      </c>
      <c r="I234">
        <f t="shared" si="7"/>
        <v>63.293478260869563</v>
      </c>
      <c r="J234" t="s">
        <v>109</v>
      </c>
      <c r="K234" t="s">
        <v>110</v>
      </c>
      <c r="L234" s="4">
        <v>42576.208333333328</v>
      </c>
      <c r="M234" s="4" t="s">
        <v>53</v>
      </c>
      <c r="N234" s="4" t="s">
        <v>153</v>
      </c>
      <c r="O234" s="4">
        <v>42577.208333333328</v>
      </c>
      <c r="P234" t="b">
        <v>0</v>
      </c>
      <c r="Q234" t="b">
        <v>0</v>
      </c>
      <c r="R234" t="s">
        <v>124</v>
      </c>
      <c r="S234" t="str" cm="1">
        <f t="array" ref="S234:T234">_xlfn.TEXTSPLIT(R234, "/", , FALSE)</f>
        <v>theater</v>
      </c>
      <c r="T234" t="str">
        <v>plays</v>
      </c>
    </row>
    <row r="235" spans="1:20" ht="17" x14ac:dyDescent="0.2">
      <c r="A235">
        <v>233</v>
      </c>
      <c r="B235" t="s">
        <v>613</v>
      </c>
      <c r="C235" s="3" t="s">
        <v>614</v>
      </c>
      <c r="D235">
        <v>3800</v>
      </c>
      <c r="E235">
        <v>6000</v>
      </c>
      <c r="F235" s="5">
        <f t="shared" si="6"/>
        <v>1.5789473684210527</v>
      </c>
      <c r="G235" t="s">
        <v>8</v>
      </c>
      <c r="H235">
        <v>62</v>
      </c>
      <c r="I235">
        <f t="shared" si="7"/>
        <v>96.774193548387103</v>
      </c>
      <c r="J235" t="s">
        <v>109</v>
      </c>
      <c r="K235" t="s">
        <v>110</v>
      </c>
      <c r="L235" s="4">
        <v>40706.208333333336</v>
      </c>
      <c r="M235" s="4" t="s">
        <v>52</v>
      </c>
      <c r="N235" s="4" t="s">
        <v>165</v>
      </c>
      <c r="O235" s="4">
        <v>40722.208333333336</v>
      </c>
      <c r="P235" t="b">
        <v>0</v>
      </c>
      <c r="Q235" t="b">
        <v>0</v>
      </c>
      <c r="R235" t="s">
        <v>166</v>
      </c>
      <c r="S235" t="str" cm="1">
        <f t="array" ref="S235:T235">_xlfn.TEXTSPLIT(R235, "/", , FALSE)</f>
        <v>film &amp; video</v>
      </c>
      <c r="T235" t="str">
        <v>animation</v>
      </c>
    </row>
    <row r="236" spans="1:20" ht="17" x14ac:dyDescent="0.2">
      <c r="A236">
        <v>234</v>
      </c>
      <c r="B236" t="s">
        <v>615</v>
      </c>
      <c r="C236" s="3" t="s">
        <v>616</v>
      </c>
      <c r="D236">
        <v>7500</v>
      </c>
      <c r="E236">
        <v>8181</v>
      </c>
      <c r="F236" s="5">
        <f t="shared" si="6"/>
        <v>1.0908</v>
      </c>
      <c r="G236" t="s">
        <v>8</v>
      </c>
      <c r="H236">
        <v>149</v>
      </c>
      <c r="I236">
        <f t="shared" si="7"/>
        <v>54.906040268456373</v>
      </c>
      <c r="J236" t="s">
        <v>202</v>
      </c>
      <c r="K236" t="s">
        <v>203</v>
      </c>
      <c r="L236" s="4">
        <v>42969.208333333328</v>
      </c>
      <c r="M236" s="4" t="s">
        <v>54</v>
      </c>
      <c r="N236" s="4" t="s">
        <v>134</v>
      </c>
      <c r="O236" s="4">
        <v>42976.208333333328</v>
      </c>
      <c r="P236" t="b">
        <v>0</v>
      </c>
      <c r="Q236" t="b">
        <v>1</v>
      </c>
      <c r="R236" t="s">
        <v>184</v>
      </c>
      <c r="S236" t="str" cm="1">
        <f t="array" ref="S236:T236">_xlfn.TEXTSPLIT(R236, "/", , FALSE)</f>
        <v>games</v>
      </c>
      <c r="T236" t="str">
        <v>video games</v>
      </c>
    </row>
    <row r="237" spans="1:20" ht="34" x14ac:dyDescent="0.2">
      <c r="A237">
        <v>235</v>
      </c>
      <c r="B237" t="s">
        <v>617</v>
      </c>
      <c r="C237" s="3" t="s">
        <v>618</v>
      </c>
      <c r="D237">
        <v>8600</v>
      </c>
      <c r="E237">
        <v>3589</v>
      </c>
      <c r="F237" s="5">
        <f t="shared" si="6"/>
        <v>0.41732558139534881</v>
      </c>
      <c r="G237" t="s">
        <v>6</v>
      </c>
      <c r="H237">
        <v>92</v>
      </c>
      <c r="I237">
        <f t="shared" si="7"/>
        <v>39.010869565217391</v>
      </c>
      <c r="J237" t="s">
        <v>109</v>
      </c>
      <c r="K237" t="s">
        <v>110</v>
      </c>
      <c r="L237" s="4">
        <v>42779.25</v>
      </c>
      <c r="M237" s="4" t="s">
        <v>48</v>
      </c>
      <c r="N237" s="4" t="s">
        <v>134</v>
      </c>
      <c r="O237" s="4">
        <v>42784.25</v>
      </c>
      <c r="P237" t="b">
        <v>0</v>
      </c>
      <c r="Q237" t="b">
        <v>0</v>
      </c>
      <c r="R237" t="s">
        <v>166</v>
      </c>
      <c r="S237" t="str" cm="1">
        <f t="array" ref="S237:T237">_xlfn.TEXTSPLIT(R237, "/", , FALSE)</f>
        <v>film &amp; video</v>
      </c>
      <c r="T237" t="str">
        <v>animation</v>
      </c>
    </row>
    <row r="238" spans="1:20" ht="17" x14ac:dyDescent="0.2">
      <c r="A238">
        <v>236</v>
      </c>
      <c r="B238" t="s">
        <v>619</v>
      </c>
      <c r="C238" s="3" t="s">
        <v>620</v>
      </c>
      <c r="D238">
        <v>39500</v>
      </c>
      <c r="E238">
        <v>4323</v>
      </c>
      <c r="F238" s="5">
        <f t="shared" si="6"/>
        <v>0.10944303797468355</v>
      </c>
      <c r="G238" t="s">
        <v>6</v>
      </c>
      <c r="H238">
        <v>57</v>
      </c>
      <c r="I238">
        <f t="shared" si="7"/>
        <v>75.84210526315789</v>
      </c>
      <c r="J238" t="s">
        <v>115</v>
      </c>
      <c r="K238" t="s">
        <v>116</v>
      </c>
      <c r="L238" s="4">
        <v>43641.208333333328</v>
      </c>
      <c r="M238" s="4" t="s">
        <v>52</v>
      </c>
      <c r="N238" s="4" t="s">
        <v>121</v>
      </c>
      <c r="O238" s="4">
        <v>43648.208333333328</v>
      </c>
      <c r="P238" t="b">
        <v>0</v>
      </c>
      <c r="Q238" t="b">
        <v>1</v>
      </c>
      <c r="R238" t="s">
        <v>112</v>
      </c>
      <c r="S238" t="str" cm="1">
        <f t="array" ref="S238:T238">_xlfn.TEXTSPLIT(R238, "/", , FALSE)</f>
        <v>music</v>
      </c>
      <c r="T238" t="str">
        <v>rock</v>
      </c>
    </row>
    <row r="239" spans="1:20" ht="34" x14ac:dyDescent="0.2">
      <c r="A239">
        <v>237</v>
      </c>
      <c r="B239" t="s">
        <v>621</v>
      </c>
      <c r="C239" s="3" t="s">
        <v>622</v>
      </c>
      <c r="D239">
        <v>9300</v>
      </c>
      <c r="E239">
        <v>14822</v>
      </c>
      <c r="F239" s="5">
        <f t="shared" si="6"/>
        <v>1.593763440860215</v>
      </c>
      <c r="G239" t="s">
        <v>8</v>
      </c>
      <c r="H239">
        <v>329</v>
      </c>
      <c r="I239">
        <f t="shared" si="7"/>
        <v>45.051671732522799</v>
      </c>
      <c r="J239" t="s">
        <v>109</v>
      </c>
      <c r="K239" t="s">
        <v>110</v>
      </c>
      <c r="L239" s="4">
        <v>41754.208333333336</v>
      </c>
      <c r="M239" s="4" t="s">
        <v>50</v>
      </c>
      <c r="N239" s="4" t="s">
        <v>111</v>
      </c>
      <c r="O239" s="4">
        <v>41756.208333333336</v>
      </c>
      <c r="P239" t="b">
        <v>0</v>
      </c>
      <c r="Q239" t="b">
        <v>0</v>
      </c>
      <c r="R239" t="s">
        <v>166</v>
      </c>
      <c r="S239" t="str" cm="1">
        <f t="array" ref="S239:T239">_xlfn.TEXTSPLIT(R239, "/", , FALSE)</f>
        <v>film &amp; video</v>
      </c>
      <c r="T239" t="str">
        <v>animation</v>
      </c>
    </row>
    <row r="240" spans="1:20" ht="17" x14ac:dyDescent="0.2">
      <c r="A240">
        <v>238</v>
      </c>
      <c r="B240" t="s">
        <v>623</v>
      </c>
      <c r="C240" s="3" t="s">
        <v>624</v>
      </c>
      <c r="D240">
        <v>2400</v>
      </c>
      <c r="E240">
        <v>10138</v>
      </c>
      <c r="F240" s="5">
        <f t="shared" si="6"/>
        <v>4.2241666666666671</v>
      </c>
      <c r="G240" t="s">
        <v>8</v>
      </c>
      <c r="H240">
        <v>97</v>
      </c>
      <c r="I240">
        <f t="shared" si="7"/>
        <v>104.51546391752578</v>
      </c>
      <c r="J240" t="s">
        <v>127</v>
      </c>
      <c r="K240" t="s">
        <v>128</v>
      </c>
      <c r="L240" s="4">
        <v>43083.25</v>
      </c>
      <c r="M240" s="4" t="s">
        <v>58</v>
      </c>
      <c r="N240" s="4" t="s">
        <v>134</v>
      </c>
      <c r="O240" s="4">
        <v>43108.25</v>
      </c>
      <c r="P240" t="b">
        <v>0</v>
      </c>
      <c r="Q240" t="b">
        <v>1</v>
      </c>
      <c r="R240" t="s">
        <v>124</v>
      </c>
      <c r="S240" t="str" cm="1">
        <f t="array" ref="S240:T240">_xlfn.TEXTSPLIT(R240, "/", , FALSE)</f>
        <v>theater</v>
      </c>
      <c r="T240" t="str">
        <v>plays</v>
      </c>
    </row>
    <row r="241" spans="1:20" ht="34" x14ac:dyDescent="0.2">
      <c r="A241">
        <v>239</v>
      </c>
      <c r="B241" t="s">
        <v>625</v>
      </c>
      <c r="C241" s="3" t="s">
        <v>626</v>
      </c>
      <c r="D241">
        <v>3200</v>
      </c>
      <c r="E241">
        <v>3127</v>
      </c>
      <c r="F241" s="5">
        <f t="shared" si="6"/>
        <v>0.97718749999999999</v>
      </c>
      <c r="G241" t="s">
        <v>6</v>
      </c>
      <c r="H241">
        <v>41</v>
      </c>
      <c r="I241">
        <f t="shared" si="7"/>
        <v>76.268292682926827</v>
      </c>
      <c r="J241" t="s">
        <v>109</v>
      </c>
      <c r="K241" t="s">
        <v>110</v>
      </c>
      <c r="L241" s="4">
        <v>42245.208333333328</v>
      </c>
      <c r="M241" s="4" t="s">
        <v>54</v>
      </c>
      <c r="N241" s="4" t="s">
        <v>105</v>
      </c>
      <c r="O241" s="4">
        <v>42249.208333333328</v>
      </c>
      <c r="P241" t="b">
        <v>0</v>
      </c>
      <c r="Q241" t="b">
        <v>0</v>
      </c>
      <c r="R241" t="s">
        <v>159</v>
      </c>
      <c r="S241" t="str" cm="1">
        <f t="array" ref="S241:T241">_xlfn.TEXTSPLIT(R241, "/", , FALSE)</f>
        <v>technology</v>
      </c>
      <c r="T241" t="str">
        <v>wearables</v>
      </c>
    </row>
    <row r="242" spans="1:20" ht="17" x14ac:dyDescent="0.2">
      <c r="A242">
        <v>240</v>
      </c>
      <c r="B242" t="s">
        <v>627</v>
      </c>
      <c r="C242" s="3" t="s">
        <v>628</v>
      </c>
      <c r="D242">
        <v>29400</v>
      </c>
      <c r="E242">
        <v>123124</v>
      </c>
      <c r="F242" s="5">
        <f t="shared" si="6"/>
        <v>4.1878911564625847</v>
      </c>
      <c r="G242" t="s">
        <v>8</v>
      </c>
      <c r="H242">
        <v>1784</v>
      </c>
      <c r="I242">
        <f t="shared" si="7"/>
        <v>69.015695067264573</v>
      </c>
      <c r="J242" t="s">
        <v>109</v>
      </c>
      <c r="K242" t="s">
        <v>110</v>
      </c>
      <c r="L242" s="4">
        <v>40396.208333333336</v>
      </c>
      <c r="M242" s="4" t="s">
        <v>54</v>
      </c>
      <c r="N242" s="4" t="s">
        <v>140</v>
      </c>
      <c r="O242" s="4">
        <v>40397.208333333336</v>
      </c>
      <c r="P242" t="b">
        <v>0</v>
      </c>
      <c r="Q242" t="b">
        <v>0</v>
      </c>
      <c r="R242" t="s">
        <v>124</v>
      </c>
      <c r="S242" t="str" cm="1">
        <f t="array" ref="S242:T242">_xlfn.TEXTSPLIT(R242, "/", , FALSE)</f>
        <v>theater</v>
      </c>
      <c r="T242" t="str">
        <v>plays</v>
      </c>
    </row>
    <row r="243" spans="1:20" ht="17" x14ac:dyDescent="0.2">
      <c r="A243">
        <v>241</v>
      </c>
      <c r="B243" t="s">
        <v>629</v>
      </c>
      <c r="C243" s="3" t="s">
        <v>630</v>
      </c>
      <c r="D243">
        <v>168500</v>
      </c>
      <c r="E243">
        <v>171729</v>
      </c>
      <c r="F243" s="5">
        <f t="shared" si="6"/>
        <v>1.0191632047477746</v>
      </c>
      <c r="G243" t="s">
        <v>8</v>
      </c>
      <c r="H243">
        <v>1684</v>
      </c>
      <c r="I243">
        <f t="shared" si="7"/>
        <v>101.97684085510689</v>
      </c>
      <c r="J243" t="s">
        <v>115</v>
      </c>
      <c r="K243" t="s">
        <v>116</v>
      </c>
      <c r="L243" s="4">
        <v>41742.208333333336</v>
      </c>
      <c r="M243" s="4" t="s">
        <v>50</v>
      </c>
      <c r="N243" s="4" t="s">
        <v>111</v>
      </c>
      <c r="O243" s="4">
        <v>41752.208333333336</v>
      </c>
      <c r="P243" t="b">
        <v>0</v>
      </c>
      <c r="Q243" t="b">
        <v>1</v>
      </c>
      <c r="R243" t="s">
        <v>162</v>
      </c>
      <c r="S243" t="str" cm="1">
        <f t="array" ref="S243:T243">_xlfn.TEXTSPLIT(R243, "/", , FALSE)</f>
        <v>publishing</v>
      </c>
      <c r="T243" t="str">
        <v>nonfiction</v>
      </c>
    </row>
    <row r="244" spans="1:20" ht="17" x14ac:dyDescent="0.2">
      <c r="A244">
        <v>242</v>
      </c>
      <c r="B244" t="s">
        <v>631</v>
      </c>
      <c r="C244" s="3" t="s">
        <v>632</v>
      </c>
      <c r="D244">
        <v>8400</v>
      </c>
      <c r="E244">
        <v>10729</v>
      </c>
      <c r="F244" s="5">
        <f t="shared" si="6"/>
        <v>1.2772619047619047</v>
      </c>
      <c r="G244" t="s">
        <v>8</v>
      </c>
      <c r="H244">
        <v>250</v>
      </c>
      <c r="I244">
        <f t="shared" si="7"/>
        <v>42.915999999999997</v>
      </c>
      <c r="J244" t="s">
        <v>109</v>
      </c>
      <c r="K244" t="s">
        <v>110</v>
      </c>
      <c r="L244" s="4">
        <v>42865.208333333328</v>
      </c>
      <c r="M244" s="4" t="s">
        <v>51</v>
      </c>
      <c r="N244" s="4" t="s">
        <v>134</v>
      </c>
      <c r="O244" s="4">
        <v>42875.208333333328</v>
      </c>
      <c r="P244" t="b">
        <v>0</v>
      </c>
      <c r="Q244" t="b">
        <v>1</v>
      </c>
      <c r="R244" t="s">
        <v>112</v>
      </c>
      <c r="S244" t="str" cm="1">
        <f t="array" ref="S244:T244">_xlfn.TEXTSPLIT(R244, "/", , FALSE)</f>
        <v>music</v>
      </c>
      <c r="T244" t="str">
        <v>rock</v>
      </c>
    </row>
    <row r="245" spans="1:20" ht="34" x14ac:dyDescent="0.2">
      <c r="A245">
        <v>243</v>
      </c>
      <c r="B245" t="s">
        <v>633</v>
      </c>
      <c r="C245" s="3" t="s">
        <v>634</v>
      </c>
      <c r="D245">
        <v>2300</v>
      </c>
      <c r="E245">
        <v>10240</v>
      </c>
      <c r="F245" s="5">
        <f t="shared" si="6"/>
        <v>4.4521739130434783</v>
      </c>
      <c r="G245" t="s">
        <v>8</v>
      </c>
      <c r="H245">
        <v>238</v>
      </c>
      <c r="I245">
        <f t="shared" si="7"/>
        <v>43.025210084033617</v>
      </c>
      <c r="J245" t="s">
        <v>109</v>
      </c>
      <c r="K245" t="s">
        <v>110</v>
      </c>
      <c r="L245" s="4">
        <v>43163.25</v>
      </c>
      <c r="M245" s="4" t="s">
        <v>49</v>
      </c>
      <c r="N245" s="4" t="s">
        <v>169</v>
      </c>
      <c r="O245" s="4">
        <v>43166.25</v>
      </c>
      <c r="P245" t="b">
        <v>0</v>
      </c>
      <c r="Q245" t="b">
        <v>0</v>
      </c>
      <c r="R245" t="s">
        <v>124</v>
      </c>
      <c r="S245" t="str" cm="1">
        <f t="array" ref="S245:T245">_xlfn.TEXTSPLIT(R245, "/", , FALSE)</f>
        <v>theater</v>
      </c>
      <c r="T245" t="str">
        <v>plays</v>
      </c>
    </row>
    <row r="246" spans="1:20" ht="34" x14ac:dyDescent="0.2">
      <c r="A246">
        <v>244</v>
      </c>
      <c r="B246" t="s">
        <v>635</v>
      </c>
      <c r="C246" s="3" t="s">
        <v>636</v>
      </c>
      <c r="D246">
        <v>700</v>
      </c>
      <c r="E246">
        <v>3988</v>
      </c>
      <c r="F246" s="5">
        <f t="shared" si="6"/>
        <v>5.6971428571428575</v>
      </c>
      <c r="G246" t="s">
        <v>8</v>
      </c>
      <c r="H246">
        <v>53</v>
      </c>
      <c r="I246">
        <f t="shared" si="7"/>
        <v>75.245283018867923</v>
      </c>
      <c r="J246" t="s">
        <v>109</v>
      </c>
      <c r="K246" t="s">
        <v>110</v>
      </c>
      <c r="L246" s="4">
        <v>41834.208333333336</v>
      </c>
      <c r="M246" s="4" t="s">
        <v>53</v>
      </c>
      <c r="N246" s="4" t="s">
        <v>111</v>
      </c>
      <c r="O246" s="4">
        <v>41886.208333333336</v>
      </c>
      <c r="P246" t="b">
        <v>0</v>
      </c>
      <c r="Q246" t="b">
        <v>0</v>
      </c>
      <c r="R246" t="s">
        <v>124</v>
      </c>
      <c r="S246" t="str" cm="1">
        <f t="array" ref="S246:T246">_xlfn.TEXTSPLIT(R246, "/", , FALSE)</f>
        <v>theater</v>
      </c>
      <c r="T246" t="str">
        <v>plays</v>
      </c>
    </row>
    <row r="247" spans="1:20" ht="17" x14ac:dyDescent="0.2">
      <c r="A247">
        <v>245</v>
      </c>
      <c r="B247" t="s">
        <v>637</v>
      </c>
      <c r="C247" s="3" t="s">
        <v>638</v>
      </c>
      <c r="D247">
        <v>2900</v>
      </c>
      <c r="E247">
        <v>14771</v>
      </c>
      <c r="F247" s="5">
        <f t="shared" si="6"/>
        <v>5.0934482758620687</v>
      </c>
      <c r="G247" t="s">
        <v>8</v>
      </c>
      <c r="H247">
        <v>214</v>
      </c>
      <c r="I247">
        <f t="shared" si="7"/>
        <v>69.023364485981304</v>
      </c>
      <c r="J247" t="s">
        <v>109</v>
      </c>
      <c r="K247" t="s">
        <v>110</v>
      </c>
      <c r="L247" s="4">
        <v>41736.208333333336</v>
      </c>
      <c r="M247" s="4" t="s">
        <v>50</v>
      </c>
      <c r="N247" s="4" t="s">
        <v>111</v>
      </c>
      <c r="O247" s="4">
        <v>41737.208333333336</v>
      </c>
      <c r="P247" t="b">
        <v>0</v>
      </c>
      <c r="Q247" t="b">
        <v>0</v>
      </c>
      <c r="R247" t="s">
        <v>124</v>
      </c>
      <c r="S247" t="str" cm="1">
        <f t="array" ref="S247:T247">_xlfn.TEXTSPLIT(R247, "/", , FALSE)</f>
        <v>theater</v>
      </c>
      <c r="T247" t="str">
        <v>plays</v>
      </c>
    </row>
    <row r="248" spans="1:20" ht="17" x14ac:dyDescent="0.2">
      <c r="A248">
        <v>246</v>
      </c>
      <c r="B248" t="s">
        <v>639</v>
      </c>
      <c r="C248" s="3" t="s">
        <v>640</v>
      </c>
      <c r="D248">
        <v>4500</v>
      </c>
      <c r="E248">
        <v>14649</v>
      </c>
      <c r="F248" s="5">
        <f t="shared" si="6"/>
        <v>3.2553333333333332</v>
      </c>
      <c r="G248" t="s">
        <v>8</v>
      </c>
      <c r="H248">
        <v>222</v>
      </c>
      <c r="I248">
        <f t="shared" si="7"/>
        <v>65.986486486486484</v>
      </c>
      <c r="J248" t="s">
        <v>109</v>
      </c>
      <c r="K248" t="s">
        <v>110</v>
      </c>
      <c r="L248" s="4">
        <v>41491.208333333336</v>
      </c>
      <c r="M248" s="4" t="s">
        <v>54</v>
      </c>
      <c r="N248" s="4" t="s">
        <v>117</v>
      </c>
      <c r="O248" s="4">
        <v>41495.208333333336</v>
      </c>
      <c r="P248" t="b">
        <v>0</v>
      </c>
      <c r="Q248" t="b">
        <v>0</v>
      </c>
      <c r="R248" t="s">
        <v>118</v>
      </c>
      <c r="S248" t="str" cm="1">
        <f t="array" ref="S248:T248">_xlfn.TEXTSPLIT(R248, "/", , FALSE)</f>
        <v>technology</v>
      </c>
      <c r="T248" t="str">
        <v>web</v>
      </c>
    </row>
    <row r="249" spans="1:20" ht="17" x14ac:dyDescent="0.2">
      <c r="A249">
        <v>247</v>
      </c>
      <c r="B249" t="s">
        <v>641</v>
      </c>
      <c r="C249" s="3" t="s">
        <v>642</v>
      </c>
      <c r="D249">
        <v>19800</v>
      </c>
      <c r="E249">
        <v>184658</v>
      </c>
      <c r="F249" s="5">
        <f t="shared" si="6"/>
        <v>9.3261616161616168</v>
      </c>
      <c r="G249" t="s">
        <v>8</v>
      </c>
      <c r="H249">
        <v>1884</v>
      </c>
      <c r="I249">
        <f t="shared" si="7"/>
        <v>98.013800424628457</v>
      </c>
      <c r="J249" t="s">
        <v>109</v>
      </c>
      <c r="K249" t="s">
        <v>110</v>
      </c>
      <c r="L249" s="4">
        <v>42726.25</v>
      </c>
      <c r="M249" s="4" t="s">
        <v>58</v>
      </c>
      <c r="N249" s="4" t="s">
        <v>153</v>
      </c>
      <c r="O249" s="4">
        <v>42741.25</v>
      </c>
      <c r="P249" t="b">
        <v>0</v>
      </c>
      <c r="Q249" t="b">
        <v>1</v>
      </c>
      <c r="R249" t="s">
        <v>214</v>
      </c>
      <c r="S249" t="str" cm="1">
        <f t="array" ref="S249:T249">_xlfn.TEXTSPLIT(R249, "/", , FALSE)</f>
        <v>publishing</v>
      </c>
      <c r="T249" t="str">
        <v>fiction</v>
      </c>
    </row>
    <row r="250" spans="1:20" ht="17" x14ac:dyDescent="0.2">
      <c r="A250">
        <v>248</v>
      </c>
      <c r="B250" t="s">
        <v>643</v>
      </c>
      <c r="C250" s="3" t="s">
        <v>644</v>
      </c>
      <c r="D250">
        <v>6200</v>
      </c>
      <c r="E250">
        <v>13103</v>
      </c>
      <c r="F250" s="5">
        <f t="shared" si="6"/>
        <v>2.1133870967741935</v>
      </c>
      <c r="G250" t="s">
        <v>8</v>
      </c>
      <c r="H250">
        <v>218</v>
      </c>
      <c r="I250">
        <f t="shared" si="7"/>
        <v>60.105504587155963</v>
      </c>
      <c r="J250" t="s">
        <v>115</v>
      </c>
      <c r="K250" t="s">
        <v>116</v>
      </c>
      <c r="L250" s="4">
        <v>42004.25</v>
      </c>
      <c r="M250" s="4" t="s">
        <v>58</v>
      </c>
      <c r="N250" s="4" t="s">
        <v>111</v>
      </c>
      <c r="O250" s="4">
        <v>42009.25</v>
      </c>
      <c r="P250" t="b">
        <v>0</v>
      </c>
      <c r="Q250" t="b">
        <v>0</v>
      </c>
      <c r="R250" t="s">
        <v>387</v>
      </c>
      <c r="S250" t="str" cm="1">
        <f t="array" ref="S250:T250">_xlfn.TEXTSPLIT(R250, "/", , FALSE)</f>
        <v>games</v>
      </c>
      <c r="T250" t="str">
        <v>mobile games</v>
      </c>
    </row>
    <row r="251" spans="1:20" ht="17" x14ac:dyDescent="0.2">
      <c r="A251">
        <v>249</v>
      </c>
      <c r="B251" t="s">
        <v>645</v>
      </c>
      <c r="C251" s="3" t="s">
        <v>646</v>
      </c>
      <c r="D251">
        <v>61500</v>
      </c>
      <c r="E251">
        <v>168095</v>
      </c>
      <c r="F251" s="5">
        <f t="shared" si="6"/>
        <v>2.7332520325203253</v>
      </c>
      <c r="G251" t="s">
        <v>8</v>
      </c>
      <c r="H251">
        <v>6465</v>
      </c>
      <c r="I251">
        <f t="shared" si="7"/>
        <v>26.000773395204948</v>
      </c>
      <c r="J251" t="s">
        <v>109</v>
      </c>
      <c r="K251" t="s">
        <v>110</v>
      </c>
      <c r="L251" s="4">
        <v>42006.25</v>
      </c>
      <c r="M251" s="4" t="s">
        <v>47</v>
      </c>
      <c r="N251" s="4" t="s">
        <v>105</v>
      </c>
      <c r="O251" s="4">
        <v>42013.25</v>
      </c>
      <c r="P251" t="b">
        <v>0</v>
      </c>
      <c r="Q251" t="b">
        <v>0</v>
      </c>
      <c r="R251" t="s">
        <v>301</v>
      </c>
      <c r="S251" t="str" cm="1">
        <f t="array" ref="S251:T251">_xlfn.TEXTSPLIT(R251, "/", , FALSE)</f>
        <v>publishing</v>
      </c>
      <c r="T251" t="str">
        <v>translations</v>
      </c>
    </row>
    <row r="252" spans="1:20" ht="17" x14ac:dyDescent="0.2">
      <c r="A252">
        <v>250</v>
      </c>
      <c r="B252" t="s">
        <v>647</v>
      </c>
      <c r="C252" s="3" t="s">
        <v>648</v>
      </c>
      <c r="D252">
        <v>100</v>
      </c>
      <c r="E252">
        <v>3</v>
      </c>
      <c r="F252" s="5">
        <f t="shared" si="6"/>
        <v>0.03</v>
      </c>
      <c r="G252" t="s">
        <v>6</v>
      </c>
      <c r="H252">
        <v>1</v>
      </c>
      <c r="I252">
        <f t="shared" si="7"/>
        <v>3</v>
      </c>
      <c r="J252" t="s">
        <v>109</v>
      </c>
      <c r="K252" t="s">
        <v>110</v>
      </c>
      <c r="L252" s="4">
        <v>40203.25</v>
      </c>
      <c r="M252" s="4" t="s">
        <v>47</v>
      </c>
      <c r="N252" s="4" t="s">
        <v>140</v>
      </c>
      <c r="O252" s="4">
        <v>40238.25</v>
      </c>
      <c r="P252" t="b">
        <v>0</v>
      </c>
      <c r="Q252" t="b">
        <v>0</v>
      </c>
      <c r="R252" t="s">
        <v>112</v>
      </c>
      <c r="S252" t="str" cm="1">
        <f t="array" ref="S252:T252">_xlfn.TEXTSPLIT(R252, "/", , FALSE)</f>
        <v>music</v>
      </c>
      <c r="T252" t="str">
        <v>rock</v>
      </c>
    </row>
    <row r="253" spans="1:20" ht="17" x14ac:dyDescent="0.2">
      <c r="A253">
        <v>251</v>
      </c>
      <c r="B253" t="s">
        <v>649</v>
      </c>
      <c r="C253" s="3" t="s">
        <v>650</v>
      </c>
      <c r="D253">
        <v>7100</v>
      </c>
      <c r="E253">
        <v>3840</v>
      </c>
      <c r="F253" s="5">
        <f t="shared" si="6"/>
        <v>0.54084507042253516</v>
      </c>
      <c r="G253" t="s">
        <v>6</v>
      </c>
      <c r="H253">
        <v>101</v>
      </c>
      <c r="I253">
        <f t="shared" si="7"/>
        <v>38.019801980198018</v>
      </c>
      <c r="J253" t="s">
        <v>109</v>
      </c>
      <c r="K253" t="s">
        <v>110</v>
      </c>
      <c r="L253" s="4">
        <v>41252.25</v>
      </c>
      <c r="M253" s="4" t="s">
        <v>58</v>
      </c>
      <c r="N253" s="4" t="s">
        <v>129</v>
      </c>
      <c r="O253" s="4">
        <v>41254.25</v>
      </c>
      <c r="P253" t="b">
        <v>0</v>
      </c>
      <c r="Q253" t="b">
        <v>0</v>
      </c>
      <c r="R253" t="s">
        <v>124</v>
      </c>
      <c r="S253" t="str" cm="1">
        <f t="array" ref="S253:T253">_xlfn.TEXTSPLIT(R253, "/", , FALSE)</f>
        <v>theater</v>
      </c>
      <c r="T253" t="str">
        <v>plays</v>
      </c>
    </row>
    <row r="254" spans="1:20" ht="34" x14ac:dyDescent="0.2">
      <c r="A254">
        <v>252</v>
      </c>
      <c r="B254" t="s">
        <v>651</v>
      </c>
      <c r="C254" s="3" t="s">
        <v>652</v>
      </c>
      <c r="D254">
        <v>1000</v>
      </c>
      <c r="E254">
        <v>6263</v>
      </c>
      <c r="F254" s="5">
        <f t="shared" si="6"/>
        <v>6.2629999999999999</v>
      </c>
      <c r="G254" t="s">
        <v>8</v>
      </c>
      <c r="H254">
        <v>59</v>
      </c>
      <c r="I254">
        <f t="shared" si="7"/>
        <v>106.15254237288136</v>
      </c>
      <c r="J254" t="s">
        <v>109</v>
      </c>
      <c r="K254" t="s">
        <v>110</v>
      </c>
      <c r="L254" s="4">
        <v>41572.208333333336</v>
      </c>
      <c r="M254" s="4" t="s">
        <v>56</v>
      </c>
      <c r="N254" s="4" t="s">
        <v>117</v>
      </c>
      <c r="O254" s="4">
        <v>41577.208333333336</v>
      </c>
      <c r="P254" t="b">
        <v>0</v>
      </c>
      <c r="Q254" t="b">
        <v>0</v>
      </c>
      <c r="R254" t="s">
        <v>124</v>
      </c>
      <c r="S254" t="str" cm="1">
        <f t="array" ref="S254:T254">_xlfn.TEXTSPLIT(R254, "/", , FALSE)</f>
        <v>theater</v>
      </c>
      <c r="T254" t="str">
        <v>plays</v>
      </c>
    </row>
    <row r="255" spans="1:20" ht="17" x14ac:dyDescent="0.2">
      <c r="A255">
        <v>253</v>
      </c>
      <c r="B255" t="s">
        <v>653</v>
      </c>
      <c r="C255" s="3" t="s">
        <v>654</v>
      </c>
      <c r="D255">
        <v>121500</v>
      </c>
      <c r="E255">
        <v>108161</v>
      </c>
      <c r="F255" s="5">
        <f t="shared" si="6"/>
        <v>0.8902139917695473</v>
      </c>
      <c r="G255" t="s">
        <v>6</v>
      </c>
      <c r="H255">
        <v>1335</v>
      </c>
      <c r="I255">
        <f t="shared" si="7"/>
        <v>81.019475655430711</v>
      </c>
      <c r="J255" t="s">
        <v>103</v>
      </c>
      <c r="K255" t="s">
        <v>104</v>
      </c>
      <c r="L255" s="4">
        <v>40641.208333333336</v>
      </c>
      <c r="M255" s="4" t="s">
        <v>50</v>
      </c>
      <c r="N255" s="4" t="s">
        <v>165</v>
      </c>
      <c r="O255" s="4">
        <v>40653.208333333336</v>
      </c>
      <c r="P255" t="b">
        <v>0</v>
      </c>
      <c r="Q255" t="b">
        <v>0</v>
      </c>
      <c r="R255" t="s">
        <v>146</v>
      </c>
      <c r="S255" t="str" cm="1">
        <f t="array" ref="S255:T255">_xlfn.TEXTSPLIT(R255, "/", , FALSE)</f>
        <v>film &amp; video</v>
      </c>
      <c r="T255" t="str">
        <v>drama</v>
      </c>
    </row>
    <row r="256" spans="1:20" ht="34" x14ac:dyDescent="0.2">
      <c r="A256">
        <v>254</v>
      </c>
      <c r="B256" t="s">
        <v>655</v>
      </c>
      <c r="C256" s="3" t="s">
        <v>656</v>
      </c>
      <c r="D256">
        <v>4600</v>
      </c>
      <c r="E256">
        <v>8505</v>
      </c>
      <c r="F256" s="5">
        <f t="shared" si="6"/>
        <v>1.8489130434782608</v>
      </c>
      <c r="G256" t="s">
        <v>8</v>
      </c>
      <c r="H256">
        <v>88</v>
      </c>
      <c r="I256">
        <f t="shared" si="7"/>
        <v>96.647727272727266</v>
      </c>
      <c r="J256" t="s">
        <v>109</v>
      </c>
      <c r="K256" t="s">
        <v>110</v>
      </c>
      <c r="L256" s="4">
        <v>42787.25</v>
      </c>
      <c r="M256" s="4" t="s">
        <v>48</v>
      </c>
      <c r="N256" s="4" t="s">
        <v>134</v>
      </c>
      <c r="O256" s="4">
        <v>42789.25</v>
      </c>
      <c r="P256" t="b">
        <v>0</v>
      </c>
      <c r="Q256" t="b">
        <v>0</v>
      </c>
      <c r="R256" t="s">
        <v>162</v>
      </c>
      <c r="S256" t="str" cm="1">
        <f t="array" ref="S256:T256">_xlfn.TEXTSPLIT(R256, "/", , FALSE)</f>
        <v>publishing</v>
      </c>
      <c r="T256" t="str">
        <v>nonfiction</v>
      </c>
    </row>
    <row r="257" spans="1:20" ht="34" x14ac:dyDescent="0.2">
      <c r="A257">
        <v>255</v>
      </c>
      <c r="B257" t="s">
        <v>657</v>
      </c>
      <c r="C257" s="3" t="s">
        <v>658</v>
      </c>
      <c r="D257">
        <v>80500</v>
      </c>
      <c r="E257">
        <v>96735</v>
      </c>
      <c r="F257" s="5">
        <f t="shared" si="6"/>
        <v>1.2016770186335404</v>
      </c>
      <c r="G257" t="s">
        <v>8</v>
      </c>
      <c r="H257">
        <v>1697</v>
      </c>
      <c r="I257">
        <f t="shared" si="7"/>
        <v>57.003535651149086</v>
      </c>
      <c r="J257" t="s">
        <v>109</v>
      </c>
      <c r="K257" t="s">
        <v>110</v>
      </c>
      <c r="L257" s="4">
        <v>40590.25</v>
      </c>
      <c r="M257" s="4" t="s">
        <v>48</v>
      </c>
      <c r="N257" s="4" t="s">
        <v>165</v>
      </c>
      <c r="O257" s="4">
        <v>40595.25</v>
      </c>
      <c r="P257" t="b">
        <v>0</v>
      </c>
      <c r="Q257" t="b">
        <v>1</v>
      </c>
      <c r="R257" t="s">
        <v>112</v>
      </c>
      <c r="S257" t="str" cm="1">
        <f t="array" ref="S257:T257">_xlfn.TEXTSPLIT(R257, "/", , FALSE)</f>
        <v>music</v>
      </c>
      <c r="T257" t="str">
        <v>rock</v>
      </c>
    </row>
    <row r="258" spans="1:20" ht="17" x14ac:dyDescent="0.2">
      <c r="A258">
        <v>256</v>
      </c>
      <c r="B258" t="s">
        <v>659</v>
      </c>
      <c r="C258" s="3" t="s">
        <v>660</v>
      </c>
      <c r="D258">
        <v>4100</v>
      </c>
      <c r="E258">
        <v>959</v>
      </c>
      <c r="F258" s="5">
        <f t="shared" si="6"/>
        <v>0.23390243902439026</v>
      </c>
      <c r="G258" t="s">
        <v>6</v>
      </c>
      <c r="H258">
        <v>15</v>
      </c>
      <c r="I258">
        <f t="shared" si="7"/>
        <v>63.93333333333333</v>
      </c>
      <c r="J258" t="s">
        <v>132</v>
      </c>
      <c r="K258" t="s">
        <v>133</v>
      </c>
      <c r="L258" s="4">
        <v>42393.25</v>
      </c>
      <c r="M258" s="4" t="s">
        <v>47</v>
      </c>
      <c r="N258" s="4" t="s">
        <v>153</v>
      </c>
      <c r="O258" s="4">
        <v>42430.25</v>
      </c>
      <c r="P258" t="b">
        <v>0</v>
      </c>
      <c r="Q258" t="b">
        <v>0</v>
      </c>
      <c r="R258" t="s">
        <v>112</v>
      </c>
      <c r="S258" t="str" cm="1">
        <f t="array" ref="S258:T258">_xlfn.TEXTSPLIT(R258, "/", , FALSE)</f>
        <v>music</v>
      </c>
      <c r="T258" t="str">
        <v>rock</v>
      </c>
    </row>
    <row r="259" spans="1:20" ht="17" x14ac:dyDescent="0.2">
      <c r="A259">
        <v>257</v>
      </c>
      <c r="B259" t="s">
        <v>661</v>
      </c>
      <c r="C259" s="3" t="s">
        <v>662</v>
      </c>
      <c r="D259">
        <v>5700</v>
      </c>
      <c r="E259">
        <v>8322</v>
      </c>
      <c r="F259" s="5">
        <f t="shared" ref="F259:F322" si="8">E259/D259</f>
        <v>1.46</v>
      </c>
      <c r="G259" t="s">
        <v>8</v>
      </c>
      <c r="H259">
        <v>92</v>
      </c>
      <c r="I259">
        <f t="shared" ref="I259:I322" si="9">E259/H259</f>
        <v>90.456521739130437</v>
      </c>
      <c r="J259" t="s">
        <v>109</v>
      </c>
      <c r="K259" t="s">
        <v>110</v>
      </c>
      <c r="L259" s="4">
        <v>41338.25</v>
      </c>
      <c r="M259" s="4" t="s">
        <v>49</v>
      </c>
      <c r="N259" s="4" t="s">
        <v>117</v>
      </c>
      <c r="O259" s="4">
        <v>41352.208333333336</v>
      </c>
      <c r="P259" t="b">
        <v>0</v>
      </c>
      <c r="Q259" t="b">
        <v>0</v>
      </c>
      <c r="R259" t="s">
        <v>124</v>
      </c>
      <c r="S259" t="str" cm="1">
        <f t="array" ref="S259:T259">_xlfn.TEXTSPLIT(R259, "/", , FALSE)</f>
        <v>theater</v>
      </c>
      <c r="T259" t="str">
        <v>plays</v>
      </c>
    </row>
    <row r="260" spans="1:20" ht="17" x14ac:dyDescent="0.2">
      <c r="A260">
        <v>258</v>
      </c>
      <c r="B260" t="s">
        <v>663</v>
      </c>
      <c r="C260" s="3" t="s">
        <v>664</v>
      </c>
      <c r="D260">
        <v>5000</v>
      </c>
      <c r="E260">
        <v>13424</v>
      </c>
      <c r="F260" s="5">
        <f t="shared" si="8"/>
        <v>2.6848000000000001</v>
      </c>
      <c r="G260" t="s">
        <v>8</v>
      </c>
      <c r="H260">
        <v>186</v>
      </c>
      <c r="I260">
        <f t="shared" si="9"/>
        <v>72.172043010752688</v>
      </c>
      <c r="J260" t="s">
        <v>109</v>
      </c>
      <c r="K260" t="s">
        <v>110</v>
      </c>
      <c r="L260" s="4">
        <v>42712.25</v>
      </c>
      <c r="M260" s="4" t="s">
        <v>58</v>
      </c>
      <c r="N260" s="4" t="s">
        <v>153</v>
      </c>
      <c r="O260" s="4">
        <v>42732.25</v>
      </c>
      <c r="P260" t="b">
        <v>0</v>
      </c>
      <c r="Q260" t="b">
        <v>1</v>
      </c>
      <c r="R260" t="s">
        <v>124</v>
      </c>
      <c r="S260" t="str" cm="1">
        <f t="array" ref="S260:T260">_xlfn.TEXTSPLIT(R260, "/", , FALSE)</f>
        <v>theater</v>
      </c>
      <c r="T260" t="str">
        <v>plays</v>
      </c>
    </row>
    <row r="261" spans="1:20" ht="34" x14ac:dyDescent="0.2">
      <c r="A261">
        <v>259</v>
      </c>
      <c r="B261" t="s">
        <v>665</v>
      </c>
      <c r="C261" s="3" t="s">
        <v>666</v>
      </c>
      <c r="D261">
        <v>1800</v>
      </c>
      <c r="E261">
        <v>10755</v>
      </c>
      <c r="F261" s="5">
        <f t="shared" si="8"/>
        <v>5.9749999999999996</v>
      </c>
      <c r="G261" t="s">
        <v>8</v>
      </c>
      <c r="H261">
        <v>138</v>
      </c>
      <c r="I261">
        <f t="shared" si="9"/>
        <v>77.934782608695656</v>
      </c>
      <c r="J261" t="s">
        <v>109</v>
      </c>
      <c r="K261" t="s">
        <v>110</v>
      </c>
      <c r="L261" s="4">
        <v>41251.25</v>
      </c>
      <c r="M261" s="4" t="s">
        <v>58</v>
      </c>
      <c r="N261" s="4" t="s">
        <v>129</v>
      </c>
      <c r="O261" s="4">
        <v>41270.25</v>
      </c>
      <c r="P261" t="b">
        <v>1</v>
      </c>
      <c r="Q261" t="b">
        <v>0</v>
      </c>
      <c r="R261" t="s">
        <v>217</v>
      </c>
      <c r="S261" t="str" cm="1">
        <f t="array" ref="S261:T261">_xlfn.TEXTSPLIT(R261, "/", , FALSE)</f>
        <v>photography</v>
      </c>
      <c r="T261" t="str">
        <v>photography books</v>
      </c>
    </row>
    <row r="262" spans="1:20" ht="17" x14ac:dyDescent="0.2">
      <c r="A262">
        <v>260</v>
      </c>
      <c r="B262" t="s">
        <v>667</v>
      </c>
      <c r="C262" s="3" t="s">
        <v>668</v>
      </c>
      <c r="D262">
        <v>6300</v>
      </c>
      <c r="E262">
        <v>9935</v>
      </c>
      <c r="F262" s="5">
        <f t="shared" si="8"/>
        <v>1.5769841269841269</v>
      </c>
      <c r="G262" t="s">
        <v>8</v>
      </c>
      <c r="H262">
        <v>261</v>
      </c>
      <c r="I262">
        <f t="shared" si="9"/>
        <v>38.065134099616856</v>
      </c>
      <c r="J262" t="s">
        <v>109</v>
      </c>
      <c r="K262" t="s">
        <v>110</v>
      </c>
      <c r="L262" s="4">
        <v>41180.208333333336</v>
      </c>
      <c r="M262" s="4" t="s">
        <v>55</v>
      </c>
      <c r="N262" s="4" t="s">
        <v>129</v>
      </c>
      <c r="O262" s="4">
        <v>41192.208333333336</v>
      </c>
      <c r="P262" t="b">
        <v>0</v>
      </c>
      <c r="Q262" t="b">
        <v>0</v>
      </c>
      <c r="R262" t="s">
        <v>112</v>
      </c>
      <c r="S262" t="str" cm="1">
        <f t="array" ref="S262:T262">_xlfn.TEXTSPLIT(R262, "/", , FALSE)</f>
        <v>music</v>
      </c>
      <c r="T262" t="str">
        <v>rock</v>
      </c>
    </row>
    <row r="263" spans="1:20" ht="34" x14ac:dyDescent="0.2">
      <c r="A263">
        <v>261</v>
      </c>
      <c r="B263" t="s">
        <v>669</v>
      </c>
      <c r="C263" s="3" t="s">
        <v>670</v>
      </c>
      <c r="D263">
        <v>84300</v>
      </c>
      <c r="E263">
        <v>26303</v>
      </c>
      <c r="F263" s="5">
        <f t="shared" si="8"/>
        <v>0.31201660735468567</v>
      </c>
      <c r="G263" t="s">
        <v>6</v>
      </c>
      <c r="H263">
        <v>454</v>
      </c>
      <c r="I263">
        <f t="shared" si="9"/>
        <v>57.936123348017624</v>
      </c>
      <c r="J263" t="s">
        <v>109</v>
      </c>
      <c r="K263" t="s">
        <v>110</v>
      </c>
      <c r="L263" s="4">
        <v>40415.208333333336</v>
      </c>
      <c r="M263" s="4" t="s">
        <v>54</v>
      </c>
      <c r="N263" s="4" t="s">
        <v>140</v>
      </c>
      <c r="O263" s="4">
        <v>40419.208333333336</v>
      </c>
      <c r="P263" t="b">
        <v>0</v>
      </c>
      <c r="Q263" t="b">
        <v>1</v>
      </c>
      <c r="R263" t="s">
        <v>112</v>
      </c>
      <c r="S263" t="str" cm="1">
        <f t="array" ref="S263:T263">_xlfn.TEXTSPLIT(R263, "/", , FALSE)</f>
        <v>music</v>
      </c>
      <c r="T263" t="str">
        <v>rock</v>
      </c>
    </row>
    <row r="264" spans="1:20" ht="17" x14ac:dyDescent="0.2">
      <c r="A264">
        <v>262</v>
      </c>
      <c r="B264" t="s">
        <v>671</v>
      </c>
      <c r="C264" s="3" t="s">
        <v>672</v>
      </c>
      <c r="D264">
        <v>1700</v>
      </c>
      <c r="E264">
        <v>5328</v>
      </c>
      <c r="F264" s="5">
        <f t="shared" si="8"/>
        <v>3.1341176470588237</v>
      </c>
      <c r="G264" t="s">
        <v>8</v>
      </c>
      <c r="H264">
        <v>107</v>
      </c>
      <c r="I264">
        <f t="shared" si="9"/>
        <v>49.794392523364486</v>
      </c>
      <c r="J264" t="s">
        <v>109</v>
      </c>
      <c r="K264" t="s">
        <v>110</v>
      </c>
      <c r="L264" s="4">
        <v>40638.208333333336</v>
      </c>
      <c r="M264" s="4" t="s">
        <v>50</v>
      </c>
      <c r="N264" s="4" t="s">
        <v>165</v>
      </c>
      <c r="O264" s="4">
        <v>40664.208333333336</v>
      </c>
      <c r="P264" t="b">
        <v>0</v>
      </c>
      <c r="Q264" t="b">
        <v>1</v>
      </c>
      <c r="R264" t="s">
        <v>154</v>
      </c>
      <c r="S264" t="str" cm="1">
        <f t="array" ref="S264:T264">_xlfn.TEXTSPLIT(R264, "/", , FALSE)</f>
        <v>music</v>
      </c>
      <c r="T264" t="str">
        <v>indie rock</v>
      </c>
    </row>
    <row r="265" spans="1:20" ht="17" x14ac:dyDescent="0.2">
      <c r="A265">
        <v>263</v>
      </c>
      <c r="B265" t="s">
        <v>673</v>
      </c>
      <c r="C265" s="3" t="s">
        <v>674</v>
      </c>
      <c r="D265">
        <v>2900</v>
      </c>
      <c r="E265">
        <v>10756</v>
      </c>
      <c r="F265" s="5">
        <f t="shared" si="8"/>
        <v>3.7089655172413791</v>
      </c>
      <c r="G265" t="s">
        <v>8</v>
      </c>
      <c r="H265">
        <v>199</v>
      </c>
      <c r="I265">
        <f t="shared" si="9"/>
        <v>54.050251256281406</v>
      </c>
      <c r="J265" t="s">
        <v>109</v>
      </c>
      <c r="K265" t="s">
        <v>110</v>
      </c>
      <c r="L265" s="4">
        <v>40187.25</v>
      </c>
      <c r="M265" s="4" t="s">
        <v>47</v>
      </c>
      <c r="N265" s="4" t="s">
        <v>140</v>
      </c>
      <c r="O265" s="4">
        <v>40187.25</v>
      </c>
      <c r="P265" t="b">
        <v>0</v>
      </c>
      <c r="Q265" t="b">
        <v>0</v>
      </c>
      <c r="R265" t="s">
        <v>217</v>
      </c>
      <c r="S265" t="str" cm="1">
        <f t="array" ref="S265:T265">_xlfn.TEXTSPLIT(R265, "/", , FALSE)</f>
        <v>photography</v>
      </c>
      <c r="T265" t="str">
        <v>photography books</v>
      </c>
    </row>
    <row r="266" spans="1:20" ht="17" x14ac:dyDescent="0.2">
      <c r="A266">
        <v>264</v>
      </c>
      <c r="B266" t="s">
        <v>675</v>
      </c>
      <c r="C266" s="3" t="s">
        <v>676</v>
      </c>
      <c r="D266">
        <v>45600</v>
      </c>
      <c r="E266">
        <v>165375</v>
      </c>
      <c r="F266" s="5">
        <f t="shared" si="8"/>
        <v>3.6266447368421053</v>
      </c>
      <c r="G266" t="s">
        <v>8</v>
      </c>
      <c r="H266">
        <v>5512</v>
      </c>
      <c r="I266">
        <f t="shared" si="9"/>
        <v>30.002721335268504</v>
      </c>
      <c r="J266" t="s">
        <v>109</v>
      </c>
      <c r="K266" t="s">
        <v>110</v>
      </c>
      <c r="L266" s="4">
        <v>41317.25</v>
      </c>
      <c r="M266" s="4" t="s">
        <v>48</v>
      </c>
      <c r="N266" s="4" t="s">
        <v>117</v>
      </c>
      <c r="O266" s="4">
        <v>41333.25</v>
      </c>
      <c r="P266" t="b">
        <v>0</v>
      </c>
      <c r="Q266" t="b">
        <v>0</v>
      </c>
      <c r="R266" t="s">
        <v>124</v>
      </c>
      <c r="S266" t="str" cm="1">
        <f t="array" ref="S266:T266">_xlfn.TEXTSPLIT(R266, "/", , FALSE)</f>
        <v>theater</v>
      </c>
      <c r="T266" t="str">
        <v>plays</v>
      </c>
    </row>
    <row r="267" spans="1:20" ht="17" x14ac:dyDescent="0.2">
      <c r="A267">
        <v>265</v>
      </c>
      <c r="B267" t="s">
        <v>677</v>
      </c>
      <c r="C267" s="3" t="s">
        <v>678</v>
      </c>
      <c r="D267">
        <v>4900</v>
      </c>
      <c r="E267">
        <v>6031</v>
      </c>
      <c r="F267" s="5">
        <f t="shared" si="8"/>
        <v>1.2308163265306122</v>
      </c>
      <c r="G267" t="s">
        <v>8</v>
      </c>
      <c r="H267">
        <v>86</v>
      </c>
      <c r="I267">
        <f t="shared" si="9"/>
        <v>70.127906976744185</v>
      </c>
      <c r="J267" t="s">
        <v>109</v>
      </c>
      <c r="K267" t="s">
        <v>110</v>
      </c>
      <c r="L267" s="4">
        <v>42372.25</v>
      </c>
      <c r="M267" s="4" t="s">
        <v>47</v>
      </c>
      <c r="N267" s="4" t="s">
        <v>153</v>
      </c>
      <c r="O267" s="4">
        <v>42416.25</v>
      </c>
      <c r="P267" t="b">
        <v>0</v>
      </c>
      <c r="Q267" t="b">
        <v>0</v>
      </c>
      <c r="R267" t="s">
        <v>124</v>
      </c>
      <c r="S267" t="str" cm="1">
        <f t="array" ref="S267:T267">_xlfn.TEXTSPLIT(R267, "/", , FALSE)</f>
        <v>theater</v>
      </c>
      <c r="T267" t="str">
        <v>plays</v>
      </c>
    </row>
    <row r="268" spans="1:20" ht="17" x14ac:dyDescent="0.2">
      <c r="A268">
        <v>266</v>
      </c>
      <c r="B268" t="s">
        <v>679</v>
      </c>
      <c r="C268" s="3" t="s">
        <v>680</v>
      </c>
      <c r="D268">
        <v>111900</v>
      </c>
      <c r="E268">
        <v>85902</v>
      </c>
      <c r="F268" s="5">
        <f t="shared" si="8"/>
        <v>0.76766756032171579</v>
      </c>
      <c r="G268" t="s">
        <v>6</v>
      </c>
      <c r="H268">
        <v>3182</v>
      </c>
      <c r="I268">
        <f t="shared" si="9"/>
        <v>26.996228786926462</v>
      </c>
      <c r="J268" t="s">
        <v>202</v>
      </c>
      <c r="K268" t="s">
        <v>203</v>
      </c>
      <c r="L268" s="4">
        <v>41950.25</v>
      </c>
      <c r="M268" s="4" t="s">
        <v>57</v>
      </c>
      <c r="N268" s="4" t="s">
        <v>111</v>
      </c>
      <c r="O268" s="4">
        <v>41983.25</v>
      </c>
      <c r="P268" t="b">
        <v>0</v>
      </c>
      <c r="Q268" t="b">
        <v>1</v>
      </c>
      <c r="R268" t="s">
        <v>254</v>
      </c>
      <c r="S268" t="str" cm="1">
        <f t="array" ref="S268:T268">_xlfn.TEXTSPLIT(R268, "/", , FALSE)</f>
        <v>music</v>
      </c>
      <c r="T268" t="str">
        <v>jazz</v>
      </c>
    </row>
    <row r="269" spans="1:20" ht="17" x14ac:dyDescent="0.2">
      <c r="A269">
        <v>267</v>
      </c>
      <c r="B269" t="s">
        <v>681</v>
      </c>
      <c r="C269" s="3" t="s">
        <v>682</v>
      </c>
      <c r="D269">
        <v>61600</v>
      </c>
      <c r="E269">
        <v>143910</v>
      </c>
      <c r="F269" s="5">
        <f t="shared" si="8"/>
        <v>2.3362012987012988</v>
      </c>
      <c r="G269" t="s">
        <v>8</v>
      </c>
      <c r="H269">
        <v>2768</v>
      </c>
      <c r="I269">
        <f t="shared" si="9"/>
        <v>51.990606936416185</v>
      </c>
      <c r="J269" t="s">
        <v>115</v>
      </c>
      <c r="K269" t="s">
        <v>116</v>
      </c>
      <c r="L269" s="4">
        <v>41206.208333333336</v>
      </c>
      <c r="M269" s="4" t="s">
        <v>56</v>
      </c>
      <c r="N269" s="4" t="s">
        <v>129</v>
      </c>
      <c r="O269" s="4">
        <v>41222.25</v>
      </c>
      <c r="P269" t="b">
        <v>0</v>
      </c>
      <c r="Q269" t="b">
        <v>0</v>
      </c>
      <c r="R269" t="s">
        <v>124</v>
      </c>
      <c r="S269" t="str" cm="1">
        <f t="array" ref="S269:T269">_xlfn.TEXTSPLIT(R269, "/", , FALSE)</f>
        <v>theater</v>
      </c>
      <c r="T269" t="str">
        <v>plays</v>
      </c>
    </row>
    <row r="270" spans="1:20" ht="17" x14ac:dyDescent="0.2">
      <c r="A270">
        <v>268</v>
      </c>
      <c r="B270" t="s">
        <v>683</v>
      </c>
      <c r="C270" s="3" t="s">
        <v>684</v>
      </c>
      <c r="D270">
        <v>1500</v>
      </c>
      <c r="E270">
        <v>2708</v>
      </c>
      <c r="F270" s="5">
        <f t="shared" si="8"/>
        <v>1.8053333333333332</v>
      </c>
      <c r="G270" t="s">
        <v>8</v>
      </c>
      <c r="H270">
        <v>48</v>
      </c>
      <c r="I270">
        <f t="shared" si="9"/>
        <v>56.416666666666664</v>
      </c>
      <c r="J270" t="s">
        <v>109</v>
      </c>
      <c r="K270" t="s">
        <v>110</v>
      </c>
      <c r="L270" s="4">
        <v>41186.208333333336</v>
      </c>
      <c r="M270" s="4" t="s">
        <v>56</v>
      </c>
      <c r="N270" s="4" t="s">
        <v>129</v>
      </c>
      <c r="O270" s="4">
        <v>41232.25</v>
      </c>
      <c r="P270" t="b">
        <v>0</v>
      </c>
      <c r="Q270" t="b">
        <v>0</v>
      </c>
      <c r="R270" t="s">
        <v>135</v>
      </c>
      <c r="S270" t="str" cm="1">
        <f t="array" ref="S270:T270">_xlfn.TEXTSPLIT(R270, "/", , FALSE)</f>
        <v>film &amp; video</v>
      </c>
      <c r="T270" t="str">
        <v>documentary</v>
      </c>
    </row>
    <row r="271" spans="1:20" ht="17" x14ac:dyDescent="0.2">
      <c r="A271">
        <v>269</v>
      </c>
      <c r="B271" t="s">
        <v>685</v>
      </c>
      <c r="C271" s="3" t="s">
        <v>686</v>
      </c>
      <c r="D271">
        <v>3500</v>
      </c>
      <c r="E271">
        <v>8842</v>
      </c>
      <c r="F271" s="5">
        <f t="shared" si="8"/>
        <v>2.5262857142857142</v>
      </c>
      <c r="G271" t="s">
        <v>8</v>
      </c>
      <c r="H271">
        <v>87</v>
      </c>
      <c r="I271">
        <f t="shared" si="9"/>
        <v>101.63218390804597</v>
      </c>
      <c r="J271" t="s">
        <v>109</v>
      </c>
      <c r="K271" t="s">
        <v>110</v>
      </c>
      <c r="L271" s="4">
        <v>43496.25</v>
      </c>
      <c r="M271" s="4" t="s">
        <v>47</v>
      </c>
      <c r="N271" s="4" t="s">
        <v>121</v>
      </c>
      <c r="O271" s="4">
        <v>43517.25</v>
      </c>
      <c r="P271" t="b">
        <v>0</v>
      </c>
      <c r="Q271" t="b">
        <v>0</v>
      </c>
      <c r="R271" t="s">
        <v>364</v>
      </c>
      <c r="S271" t="str" cm="1">
        <f t="array" ref="S271:T271">_xlfn.TEXTSPLIT(R271, "/", , FALSE)</f>
        <v>film &amp; video</v>
      </c>
      <c r="T271" t="str">
        <v>television</v>
      </c>
    </row>
    <row r="272" spans="1:20" ht="17" x14ac:dyDescent="0.2">
      <c r="A272">
        <v>270</v>
      </c>
      <c r="B272" t="s">
        <v>687</v>
      </c>
      <c r="C272" s="3" t="s">
        <v>688</v>
      </c>
      <c r="D272">
        <v>173900</v>
      </c>
      <c r="E272">
        <v>47260</v>
      </c>
      <c r="F272" s="5">
        <f t="shared" si="8"/>
        <v>0.27176538240368026</v>
      </c>
      <c r="G272" t="s">
        <v>5</v>
      </c>
      <c r="H272">
        <v>1890</v>
      </c>
      <c r="I272">
        <f t="shared" si="9"/>
        <v>25.005291005291006</v>
      </c>
      <c r="J272" t="s">
        <v>109</v>
      </c>
      <c r="K272" t="s">
        <v>110</v>
      </c>
      <c r="L272" s="4">
        <v>40514.25</v>
      </c>
      <c r="M272" s="4" t="s">
        <v>58</v>
      </c>
      <c r="N272" s="4" t="s">
        <v>140</v>
      </c>
      <c r="O272" s="4">
        <v>40516.25</v>
      </c>
      <c r="P272" t="b">
        <v>0</v>
      </c>
      <c r="Q272" t="b">
        <v>0</v>
      </c>
      <c r="R272" t="s">
        <v>184</v>
      </c>
      <c r="S272" t="str" cm="1">
        <f t="array" ref="S272:T272">_xlfn.TEXTSPLIT(R272, "/", , FALSE)</f>
        <v>games</v>
      </c>
      <c r="T272" t="str">
        <v>video games</v>
      </c>
    </row>
    <row r="273" spans="1:20" ht="34" x14ac:dyDescent="0.2">
      <c r="A273">
        <v>271</v>
      </c>
      <c r="B273" t="s">
        <v>689</v>
      </c>
      <c r="C273" s="3" t="s">
        <v>690</v>
      </c>
      <c r="D273">
        <v>153700</v>
      </c>
      <c r="E273">
        <v>1953</v>
      </c>
      <c r="F273" s="5">
        <f t="shared" si="8"/>
        <v>1.2706571242680547E-2</v>
      </c>
      <c r="G273" t="s">
        <v>7</v>
      </c>
      <c r="H273">
        <v>61</v>
      </c>
      <c r="I273">
        <f t="shared" si="9"/>
        <v>32.016393442622949</v>
      </c>
      <c r="J273" t="s">
        <v>109</v>
      </c>
      <c r="K273" t="s">
        <v>110</v>
      </c>
      <c r="L273" s="4">
        <v>42345.25</v>
      </c>
      <c r="M273" s="4" t="s">
        <v>58</v>
      </c>
      <c r="N273" s="4" t="s">
        <v>105</v>
      </c>
      <c r="O273" s="4">
        <v>42376.25</v>
      </c>
      <c r="P273" t="b">
        <v>0</v>
      </c>
      <c r="Q273" t="b">
        <v>0</v>
      </c>
      <c r="R273" t="s">
        <v>217</v>
      </c>
      <c r="S273" t="str" cm="1">
        <f t="array" ref="S273:T273">_xlfn.TEXTSPLIT(R273, "/", , FALSE)</f>
        <v>photography</v>
      </c>
      <c r="T273" t="str">
        <v>photography books</v>
      </c>
    </row>
    <row r="274" spans="1:20" ht="17" x14ac:dyDescent="0.2">
      <c r="A274">
        <v>272</v>
      </c>
      <c r="B274" t="s">
        <v>691</v>
      </c>
      <c r="C274" s="3" t="s">
        <v>692</v>
      </c>
      <c r="D274">
        <v>51100</v>
      </c>
      <c r="E274">
        <v>155349</v>
      </c>
      <c r="F274" s="5">
        <f t="shared" si="8"/>
        <v>3.0400978473581213</v>
      </c>
      <c r="G274" t="s">
        <v>8</v>
      </c>
      <c r="H274">
        <v>1894</v>
      </c>
      <c r="I274">
        <f t="shared" si="9"/>
        <v>82.021647307286173</v>
      </c>
      <c r="J274" t="s">
        <v>109</v>
      </c>
      <c r="K274" t="s">
        <v>110</v>
      </c>
      <c r="L274" s="4">
        <v>43656.208333333328</v>
      </c>
      <c r="M274" s="4" t="s">
        <v>53</v>
      </c>
      <c r="N274" s="4" t="s">
        <v>121</v>
      </c>
      <c r="O274" s="4">
        <v>43681.208333333328</v>
      </c>
      <c r="P274" t="b">
        <v>0</v>
      </c>
      <c r="Q274" t="b">
        <v>1</v>
      </c>
      <c r="R274" t="s">
        <v>124</v>
      </c>
      <c r="S274" t="str" cm="1">
        <f t="array" ref="S274:T274">_xlfn.TEXTSPLIT(R274, "/", , FALSE)</f>
        <v>theater</v>
      </c>
      <c r="T274" t="str">
        <v>plays</v>
      </c>
    </row>
    <row r="275" spans="1:20" ht="17" x14ac:dyDescent="0.2">
      <c r="A275">
        <v>273</v>
      </c>
      <c r="B275" t="s">
        <v>693</v>
      </c>
      <c r="C275" s="3" t="s">
        <v>694</v>
      </c>
      <c r="D275">
        <v>7800</v>
      </c>
      <c r="E275">
        <v>10704</v>
      </c>
      <c r="F275" s="5">
        <f t="shared" si="8"/>
        <v>1.3723076923076922</v>
      </c>
      <c r="G275" t="s">
        <v>8</v>
      </c>
      <c r="H275">
        <v>282</v>
      </c>
      <c r="I275">
        <f t="shared" si="9"/>
        <v>37.957446808510639</v>
      </c>
      <c r="J275" t="s">
        <v>103</v>
      </c>
      <c r="K275" t="s">
        <v>104</v>
      </c>
      <c r="L275" s="4">
        <v>42995.208333333328</v>
      </c>
      <c r="M275" s="4" t="s">
        <v>55</v>
      </c>
      <c r="N275" s="4" t="s">
        <v>134</v>
      </c>
      <c r="O275" s="4">
        <v>42998.208333333328</v>
      </c>
      <c r="P275" t="b">
        <v>0</v>
      </c>
      <c r="Q275" t="b">
        <v>0</v>
      </c>
      <c r="R275" t="s">
        <v>124</v>
      </c>
      <c r="S275" t="str" cm="1">
        <f t="array" ref="S275:T275">_xlfn.TEXTSPLIT(R275, "/", , FALSE)</f>
        <v>theater</v>
      </c>
      <c r="T275" t="str">
        <v>plays</v>
      </c>
    </row>
    <row r="276" spans="1:20" ht="34" x14ac:dyDescent="0.2">
      <c r="A276">
        <v>274</v>
      </c>
      <c r="B276" t="s">
        <v>695</v>
      </c>
      <c r="C276" s="3" t="s">
        <v>696</v>
      </c>
      <c r="D276">
        <v>2400</v>
      </c>
      <c r="E276">
        <v>773</v>
      </c>
      <c r="F276" s="5">
        <f t="shared" si="8"/>
        <v>0.32208333333333333</v>
      </c>
      <c r="G276" t="s">
        <v>6</v>
      </c>
      <c r="H276">
        <v>15</v>
      </c>
      <c r="I276">
        <f t="shared" si="9"/>
        <v>51.533333333333331</v>
      </c>
      <c r="J276" t="s">
        <v>109</v>
      </c>
      <c r="K276" t="s">
        <v>110</v>
      </c>
      <c r="L276" s="4">
        <v>43045.25</v>
      </c>
      <c r="M276" s="4" t="s">
        <v>57</v>
      </c>
      <c r="N276" s="4" t="s">
        <v>134</v>
      </c>
      <c r="O276" s="4">
        <v>43050.25</v>
      </c>
      <c r="P276" t="b">
        <v>0</v>
      </c>
      <c r="Q276" t="b">
        <v>0</v>
      </c>
      <c r="R276" t="s">
        <v>124</v>
      </c>
      <c r="S276" t="str" cm="1">
        <f t="array" ref="S276:T276">_xlfn.TEXTSPLIT(R276, "/", , FALSE)</f>
        <v>theater</v>
      </c>
      <c r="T276" t="str">
        <v>plays</v>
      </c>
    </row>
    <row r="277" spans="1:20" ht="34" x14ac:dyDescent="0.2">
      <c r="A277">
        <v>275</v>
      </c>
      <c r="B277" t="s">
        <v>697</v>
      </c>
      <c r="C277" s="3" t="s">
        <v>698</v>
      </c>
      <c r="D277">
        <v>3900</v>
      </c>
      <c r="E277">
        <v>9419</v>
      </c>
      <c r="F277" s="5">
        <f t="shared" si="8"/>
        <v>2.4151282051282053</v>
      </c>
      <c r="G277" t="s">
        <v>8</v>
      </c>
      <c r="H277">
        <v>116</v>
      </c>
      <c r="I277">
        <f t="shared" si="9"/>
        <v>81.198275862068968</v>
      </c>
      <c r="J277" t="s">
        <v>109</v>
      </c>
      <c r="K277" t="s">
        <v>110</v>
      </c>
      <c r="L277" s="4">
        <v>43561.208333333328</v>
      </c>
      <c r="M277" s="4" t="s">
        <v>50</v>
      </c>
      <c r="N277" s="4" t="s">
        <v>121</v>
      </c>
      <c r="O277" s="4">
        <v>43569.208333333328</v>
      </c>
      <c r="P277" t="b">
        <v>0</v>
      </c>
      <c r="Q277" t="b">
        <v>0</v>
      </c>
      <c r="R277" t="s">
        <v>301</v>
      </c>
      <c r="S277" t="str" cm="1">
        <f t="array" ref="S277:T277">_xlfn.TEXTSPLIT(R277, "/", , FALSE)</f>
        <v>publishing</v>
      </c>
      <c r="T277" t="str">
        <v>translations</v>
      </c>
    </row>
    <row r="278" spans="1:20" ht="17" x14ac:dyDescent="0.2">
      <c r="A278">
        <v>276</v>
      </c>
      <c r="B278" t="s">
        <v>699</v>
      </c>
      <c r="C278" s="3" t="s">
        <v>700</v>
      </c>
      <c r="D278">
        <v>5500</v>
      </c>
      <c r="E278">
        <v>5324</v>
      </c>
      <c r="F278" s="5">
        <f t="shared" si="8"/>
        <v>0.96799999999999997</v>
      </c>
      <c r="G278" t="s">
        <v>6</v>
      </c>
      <c r="H278">
        <v>133</v>
      </c>
      <c r="I278">
        <f t="shared" si="9"/>
        <v>40.030075187969928</v>
      </c>
      <c r="J278" t="s">
        <v>109</v>
      </c>
      <c r="K278" t="s">
        <v>110</v>
      </c>
      <c r="L278" s="4">
        <v>41018.208333333336</v>
      </c>
      <c r="M278" s="4" t="s">
        <v>50</v>
      </c>
      <c r="N278" s="4" t="s">
        <v>129</v>
      </c>
      <c r="O278" s="4">
        <v>41023.208333333336</v>
      </c>
      <c r="P278" t="b">
        <v>0</v>
      </c>
      <c r="Q278" t="b">
        <v>1</v>
      </c>
      <c r="R278" t="s">
        <v>184</v>
      </c>
      <c r="S278" t="str" cm="1">
        <f t="array" ref="S278:T278">_xlfn.TEXTSPLIT(R278, "/", , FALSE)</f>
        <v>games</v>
      </c>
      <c r="T278" t="str">
        <v>video games</v>
      </c>
    </row>
    <row r="279" spans="1:20" ht="34" x14ac:dyDescent="0.2">
      <c r="A279">
        <v>277</v>
      </c>
      <c r="B279" t="s">
        <v>701</v>
      </c>
      <c r="C279" s="3" t="s">
        <v>702</v>
      </c>
      <c r="D279">
        <v>700</v>
      </c>
      <c r="E279">
        <v>7465</v>
      </c>
      <c r="F279" s="5">
        <f t="shared" si="8"/>
        <v>10.664285714285715</v>
      </c>
      <c r="G279" t="s">
        <v>8</v>
      </c>
      <c r="H279">
        <v>83</v>
      </c>
      <c r="I279">
        <f t="shared" si="9"/>
        <v>89.939759036144579</v>
      </c>
      <c r="J279" t="s">
        <v>109</v>
      </c>
      <c r="K279" t="s">
        <v>110</v>
      </c>
      <c r="L279" s="4">
        <v>40378.208333333336</v>
      </c>
      <c r="M279" s="4" t="s">
        <v>53</v>
      </c>
      <c r="N279" s="4" t="s">
        <v>140</v>
      </c>
      <c r="O279" s="4">
        <v>40380.208333333336</v>
      </c>
      <c r="P279" t="b">
        <v>0</v>
      </c>
      <c r="Q279" t="b">
        <v>0</v>
      </c>
      <c r="R279" t="s">
        <v>124</v>
      </c>
      <c r="S279" t="str" cm="1">
        <f t="array" ref="S279:T279">_xlfn.TEXTSPLIT(R279, "/", , FALSE)</f>
        <v>theater</v>
      </c>
      <c r="T279" t="str">
        <v>plays</v>
      </c>
    </row>
    <row r="280" spans="1:20" ht="17" x14ac:dyDescent="0.2">
      <c r="A280">
        <v>278</v>
      </c>
      <c r="B280" t="s">
        <v>703</v>
      </c>
      <c r="C280" s="3" t="s">
        <v>704</v>
      </c>
      <c r="D280">
        <v>2700</v>
      </c>
      <c r="E280">
        <v>8799</v>
      </c>
      <c r="F280" s="5">
        <f t="shared" si="8"/>
        <v>3.2588888888888889</v>
      </c>
      <c r="G280" t="s">
        <v>8</v>
      </c>
      <c r="H280">
        <v>91</v>
      </c>
      <c r="I280">
        <f t="shared" si="9"/>
        <v>96.692307692307693</v>
      </c>
      <c r="J280" t="s">
        <v>109</v>
      </c>
      <c r="K280" t="s">
        <v>110</v>
      </c>
      <c r="L280" s="4">
        <v>41239.25</v>
      </c>
      <c r="M280" s="4" t="s">
        <v>57</v>
      </c>
      <c r="N280" s="4" t="s">
        <v>129</v>
      </c>
      <c r="O280" s="4">
        <v>41264.25</v>
      </c>
      <c r="P280" t="b">
        <v>0</v>
      </c>
      <c r="Q280" t="b">
        <v>0</v>
      </c>
      <c r="R280" t="s">
        <v>118</v>
      </c>
      <c r="S280" t="str" cm="1">
        <f t="array" ref="S280:T280">_xlfn.TEXTSPLIT(R280, "/", , FALSE)</f>
        <v>technology</v>
      </c>
      <c r="T280" t="str">
        <v>web</v>
      </c>
    </row>
    <row r="281" spans="1:20" ht="17" x14ac:dyDescent="0.2">
      <c r="A281">
        <v>279</v>
      </c>
      <c r="B281" t="s">
        <v>705</v>
      </c>
      <c r="C281" s="3" t="s">
        <v>706</v>
      </c>
      <c r="D281">
        <v>8000</v>
      </c>
      <c r="E281">
        <v>13656</v>
      </c>
      <c r="F281" s="5">
        <f t="shared" si="8"/>
        <v>1.7070000000000001</v>
      </c>
      <c r="G281" t="s">
        <v>8</v>
      </c>
      <c r="H281">
        <v>546</v>
      </c>
      <c r="I281">
        <f t="shared" si="9"/>
        <v>25.010989010989011</v>
      </c>
      <c r="J281" t="s">
        <v>109</v>
      </c>
      <c r="K281" t="s">
        <v>110</v>
      </c>
      <c r="L281" s="4">
        <v>43346.208333333328</v>
      </c>
      <c r="M281" s="4" t="s">
        <v>55</v>
      </c>
      <c r="N281" s="4" t="s">
        <v>169</v>
      </c>
      <c r="O281" s="4">
        <v>43349.208333333328</v>
      </c>
      <c r="P281" t="b">
        <v>0</v>
      </c>
      <c r="Q281" t="b">
        <v>0</v>
      </c>
      <c r="R281" t="s">
        <v>124</v>
      </c>
      <c r="S281" t="str" cm="1">
        <f t="array" ref="S281:T281">_xlfn.TEXTSPLIT(R281, "/", , FALSE)</f>
        <v>theater</v>
      </c>
      <c r="T281" t="str">
        <v>plays</v>
      </c>
    </row>
    <row r="282" spans="1:20" ht="34" x14ac:dyDescent="0.2">
      <c r="A282">
        <v>280</v>
      </c>
      <c r="B282" t="s">
        <v>707</v>
      </c>
      <c r="C282" s="3" t="s">
        <v>708</v>
      </c>
      <c r="D282">
        <v>2500</v>
      </c>
      <c r="E282">
        <v>14536</v>
      </c>
      <c r="F282" s="5">
        <f t="shared" si="8"/>
        <v>5.8144</v>
      </c>
      <c r="G282" t="s">
        <v>8</v>
      </c>
      <c r="H282">
        <v>393</v>
      </c>
      <c r="I282">
        <f t="shared" si="9"/>
        <v>36.987277353689571</v>
      </c>
      <c r="J282" t="s">
        <v>109</v>
      </c>
      <c r="K282" t="s">
        <v>110</v>
      </c>
      <c r="L282" s="4">
        <v>43060.25</v>
      </c>
      <c r="M282" s="4" t="s">
        <v>57</v>
      </c>
      <c r="N282" s="4" t="s">
        <v>134</v>
      </c>
      <c r="O282" s="4">
        <v>43066.25</v>
      </c>
      <c r="P282" t="b">
        <v>0</v>
      </c>
      <c r="Q282" t="b">
        <v>0</v>
      </c>
      <c r="R282" t="s">
        <v>166</v>
      </c>
      <c r="S282" t="str" cm="1">
        <f t="array" ref="S282:T282">_xlfn.TEXTSPLIT(R282, "/", , FALSE)</f>
        <v>film &amp; video</v>
      </c>
      <c r="T282" t="str">
        <v>animation</v>
      </c>
    </row>
    <row r="283" spans="1:20" ht="17" x14ac:dyDescent="0.2">
      <c r="A283">
        <v>281</v>
      </c>
      <c r="B283" t="s">
        <v>709</v>
      </c>
      <c r="C283" s="3" t="s">
        <v>710</v>
      </c>
      <c r="D283">
        <v>164500</v>
      </c>
      <c r="E283">
        <v>150552</v>
      </c>
      <c r="F283" s="5">
        <f t="shared" si="8"/>
        <v>0.91520972644376897</v>
      </c>
      <c r="G283" t="s">
        <v>6</v>
      </c>
      <c r="H283">
        <v>2062</v>
      </c>
      <c r="I283">
        <f t="shared" si="9"/>
        <v>73.012609117361791</v>
      </c>
      <c r="J283" t="s">
        <v>109</v>
      </c>
      <c r="K283" t="s">
        <v>110</v>
      </c>
      <c r="L283" s="4">
        <v>40979.25</v>
      </c>
      <c r="M283" s="4" t="s">
        <v>49</v>
      </c>
      <c r="N283" s="4" t="s">
        <v>129</v>
      </c>
      <c r="O283" s="4">
        <v>41000.208333333336</v>
      </c>
      <c r="P283" t="b">
        <v>0</v>
      </c>
      <c r="Q283" t="b">
        <v>1</v>
      </c>
      <c r="R283" t="s">
        <v>124</v>
      </c>
      <c r="S283" t="str" cm="1">
        <f t="array" ref="S283:T283">_xlfn.TEXTSPLIT(R283, "/", , FALSE)</f>
        <v>theater</v>
      </c>
      <c r="T283" t="str">
        <v>plays</v>
      </c>
    </row>
    <row r="284" spans="1:20" ht="17" x14ac:dyDescent="0.2">
      <c r="A284">
        <v>282</v>
      </c>
      <c r="B284" t="s">
        <v>711</v>
      </c>
      <c r="C284" s="3" t="s">
        <v>712</v>
      </c>
      <c r="D284">
        <v>8400</v>
      </c>
      <c r="E284">
        <v>9076</v>
      </c>
      <c r="F284" s="5">
        <f t="shared" si="8"/>
        <v>1.0804761904761904</v>
      </c>
      <c r="G284" t="s">
        <v>8</v>
      </c>
      <c r="H284">
        <v>133</v>
      </c>
      <c r="I284">
        <f t="shared" si="9"/>
        <v>68.240601503759393</v>
      </c>
      <c r="J284" t="s">
        <v>109</v>
      </c>
      <c r="K284" t="s">
        <v>110</v>
      </c>
      <c r="L284" s="4">
        <v>42701.25</v>
      </c>
      <c r="M284" s="4" t="s">
        <v>57</v>
      </c>
      <c r="N284" s="4" t="s">
        <v>153</v>
      </c>
      <c r="O284" s="4">
        <v>42707.25</v>
      </c>
      <c r="P284" t="b">
        <v>0</v>
      </c>
      <c r="Q284" t="b">
        <v>1</v>
      </c>
      <c r="R284" t="s">
        <v>364</v>
      </c>
      <c r="S284" t="str" cm="1">
        <f t="array" ref="S284:T284">_xlfn.TEXTSPLIT(R284, "/", , FALSE)</f>
        <v>film &amp; video</v>
      </c>
      <c r="T284" t="str">
        <v>television</v>
      </c>
    </row>
    <row r="285" spans="1:20" ht="34" x14ac:dyDescent="0.2">
      <c r="A285">
        <v>283</v>
      </c>
      <c r="B285" t="s">
        <v>713</v>
      </c>
      <c r="C285" s="3" t="s">
        <v>714</v>
      </c>
      <c r="D285">
        <v>8100</v>
      </c>
      <c r="E285">
        <v>1517</v>
      </c>
      <c r="F285" s="5">
        <f t="shared" si="8"/>
        <v>0.18728395061728395</v>
      </c>
      <c r="G285" t="s">
        <v>6</v>
      </c>
      <c r="H285">
        <v>29</v>
      </c>
      <c r="I285">
        <f t="shared" si="9"/>
        <v>52.310344827586206</v>
      </c>
      <c r="J285" t="s">
        <v>127</v>
      </c>
      <c r="K285" t="s">
        <v>128</v>
      </c>
      <c r="L285" s="4">
        <v>42520.208333333328</v>
      </c>
      <c r="M285" s="4" t="s">
        <v>51</v>
      </c>
      <c r="N285" s="4" t="s">
        <v>153</v>
      </c>
      <c r="O285" s="4">
        <v>42525.208333333328</v>
      </c>
      <c r="P285" t="b">
        <v>0</v>
      </c>
      <c r="Q285" t="b">
        <v>0</v>
      </c>
      <c r="R285" t="s">
        <v>112</v>
      </c>
      <c r="S285" t="str" cm="1">
        <f t="array" ref="S285:T285">_xlfn.TEXTSPLIT(R285, "/", , FALSE)</f>
        <v>music</v>
      </c>
      <c r="T285" t="str">
        <v>rock</v>
      </c>
    </row>
    <row r="286" spans="1:20" ht="17" x14ac:dyDescent="0.2">
      <c r="A286">
        <v>284</v>
      </c>
      <c r="B286" t="s">
        <v>715</v>
      </c>
      <c r="C286" s="3" t="s">
        <v>716</v>
      </c>
      <c r="D286">
        <v>9800</v>
      </c>
      <c r="E286">
        <v>8153</v>
      </c>
      <c r="F286" s="5">
        <f t="shared" si="8"/>
        <v>0.83193877551020412</v>
      </c>
      <c r="G286" t="s">
        <v>6</v>
      </c>
      <c r="H286">
        <v>132</v>
      </c>
      <c r="I286">
        <f t="shared" si="9"/>
        <v>61.765151515151516</v>
      </c>
      <c r="J286" t="s">
        <v>109</v>
      </c>
      <c r="K286" t="s">
        <v>110</v>
      </c>
      <c r="L286" s="4">
        <v>41030.208333333336</v>
      </c>
      <c r="M286" s="4" t="s">
        <v>51</v>
      </c>
      <c r="N286" s="4" t="s">
        <v>129</v>
      </c>
      <c r="O286" s="4">
        <v>41035.208333333336</v>
      </c>
      <c r="P286" t="b">
        <v>0</v>
      </c>
      <c r="Q286" t="b">
        <v>0</v>
      </c>
      <c r="R286" t="s">
        <v>118</v>
      </c>
      <c r="S286" t="str" cm="1">
        <f t="array" ref="S286:T286">_xlfn.TEXTSPLIT(R286, "/", , FALSE)</f>
        <v>technology</v>
      </c>
      <c r="T286" t="str">
        <v>web</v>
      </c>
    </row>
    <row r="287" spans="1:20" ht="17" x14ac:dyDescent="0.2">
      <c r="A287">
        <v>285</v>
      </c>
      <c r="B287" t="s">
        <v>717</v>
      </c>
      <c r="C287" s="3" t="s">
        <v>718</v>
      </c>
      <c r="D287">
        <v>900</v>
      </c>
      <c r="E287">
        <v>6357</v>
      </c>
      <c r="F287" s="5">
        <f t="shared" si="8"/>
        <v>7.0633333333333335</v>
      </c>
      <c r="G287" t="s">
        <v>8</v>
      </c>
      <c r="H287">
        <v>254</v>
      </c>
      <c r="I287">
        <f t="shared" si="9"/>
        <v>25.027559055118111</v>
      </c>
      <c r="J287" t="s">
        <v>109</v>
      </c>
      <c r="K287" t="s">
        <v>110</v>
      </c>
      <c r="L287" s="4">
        <v>42623.208333333328</v>
      </c>
      <c r="M287" s="4" t="s">
        <v>55</v>
      </c>
      <c r="N287" s="4" t="s">
        <v>153</v>
      </c>
      <c r="O287" s="4">
        <v>42661.208333333328</v>
      </c>
      <c r="P287" t="b">
        <v>0</v>
      </c>
      <c r="Q287" t="b">
        <v>0</v>
      </c>
      <c r="R287" t="s">
        <v>124</v>
      </c>
      <c r="S287" t="str" cm="1">
        <f t="array" ref="S287:T287">_xlfn.TEXTSPLIT(R287, "/", , FALSE)</f>
        <v>theater</v>
      </c>
      <c r="T287" t="str">
        <v>plays</v>
      </c>
    </row>
    <row r="288" spans="1:20" ht="17" x14ac:dyDescent="0.2">
      <c r="A288">
        <v>286</v>
      </c>
      <c r="B288" t="s">
        <v>719</v>
      </c>
      <c r="C288" s="3" t="s">
        <v>720</v>
      </c>
      <c r="D288">
        <v>112100</v>
      </c>
      <c r="E288">
        <v>19557</v>
      </c>
      <c r="F288" s="5">
        <f t="shared" si="8"/>
        <v>0.17446030330062445</v>
      </c>
      <c r="G288" t="s">
        <v>5</v>
      </c>
      <c r="H288">
        <v>184</v>
      </c>
      <c r="I288">
        <f t="shared" si="9"/>
        <v>106.28804347826087</v>
      </c>
      <c r="J288" t="s">
        <v>109</v>
      </c>
      <c r="K288" t="s">
        <v>110</v>
      </c>
      <c r="L288" s="4">
        <v>42697.25</v>
      </c>
      <c r="M288" s="4" t="s">
        <v>57</v>
      </c>
      <c r="N288" s="4" t="s">
        <v>153</v>
      </c>
      <c r="O288" s="4">
        <v>42704.25</v>
      </c>
      <c r="P288" t="b">
        <v>0</v>
      </c>
      <c r="Q288" t="b">
        <v>0</v>
      </c>
      <c r="R288" t="s">
        <v>124</v>
      </c>
      <c r="S288" t="str" cm="1">
        <f t="array" ref="S288:T288">_xlfn.TEXTSPLIT(R288, "/", , FALSE)</f>
        <v>theater</v>
      </c>
      <c r="T288" t="str">
        <v>plays</v>
      </c>
    </row>
    <row r="289" spans="1:20" ht="17" x14ac:dyDescent="0.2">
      <c r="A289">
        <v>287</v>
      </c>
      <c r="B289" t="s">
        <v>721</v>
      </c>
      <c r="C289" s="3" t="s">
        <v>722</v>
      </c>
      <c r="D289">
        <v>6300</v>
      </c>
      <c r="E289">
        <v>13213</v>
      </c>
      <c r="F289" s="5">
        <f t="shared" si="8"/>
        <v>2.0973015873015872</v>
      </c>
      <c r="G289" t="s">
        <v>8</v>
      </c>
      <c r="H289">
        <v>176</v>
      </c>
      <c r="I289">
        <f t="shared" si="9"/>
        <v>75.07386363636364</v>
      </c>
      <c r="J289" t="s">
        <v>109</v>
      </c>
      <c r="K289" t="s">
        <v>110</v>
      </c>
      <c r="L289" s="4">
        <v>42122.208333333328</v>
      </c>
      <c r="M289" s="4" t="s">
        <v>50</v>
      </c>
      <c r="N289" s="4" t="s">
        <v>105</v>
      </c>
      <c r="O289" s="4">
        <v>42122.208333333328</v>
      </c>
      <c r="P289" t="b">
        <v>0</v>
      </c>
      <c r="Q289" t="b">
        <v>0</v>
      </c>
      <c r="R289" t="s">
        <v>143</v>
      </c>
      <c r="S289" t="str" cm="1">
        <f t="array" ref="S289:T289">_xlfn.TEXTSPLIT(R289, "/", , FALSE)</f>
        <v>music</v>
      </c>
      <c r="T289" t="str">
        <v>electric music</v>
      </c>
    </row>
    <row r="290" spans="1:20" ht="17" x14ac:dyDescent="0.2">
      <c r="A290">
        <v>288</v>
      </c>
      <c r="B290" t="s">
        <v>723</v>
      </c>
      <c r="C290" s="3" t="s">
        <v>724</v>
      </c>
      <c r="D290">
        <v>5600</v>
      </c>
      <c r="E290">
        <v>5476</v>
      </c>
      <c r="F290" s="5">
        <f t="shared" si="8"/>
        <v>0.97785714285714287</v>
      </c>
      <c r="G290" t="s">
        <v>6</v>
      </c>
      <c r="H290">
        <v>137</v>
      </c>
      <c r="I290">
        <f t="shared" si="9"/>
        <v>39.970802919708028</v>
      </c>
      <c r="J290" t="s">
        <v>127</v>
      </c>
      <c r="K290" t="s">
        <v>128</v>
      </c>
      <c r="L290" s="4">
        <v>40982.208333333336</v>
      </c>
      <c r="M290" s="4" t="s">
        <v>49</v>
      </c>
      <c r="N290" s="4" t="s">
        <v>129</v>
      </c>
      <c r="O290" s="4">
        <v>40983.208333333336</v>
      </c>
      <c r="P290" t="b">
        <v>0</v>
      </c>
      <c r="Q290" t="b">
        <v>1</v>
      </c>
      <c r="R290" t="s">
        <v>243</v>
      </c>
      <c r="S290" t="str" cm="1">
        <f t="array" ref="S290:T290">_xlfn.TEXTSPLIT(R290, "/", , FALSE)</f>
        <v>music</v>
      </c>
      <c r="T290" t="str">
        <v>metal</v>
      </c>
    </row>
    <row r="291" spans="1:20" ht="17" x14ac:dyDescent="0.2">
      <c r="A291">
        <v>289</v>
      </c>
      <c r="B291" t="s">
        <v>725</v>
      </c>
      <c r="C291" s="3" t="s">
        <v>726</v>
      </c>
      <c r="D291">
        <v>800</v>
      </c>
      <c r="E291">
        <v>13474</v>
      </c>
      <c r="F291" s="5">
        <f t="shared" si="8"/>
        <v>16.842500000000001</v>
      </c>
      <c r="G291" t="s">
        <v>8</v>
      </c>
      <c r="H291">
        <v>337</v>
      </c>
      <c r="I291">
        <f t="shared" si="9"/>
        <v>39.982195845697326</v>
      </c>
      <c r="J291" t="s">
        <v>103</v>
      </c>
      <c r="K291" t="s">
        <v>104</v>
      </c>
      <c r="L291" s="4">
        <v>42219.208333333328</v>
      </c>
      <c r="M291" s="4" t="s">
        <v>54</v>
      </c>
      <c r="N291" s="4" t="s">
        <v>105</v>
      </c>
      <c r="O291" s="4">
        <v>42222.208333333328</v>
      </c>
      <c r="P291" t="b">
        <v>0</v>
      </c>
      <c r="Q291" t="b">
        <v>0</v>
      </c>
      <c r="R291" t="s">
        <v>124</v>
      </c>
      <c r="S291" t="str" cm="1">
        <f t="array" ref="S291:T291">_xlfn.TEXTSPLIT(R291, "/", , FALSE)</f>
        <v>theater</v>
      </c>
      <c r="T291" t="str">
        <v>plays</v>
      </c>
    </row>
    <row r="292" spans="1:20" ht="17" x14ac:dyDescent="0.2">
      <c r="A292">
        <v>290</v>
      </c>
      <c r="B292" t="s">
        <v>727</v>
      </c>
      <c r="C292" s="3" t="s">
        <v>728</v>
      </c>
      <c r="D292">
        <v>168600</v>
      </c>
      <c r="E292">
        <v>91722</v>
      </c>
      <c r="F292" s="5">
        <f t="shared" si="8"/>
        <v>0.54402135231316728</v>
      </c>
      <c r="G292" t="s">
        <v>6</v>
      </c>
      <c r="H292">
        <v>908</v>
      </c>
      <c r="I292">
        <f t="shared" si="9"/>
        <v>101.01541850220265</v>
      </c>
      <c r="J292" t="s">
        <v>109</v>
      </c>
      <c r="K292" t="s">
        <v>110</v>
      </c>
      <c r="L292" s="4">
        <v>41404.208333333336</v>
      </c>
      <c r="M292" s="4" t="s">
        <v>51</v>
      </c>
      <c r="N292" s="4" t="s">
        <v>117</v>
      </c>
      <c r="O292" s="4">
        <v>41436.208333333336</v>
      </c>
      <c r="P292" t="b">
        <v>0</v>
      </c>
      <c r="Q292" t="b">
        <v>1</v>
      </c>
      <c r="R292" t="s">
        <v>135</v>
      </c>
      <c r="S292" t="str" cm="1">
        <f t="array" ref="S292:T292">_xlfn.TEXTSPLIT(R292, "/", , FALSE)</f>
        <v>film &amp; video</v>
      </c>
      <c r="T292" t="str">
        <v>documentary</v>
      </c>
    </row>
    <row r="293" spans="1:20" ht="17" x14ac:dyDescent="0.2">
      <c r="A293">
        <v>291</v>
      </c>
      <c r="B293" t="s">
        <v>729</v>
      </c>
      <c r="C293" s="3" t="s">
        <v>730</v>
      </c>
      <c r="D293">
        <v>1800</v>
      </c>
      <c r="E293">
        <v>8219</v>
      </c>
      <c r="F293" s="5">
        <f t="shared" si="8"/>
        <v>4.5661111111111108</v>
      </c>
      <c r="G293" t="s">
        <v>8</v>
      </c>
      <c r="H293">
        <v>107</v>
      </c>
      <c r="I293">
        <f t="shared" si="9"/>
        <v>76.813084112149539</v>
      </c>
      <c r="J293" t="s">
        <v>109</v>
      </c>
      <c r="K293" t="s">
        <v>110</v>
      </c>
      <c r="L293" s="4">
        <v>40831.208333333336</v>
      </c>
      <c r="M293" s="4" t="s">
        <v>56</v>
      </c>
      <c r="N293" s="4" t="s">
        <v>165</v>
      </c>
      <c r="O293" s="4">
        <v>40835.208333333336</v>
      </c>
      <c r="P293" t="b">
        <v>1</v>
      </c>
      <c r="Q293" t="b">
        <v>0</v>
      </c>
      <c r="R293" t="s">
        <v>118</v>
      </c>
      <c r="S293" t="str" cm="1">
        <f t="array" ref="S293:T293">_xlfn.TEXTSPLIT(R293, "/", , FALSE)</f>
        <v>technology</v>
      </c>
      <c r="T293" t="str">
        <v>web</v>
      </c>
    </row>
    <row r="294" spans="1:20" ht="17" x14ac:dyDescent="0.2">
      <c r="A294">
        <v>292</v>
      </c>
      <c r="B294" t="s">
        <v>731</v>
      </c>
      <c r="C294" s="3" t="s">
        <v>732</v>
      </c>
      <c r="D294">
        <v>7300</v>
      </c>
      <c r="E294">
        <v>717</v>
      </c>
      <c r="F294" s="5">
        <f t="shared" si="8"/>
        <v>9.8219178082191785E-2</v>
      </c>
      <c r="G294" t="s">
        <v>6</v>
      </c>
      <c r="H294">
        <v>10</v>
      </c>
      <c r="I294">
        <f t="shared" si="9"/>
        <v>71.7</v>
      </c>
      <c r="J294" t="s">
        <v>109</v>
      </c>
      <c r="K294" t="s">
        <v>110</v>
      </c>
      <c r="L294" s="4">
        <v>40984.208333333336</v>
      </c>
      <c r="M294" s="4" t="s">
        <v>49</v>
      </c>
      <c r="N294" s="4" t="s">
        <v>129</v>
      </c>
      <c r="O294" s="4">
        <v>41002.208333333336</v>
      </c>
      <c r="P294" t="b">
        <v>0</v>
      </c>
      <c r="Q294" t="b">
        <v>0</v>
      </c>
      <c r="R294" t="s">
        <v>106</v>
      </c>
      <c r="S294" t="str" cm="1">
        <f t="array" ref="S294:T294">_xlfn.TEXTSPLIT(R294, "/", , FALSE)</f>
        <v>food</v>
      </c>
      <c r="T294" t="str">
        <v>food trucks</v>
      </c>
    </row>
    <row r="295" spans="1:20" ht="17" x14ac:dyDescent="0.2">
      <c r="A295">
        <v>293</v>
      </c>
      <c r="B295" t="s">
        <v>733</v>
      </c>
      <c r="C295" s="3" t="s">
        <v>734</v>
      </c>
      <c r="D295">
        <v>6500</v>
      </c>
      <c r="E295">
        <v>1065</v>
      </c>
      <c r="F295" s="5">
        <f t="shared" si="8"/>
        <v>0.16384615384615384</v>
      </c>
      <c r="G295" t="s">
        <v>5</v>
      </c>
      <c r="H295">
        <v>32</v>
      </c>
      <c r="I295">
        <f t="shared" si="9"/>
        <v>33.28125</v>
      </c>
      <c r="J295" t="s">
        <v>202</v>
      </c>
      <c r="K295" t="s">
        <v>203</v>
      </c>
      <c r="L295" s="4">
        <v>40456.208333333336</v>
      </c>
      <c r="M295" s="4" t="s">
        <v>56</v>
      </c>
      <c r="N295" s="4" t="s">
        <v>140</v>
      </c>
      <c r="O295" s="4">
        <v>40465.208333333336</v>
      </c>
      <c r="P295" t="b">
        <v>0</v>
      </c>
      <c r="Q295" t="b">
        <v>0</v>
      </c>
      <c r="R295" t="s">
        <v>124</v>
      </c>
      <c r="S295" t="str" cm="1">
        <f t="array" ref="S295:T295">_xlfn.TEXTSPLIT(R295, "/", , FALSE)</f>
        <v>theater</v>
      </c>
      <c r="T295" t="str">
        <v>plays</v>
      </c>
    </row>
    <row r="296" spans="1:20" ht="17" x14ac:dyDescent="0.2">
      <c r="A296">
        <v>294</v>
      </c>
      <c r="B296" t="s">
        <v>735</v>
      </c>
      <c r="C296" s="3" t="s">
        <v>736</v>
      </c>
      <c r="D296">
        <v>600</v>
      </c>
      <c r="E296">
        <v>8038</v>
      </c>
      <c r="F296" s="5">
        <f t="shared" si="8"/>
        <v>13.396666666666667</v>
      </c>
      <c r="G296" t="s">
        <v>8</v>
      </c>
      <c r="H296">
        <v>183</v>
      </c>
      <c r="I296">
        <f t="shared" si="9"/>
        <v>43.923497267759565</v>
      </c>
      <c r="J296" t="s">
        <v>109</v>
      </c>
      <c r="K296" t="s">
        <v>110</v>
      </c>
      <c r="L296" s="4">
        <v>43399.208333333328</v>
      </c>
      <c r="M296" s="4" t="s">
        <v>56</v>
      </c>
      <c r="N296" s="4" t="s">
        <v>169</v>
      </c>
      <c r="O296" s="4">
        <v>43411.25</v>
      </c>
      <c r="P296" t="b">
        <v>0</v>
      </c>
      <c r="Q296" t="b">
        <v>0</v>
      </c>
      <c r="R296" t="s">
        <v>124</v>
      </c>
      <c r="S296" t="str" cm="1">
        <f t="array" ref="S296:T296">_xlfn.TEXTSPLIT(R296, "/", , FALSE)</f>
        <v>theater</v>
      </c>
      <c r="T296" t="str">
        <v>plays</v>
      </c>
    </row>
    <row r="297" spans="1:20" ht="34" x14ac:dyDescent="0.2">
      <c r="A297">
        <v>295</v>
      </c>
      <c r="B297" t="s">
        <v>737</v>
      </c>
      <c r="C297" s="3" t="s">
        <v>738</v>
      </c>
      <c r="D297">
        <v>192900</v>
      </c>
      <c r="E297">
        <v>68769</v>
      </c>
      <c r="F297" s="5">
        <f t="shared" si="8"/>
        <v>0.35650077760497667</v>
      </c>
      <c r="G297" t="s">
        <v>6</v>
      </c>
      <c r="H297">
        <v>1910</v>
      </c>
      <c r="I297">
        <f t="shared" si="9"/>
        <v>36.004712041884815</v>
      </c>
      <c r="J297" t="s">
        <v>193</v>
      </c>
      <c r="K297" t="s">
        <v>194</v>
      </c>
      <c r="L297" s="4">
        <v>41562.208333333336</v>
      </c>
      <c r="M297" s="4" t="s">
        <v>56</v>
      </c>
      <c r="N297" s="4" t="s">
        <v>117</v>
      </c>
      <c r="O297" s="4">
        <v>41587.25</v>
      </c>
      <c r="P297" t="b">
        <v>0</v>
      </c>
      <c r="Q297" t="b">
        <v>0</v>
      </c>
      <c r="R297" t="s">
        <v>124</v>
      </c>
      <c r="S297" t="str" cm="1">
        <f t="array" ref="S297:T297">_xlfn.TEXTSPLIT(R297, "/", , FALSE)</f>
        <v>theater</v>
      </c>
      <c r="T297" t="str">
        <v>plays</v>
      </c>
    </row>
    <row r="298" spans="1:20" ht="34" x14ac:dyDescent="0.2">
      <c r="A298">
        <v>296</v>
      </c>
      <c r="B298" t="s">
        <v>739</v>
      </c>
      <c r="C298" s="3" t="s">
        <v>740</v>
      </c>
      <c r="D298">
        <v>6100</v>
      </c>
      <c r="E298">
        <v>3352</v>
      </c>
      <c r="F298" s="5">
        <f t="shared" si="8"/>
        <v>0.54950819672131146</v>
      </c>
      <c r="G298" t="s">
        <v>6</v>
      </c>
      <c r="H298">
        <v>38</v>
      </c>
      <c r="I298">
        <f t="shared" si="9"/>
        <v>88.21052631578948</v>
      </c>
      <c r="J298" t="s">
        <v>115</v>
      </c>
      <c r="K298" t="s">
        <v>116</v>
      </c>
      <c r="L298" s="4">
        <v>43493.25</v>
      </c>
      <c r="M298" s="4" t="s">
        <v>47</v>
      </c>
      <c r="N298" s="4" t="s">
        <v>121</v>
      </c>
      <c r="O298" s="4">
        <v>43515.25</v>
      </c>
      <c r="P298" t="b">
        <v>0</v>
      </c>
      <c r="Q298" t="b">
        <v>0</v>
      </c>
      <c r="R298" t="s">
        <v>124</v>
      </c>
      <c r="S298" t="str" cm="1">
        <f t="array" ref="S298:T298">_xlfn.TEXTSPLIT(R298, "/", , FALSE)</f>
        <v>theater</v>
      </c>
      <c r="T298" t="str">
        <v>plays</v>
      </c>
    </row>
    <row r="299" spans="1:20" ht="17" x14ac:dyDescent="0.2">
      <c r="A299">
        <v>297</v>
      </c>
      <c r="B299" t="s">
        <v>741</v>
      </c>
      <c r="C299" s="3" t="s">
        <v>742</v>
      </c>
      <c r="D299">
        <v>7200</v>
      </c>
      <c r="E299">
        <v>6785</v>
      </c>
      <c r="F299" s="5">
        <f t="shared" si="8"/>
        <v>0.94236111111111109</v>
      </c>
      <c r="G299" t="s">
        <v>6</v>
      </c>
      <c r="H299">
        <v>104</v>
      </c>
      <c r="I299">
        <f t="shared" si="9"/>
        <v>65.240384615384613</v>
      </c>
      <c r="J299" t="s">
        <v>115</v>
      </c>
      <c r="K299" t="s">
        <v>116</v>
      </c>
      <c r="L299" s="4">
        <v>41653.25</v>
      </c>
      <c r="M299" s="4" t="s">
        <v>47</v>
      </c>
      <c r="N299" s="4" t="s">
        <v>111</v>
      </c>
      <c r="O299" s="4">
        <v>41662.25</v>
      </c>
      <c r="P299" t="b">
        <v>0</v>
      </c>
      <c r="Q299" t="b">
        <v>1</v>
      </c>
      <c r="R299" t="s">
        <v>124</v>
      </c>
      <c r="S299" t="str" cm="1">
        <f t="array" ref="S299:T299">_xlfn.TEXTSPLIT(R299, "/", , FALSE)</f>
        <v>theater</v>
      </c>
      <c r="T299" t="str">
        <v>plays</v>
      </c>
    </row>
    <row r="300" spans="1:20" ht="17" x14ac:dyDescent="0.2">
      <c r="A300">
        <v>298</v>
      </c>
      <c r="B300" t="s">
        <v>743</v>
      </c>
      <c r="C300" s="3" t="s">
        <v>744</v>
      </c>
      <c r="D300">
        <v>3500</v>
      </c>
      <c r="E300">
        <v>5037</v>
      </c>
      <c r="F300" s="5">
        <f t="shared" si="8"/>
        <v>1.4391428571428571</v>
      </c>
      <c r="G300" t="s">
        <v>8</v>
      </c>
      <c r="H300">
        <v>72</v>
      </c>
      <c r="I300">
        <f t="shared" si="9"/>
        <v>69.958333333333329</v>
      </c>
      <c r="J300" t="s">
        <v>109</v>
      </c>
      <c r="K300" t="s">
        <v>110</v>
      </c>
      <c r="L300" s="4">
        <v>42426.25</v>
      </c>
      <c r="M300" s="4" t="s">
        <v>48</v>
      </c>
      <c r="N300" s="4" t="s">
        <v>153</v>
      </c>
      <c r="O300" s="4">
        <v>42444.208333333328</v>
      </c>
      <c r="P300" t="b">
        <v>0</v>
      </c>
      <c r="Q300" t="b">
        <v>1</v>
      </c>
      <c r="R300" t="s">
        <v>112</v>
      </c>
      <c r="S300" t="str" cm="1">
        <f t="array" ref="S300:T300">_xlfn.TEXTSPLIT(R300, "/", , FALSE)</f>
        <v>music</v>
      </c>
      <c r="T300" t="str">
        <v>rock</v>
      </c>
    </row>
    <row r="301" spans="1:20" ht="34" x14ac:dyDescent="0.2">
      <c r="A301">
        <v>299</v>
      </c>
      <c r="B301" t="s">
        <v>745</v>
      </c>
      <c r="C301" s="3" t="s">
        <v>746</v>
      </c>
      <c r="D301">
        <v>3800</v>
      </c>
      <c r="E301">
        <v>1954</v>
      </c>
      <c r="F301" s="5">
        <f t="shared" si="8"/>
        <v>0.51421052631578945</v>
      </c>
      <c r="G301" t="s">
        <v>6</v>
      </c>
      <c r="H301">
        <v>49</v>
      </c>
      <c r="I301">
        <f t="shared" si="9"/>
        <v>39.877551020408163</v>
      </c>
      <c r="J301" t="s">
        <v>109</v>
      </c>
      <c r="K301" t="s">
        <v>110</v>
      </c>
      <c r="L301" s="4">
        <v>42432.25</v>
      </c>
      <c r="M301" s="4" t="s">
        <v>49</v>
      </c>
      <c r="N301" s="4" t="s">
        <v>153</v>
      </c>
      <c r="O301" s="4">
        <v>42488.208333333328</v>
      </c>
      <c r="P301" t="b">
        <v>0</v>
      </c>
      <c r="Q301" t="b">
        <v>0</v>
      </c>
      <c r="R301" t="s">
        <v>106</v>
      </c>
      <c r="S301" t="str" cm="1">
        <f t="array" ref="S301:T301">_xlfn.TEXTSPLIT(R301, "/", , FALSE)</f>
        <v>food</v>
      </c>
      <c r="T301" t="str">
        <v>food trucks</v>
      </c>
    </row>
    <row r="302" spans="1:20" ht="17" x14ac:dyDescent="0.2">
      <c r="A302">
        <v>300</v>
      </c>
      <c r="B302" t="s">
        <v>747</v>
      </c>
      <c r="C302" s="3" t="s">
        <v>748</v>
      </c>
      <c r="D302">
        <v>100</v>
      </c>
      <c r="E302">
        <v>5</v>
      </c>
      <c r="F302" s="5">
        <f t="shared" si="8"/>
        <v>0.05</v>
      </c>
      <c r="G302" t="s">
        <v>6</v>
      </c>
      <c r="H302">
        <v>1</v>
      </c>
      <c r="I302">
        <f t="shared" si="9"/>
        <v>5</v>
      </c>
      <c r="J302" t="s">
        <v>127</v>
      </c>
      <c r="K302" t="s">
        <v>128</v>
      </c>
      <c r="L302" s="4">
        <v>42977.208333333328</v>
      </c>
      <c r="M302" s="4" t="s">
        <v>54</v>
      </c>
      <c r="N302" s="4" t="s">
        <v>134</v>
      </c>
      <c r="O302" s="4">
        <v>42978.208333333328</v>
      </c>
      <c r="P302" t="b">
        <v>0</v>
      </c>
      <c r="Q302" t="b">
        <v>1</v>
      </c>
      <c r="R302" t="s">
        <v>162</v>
      </c>
      <c r="S302" t="str" cm="1">
        <f t="array" ref="S302:T302">_xlfn.TEXTSPLIT(R302, "/", , FALSE)</f>
        <v>publishing</v>
      </c>
      <c r="T302" t="str">
        <v>nonfiction</v>
      </c>
    </row>
    <row r="303" spans="1:20" ht="34" x14ac:dyDescent="0.2">
      <c r="A303">
        <v>301</v>
      </c>
      <c r="B303" t="s">
        <v>749</v>
      </c>
      <c r="C303" s="3" t="s">
        <v>750</v>
      </c>
      <c r="D303">
        <v>900</v>
      </c>
      <c r="E303">
        <v>12102</v>
      </c>
      <c r="F303" s="5">
        <f t="shared" si="8"/>
        <v>13.446666666666667</v>
      </c>
      <c r="G303" t="s">
        <v>8</v>
      </c>
      <c r="H303">
        <v>295</v>
      </c>
      <c r="I303">
        <f t="shared" si="9"/>
        <v>41.023728813559323</v>
      </c>
      <c r="J303" t="s">
        <v>109</v>
      </c>
      <c r="K303" t="s">
        <v>110</v>
      </c>
      <c r="L303" s="4">
        <v>42061.25</v>
      </c>
      <c r="M303" s="4" t="s">
        <v>48</v>
      </c>
      <c r="N303" s="4" t="s">
        <v>105</v>
      </c>
      <c r="O303" s="4">
        <v>42078.208333333328</v>
      </c>
      <c r="P303" t="b">
        <v>0</v>
      </c>
      <c r="Q303" t="b">
        <v>0</v>
      </c>
      <c r="R303" t="s">
        <v>135</v>
      </c>
      <c r="S303" t="str" cm="1">
        <f t="array" ref="S303:T303">_xlfn.TEXTSPLIT(R303, "/", , FALSE)</f>
        <v>film &amp; video</v>
      </c>
      <c r="T303" t="str">
        <v>documentary</v>
      </c>
    </row>
    <row r="304" spans="1:20" ht="17" x14ac:dyDescent="0.2">
      <c r="A304">
        <v>302</v>
      </c>
      <c r="B304" t="s">
        <v>751</v>
      </c>
      <c r="C304" s="3" t="s">
        <v>752</v>
      </c>
      <c r="D304">
        <v>76100</v>
      </c>
      <c r="E304">
        <v>24234</v>
      </c>
      <c r="F304" s="5">
        <f t="shared" si="8"/>
        <v>0.31844940867279897</v>
      </c>
      <c r="G304" t="s">
        <v>6</v>
      </c>
      <c r="H304">
        <v>245</v>
      </c>
      <c r="I304">
        <f t="shared" si="9"/>
        <v>98.914285714285711</v>
      </c>
      <c r="J304" t="s">
        <v>109</v>
      </c>
      <c r="K304" t="s">
        <v>110</v>
      </c>
      <c r="L304" s="4">
        <v>43345.208333333328</v>
      </c>
      <c r="M304" s="4" t="s">
        <v>55</v>
      </c>
      <c r="N304" s="4" t="s">
        <v>169</v>
      </c>
      <c r="O304" s="4">
        <v>43359.208333333328</v>
      </c>
      <c r="P304" t="b">
        <v>0</v>
      </c>
      <c r="Q304" t="b">
        <v>0</v>
      </c>
      <c r="R304" t="s">
        <v>124</v>
      </c>
      <c r="S304" t="str" cm="1">
        <f t="array" ref="S304:T304">_xlfn.TEXTSPLIT(R304, "/", , FALSE)</f>
        <v>theater</v>
      </c>
      <c r="T304" t="str">
        <v>plays</v>
      </c>
    </row>
    <row r="305" spans="1:20" ht="17" x14ac:dyDescent="0.2">
      <c r="A305">
        <v>303</v>
      </c>
      <c r="B305" t="s">
        <v>753</v>
      </c>
      <c r="C305" s="3" t="s">
        <v>754</v>
      </c>
      <c r="D305">
        <v>3400</v>
      </c>
      <c r="E305">
        <v>2809</v>
      </c>
      <c r="F305" s="5">
        <f t="shared" si="8"/>
        <v>0.82617647058823529</v>
      </c>
      <c r="G305" t="s">
        <v>6</v>
      </c>
      <c r="H305">
        <v>32</v>
      </c>
      <c r="I305">
        <f t="shared" si="9"/>
        <v>87.78125</v>
      </c>
      <c r="J305" t="s">
        <v>109</v>
      </c>
      <c r="K305" t="s">
        <v>110</v>
      </c>
      <c r="L305" s="4">
        <v>42376.25</v>
      </c>
      <c r="M305" s="4" t="s">
        <v>47</v>
      </c>
      <c r="N305" s="4" t="s">
        <v>153</v>
      </c>
      <c r="O305" s="4">
        <v>42381.25</v>
      </c>
      <c r="P305" t="b">
        <v>0</v>
      </c>
      <c r="Q305" t="b">
        <v>0</v>
      </c>
      <c r="R305" t="s">
        <v>154</v>
      </c>
      <c r="S305" t="str" cm="1">
        <f t="array" ref="S305:T305">_xlfn.TEXTSPLIT(R305, "/", , FALSE)</f>
        <v>music</v>
      </c>
      <c r="T305" t="str">
        <v>indie rock</v>
      </c>
    </row>
    <row r="306" spans="1:20" ht="17" x14ac:dyDescent="0.2">
      <c r="A306">
        <v>304</v>
      </c>
      <c r="B306" t="s">
        <v>755</v>
      </c>
      <c r="C306" s="3" t="s">
        <v>756</v>
      </c>
      <c r="D306">
        <v>2100</v>
      </c>
      <c r="E306">
        <v>11469</v>
      </c>
      <c r="F306" s="5">
        <f t="shared" si="8"/>
        <v>5.4614285714285717</v>
      </c>
      <c r="G306" t="s">
        <v>8</v>
      </c>
      <c r="H306">
        <v>142</v>
      </c>
      <c r="I306">
        <f t="shared" si="9"/>
        <v>80.767605633802816</v>
      </c>
      <c r="J306" t="s">
        <v>109</v>
      </c>
      <c r="K306" t="s">
        <v>110</v>
      </c>
      <c r="L306" s="4">
        <v>42589.208333333328</v>
      </c>
      <c r="M306" s="4" t="s">
        <v>54</v>
      </c>
      <c r="N306" s="4" t="s">
        <v>153</v>
      </c>
      <c r="O306" s="4">
        <v>42630.208333333328</v>
      </c>
      <c r="P306" t="b">
        <v>0</v>
      </c>
      <c r="Q306" t="b">
        <v>0</v>
      </c>
      <c r="R306" t="s">
        <v>135</v>
      </c>
      <c r="S306" t="str" cm="1">
        <f t="array" ref="S306:T306">_xlfn.TEXTSPLIT(R306, "/", , FALSE)</f>
        <v>film &amp; video</v>
      </c>
      <c r="T306" t="str">
        <v>documentary</v>
      </c>
    </row>
    <row r="307" spans="1:20" ht="17" x14ac:dyDescent="0.2">
      <c r="A307">
        <v>305</v>
      </c>
      <c r="B307" t="s">
        <v>757</v>
      </c>
      <c r="C307" s="3" t="s">
        <v>758</v>
      </c>
      <c r="D307">
        <v>2800</v>
      </c>
      <c r="E307">
        <v>8014</v>
      </c>
      <c r="F307" s="5">
        <f t="shared" si="8"/>
        <v>2.8621428571428571</v>
      </c>
      <c r="G307" t="s">
        <v>8</v>
      </c>
      <c r="H307">
        <v>85</v>
      </c>
      <c r="I307">
        <f t="shared" si="9"/>
        <v>94.28235294117647</v>
      </c>
      <c r="J307" t="s">
        <v>109</v>
      </c>
      <c r="K307" t="s">
        <v>110</v>
      </c>
      <c r="L307" s="4">
        <v>42448.208333333328</v>
      </c>
      <c r="M307" s="4" t="s">
        <v>49</v>
      </c>
      <c r="N307" s="4" t="s">
        <v>153</v>
      </c>
      <c r="O307" s="4">
        <v>42489.208333333328</v>
      </c>
      <c r="P307" t="b">
        <v>0</v>
      </c>
      <c r="Q307" t="b">
        <v>0</v>
      </c>
      <c r="R307" t="s">
        <v>124</v>
      </c>
      <c r="S307" t="str" cm="1">
        <f t="array" ref="S307:T307">_xlfn.TEXTSPLIT(R307, "/", , FALSE)</f>
        <v>theater</v>
      </c>
      <c r="T307" t="str">
        <v>plays</v>
      </c>
    </row>
    <row r="308" spans="1:20" ht="34" x14ac:dyDescent="0.2">
      <c r="A308">
        <v>306</v>
      </c>
      <c r="B308" t="s">
        <v>759</v>
      </c>
      <c r="C308" s="3" t="s">
        <v>760</v>
      </c>
      <c r="D308">
        <v>6500</v>
      </c>
      <c r="E308">
        <v>514</v>
      </c>
      <c r="F308" s="5">
        <f t="shared" si="8"/>
        <v>7.9076923076923072E-2</v>
      </c>
      <c r="G308" t="s">
        <v>6</v>
      </c>
      <c r="H308">
        <v>7</v>
      </c>
      <c r="I308">
        <f t="shared" si="9"/>
        <v>73.428571428571431</v>
      </c>
      <c r="J308" t="s">
        <v>109</v>
      </c>
      <c r="K308" t="s">
        <v>110</v>
      </c>
      <c r="L308" s="4">
        <v>42930.208333333328</v>
      </c>
      <c r="M308" s="4" t="s">
        <v>53</v>
      </c>
      <c r="N308" s="4" t="s">
        <v>134</v>
      </c>
      <c r="O308" s="4">
        <v>42933.208333333328</v>
      </c>
      <c r="P308" t="b">
        <v>0</v>
      </c>
      <c r="Q308" t="b">
        <v>1</v>
      </c>
      <c r="R308" t="s">
        <v>124</v>
      </c>
      <c r="S308" t="str" cm="1">
        <f t="array" ref="S308:T308">_xlfn.TEXTSPLIT(R308, "/", , FALSE)</f>
        <v>theater</v>
      </c>
      <c r="T308" t="str">
        <v>plays</v>
      </c>
    </row>
    <row r="309" spans="1:20" ht="17" x14ac:dyDescent="0.2">
      <c r="A309">
        <v>307</v>
      </c>
      <c r="B309" t="s">
        <v>761</v>
      </c>
      <c r="C309" s="3" t="s">
        <v>762</v>
      </c>
      <c r="D309">
        <v>32900</v>
      </c>
      <c r="E309">
        <v>43473</v>
      </c>
      <c r="F309" s="5">
        <f t="shared" si="8"/>
        <v>1.3213677811550153</v>
      </c>
      <c r="G309" t="s">
        <v>8</v>
      </c>
      <c r="H309">
        <v>659</v>
      </c>
      <c r="I309">
        <f t="shared" si="9"/>
        <v>65.968133535660087</v>
      </c>
      <c r="J309" t="s">
        <v>127</v>
      </c>
      <c r="K309" t="s">
        <v>128</v>
      </c>
      <c r="L309" s="4">
        <v>41066.208333333336</v>
      </c>
      <c r="M309" s="4" t="s">
        <v>52</v>
      </c>
      <c r="N309" s="4" t="s">
        <v>129</v>
      </c>
      <c r="O309" s="4">
        <v>41086.208333333336</v>
      </c>
      <c r="P309" t="b">
        <v>0</v>
      </c>
      <c r="Q309" t="b">
        <v>1</v>
      </c>
      <c r="R309" t="s">
        <v>214</v>
      </c>
      <c r="S309" t="str" cm="1">
        <f t="array" ref="S309:T309">_xlfn.TEXTSPLIT(R309, "/", , FALSE)</f>
        <v>publishing</v>
      </c>
      <c r="T309" t="str">
        <v>fiction</v>
      </c>
    </row>
    <row r="310" spans="1:20" ht="17" x14ac:dyDescent="0.2">
      <c r="A310">
        <v>308</v>
      </c>
      <c r="B310" t="s">
        <v>763</v>
      </c>
      <c r="C310" s="3" t="s">
        <v>764</v>
      </c>
      <c r="D310">
        <v>118200</v>
      </c>
      <c r="E310">
        <v>87560</v>
      </c>
      <c r="F310" s="5">
        <f t="shared" si="8"/>
        <v>0.74077834179357027</v>
      </c>
      <c r="G310" t="s">
        <v>6</v>
      </c>
      <c r="H310">
        <v>803</v>
      </c>
      <c r="I310">
        <f t="shared" si="9"/>
        <v>109.04109589041096</v>
      </c>
      <c r="J310" t="s">
        <v>109</v>
      </c>
      <c r="K310" t="s">
        <v>110</v>
      </c>
      <c r="L310" s="4">
        <v>40651.208333333336</v>
      </c>
      <c r="M310" s="4" t="s">
        <v>50</v>
      </c>
      <c r="N310" s="4" t="s">
        <v>165</v>
      </c>
      <c r="O310" s="4">
        <v>40652.208333333336</v>
      </c>
      <c r="P310" t="b">
        <v>0</v>
      </c>
      <c r="Q310" t="b">
        <v>0</v>
      </c>
      <c r="R310" t="s">
        <v>124</v>
      </c>
      <c r="S310" t="str" cm="1">
        <f t="array" ref="S310:T310">_xlfn.TEXTSPLIT(R310, "/", , FALSE)</f>
        <v>theater</v>
      </c>
      <c r="T310" t="str">
        <v>plays</v>
      </c>
    </row>
    <row r="311" spans="1:20" ht="17" x14ac:dyDescent="0.2">
      <c r="A311">
        <v>309</v>
      </c>
      <c r="B311" t="s">
        <v>765</v>
      </c>
      <c r="C311" s="3" t="s">
        <v>766</v>
      </c>
      <c r="D311">
        <v>4100</v>
      </c>
      <c r="E311">
        <v>3087</v>
      </c>
      <c r="F311" s="5">
        <f t="shared" si="8"/>
        <v>0.75292682926829269</v>
      </c>
      <c r="G311" t="s">
        <v>5</v>
      </c>
      <c r="H311">
        <v>75</v>
      </c>
      <c r="I311">
        <f t="shared" si="9"/>
        <v>41.16</v>
      </c>
      <c r="J311" t="s">
        <v>109</v>
      </c>
      <c r="K311" t="s">
        <v>110</v>
      </c>
      <c r="L311" s="4">
        <v>40807.208333333336</v>
      </c>
      <c r="M311" s="4" t="s">
        <v>55</v>
      </c>
      <c r="N311" s="4" t="s">
        <v>165</v>
      </c>
      <c r="O311" s="4">
        <v>40827.208333333336</v>
      </c>
      <c r="P311" t="b">
        <v>0</v>
      </c>
      <c r="Q311" t="b">
        <v>1</v>
      </c>
      <c r="R311" t="s">
        <v>154</v>
      </c>
      <c r="S311" t="str" cm="1">
        <f t="array" ref="S311:T311">_xlfn.TEXTSPLIT(R311, "/", , FALSE)</f>
        <v>music</v>
      </c>
      <c r="T311" t="str">
        <v>indie rock</v>
      </c>
    </row>
    <row r="312" spans="1:20" ht="17" x14ac:dyDescent="0.2">
      <c r="A312">
        <v>310</v>
      </c>
      <c r="B312" t="s">
        <v>767</v>
      </c>
      <c r="C312" s="3" t="s">
        <v>768</v>
      </c>
      <c r="D312">
        <v>7800</v>
      </c>
      <c r="E312">
        <v>1586</v>
      </c>
      <c r="F312" s="5">
        <f t="shared" si="8"/>
        <v>0.20333333333333334</v>
      </c>
      <c r="G312" t="s">
        <v>6</v>
      </c>
      <c r="H312">
        <v>16</v>
      </c>
      <c r="I312">
        <f t="shared" si="9"/>
        <v>99.125</v>
      </c>
      <c r="J312" t="s">
        <v>109</v>
      </c>
      <c r="K312" t="s">
        <v>110</v>
      </c>
      <c r="L312" s="4">
        <v>40277.208333333336</v>
      </c>
      <c r="M312" s="4" t="s">
        <v>50</v>
      </c>
      <c r="N312" s="4" t="s">
        <v>140</v>
      </c>
      <c r="O312" s="4">
        <v>40293.208333333336</v>
      </c>
      <c r="P312" t="b">
        <v>0</v>
      </c>
      <c r="Q312" t="b">
        <v>0</v>
      </c>
      <c r="R312" t="s">
        <v>184</v>
      </c>
      <c r="S312" t="str" cm="1">
        <f t="array" ref="S312:T312">_xlfn.TEXTSPLIT(R312, "/", , FALSE)</f>
        <v>games</v>
      </c>
      <c r="T312" t="str">
        <v>video games</v>
      </c>
    </row>
    <row r="313" spans="1:20" ht="17" x14ac:dyDescent="0.2">
      <c r="A313">
        <v>311</v>
      </c>
      <c r="B313" t="s">
        <v>769</v>
      </c>
      <c r="C313" s="3" t="s">
        <v>770</v>
      </c>
      <c r="D313">
        <v>6300</v>
      </c>
      <c r="E313">
        <v>12812</v>
      </c>
      <c r="F313" s="5">
        <f t="shared" si="8"/>
        <v>2.0336507936507937</v>
      </c>
      <c r="G313" t="s">
        <v>8</v>
      </c>
      <c r="H313">
        <v>121</v>
      </c>
      <c r="I313">
        <f t="shared" si="9"/>
        <v>105.88429752066116</v>
      </c>
      <c r="J313" t="s">
        <v>109</v>
      </c>
      <c r="K313" t="s">
        <v>110</v>
      </c>
      <c r="L313" s="4">
        <v>40590.25</v>
      </c>
      <c r="M313" s="4" t="s">
        <v>48</v>
      </c>
      <c r="N313" s="4" t="s">
        <v>165</v>
      </c>
      <c r="O313" s="4">
        <v>40602.25</v>
      </c>
      <c r="P313" t="b">
        <v>0</v>
      </c>
      <c r="Q313" t="b">
        <v>0</v>
      </c>
      <c r="R313" t="s">
        <v>124</v>
      </c>
      <c r="S313" t="str" cm="1">
        <f t="array" ref="S313:T313">_xlfn.TEXTSPLIT(R313, "/", , FALSE)</f>
        <v>theater</v>
      </c>
      <c r="T313" t="str">
        <v>plays</v>
      </c>
    </row>
    <row r="314" spans="1:20" ht="17" x14ac:dyDescent="0.2">
      <c r="A314">
        <v>312</v>
      </c>
      <c r="B314" t="s">
        <v>771</v>
      </c>
      <c r="C314" s="3" t="s">
        <v>772</v>
      </c>
      <c r="D314">
        <v>59100</v>
      </c>
      <c r="E314">
        <v>183345</v>
      </c>
      <c r="F314" s="5">
        <f t="shared" si="8"/>
        <v>3.1022842639593908</v>
      </c>
      <c r="G314" t="s">
        <v>8</v>
      </c>
      <c r="H314">
        <v>3742</v>
      </c>
      <c r="I314">
        <f t="shared" si="9"/>
        <v>48.996525921966864</v>
      </c>
      <c r="J314" t="s">
        <v>109</v>
      </c>
      <c r="K314" t="s">
        <v>110</v>
      </c>
      <c r="L314" s="4">
        <v>41572.208333333336</v>
      </c>
      <c r="M314" s="4" t="s">
        <v>56</v>
      </c>
      <c r="N314" s="4" t="s">
        <v>117</v>
      </c>
      <c r="O314" s="4">
        <v>41579.208333333336</v>
      </c>
      <c r="P314" t="b">
        <v>0</v>
      </c>
      <c r="Q314" t="b">
        <v>0</v>
      </c>
      <c r="R314" t="s">
        <v>124</v>
      </c>
      <c r="S314" t="str" cm="1">
        <f t="array" ref="S314:T314">_xlfn.TEXTSPLIT(R314, "/", , FALSE)</f>
        <v>theater</v>
      </c>
      <c r="T314" t="str">
        <v>plays</v>
      </c>
    </row>
    <row r="315" spans="1:20" ht="17" x14ac:dyDescent="0.2">
      <c r="A315">
        <v>313</v>
      </c>
      <c r="B315" t="s">
        <v>773</v>
      </c>
      <c r="C315" s="3" t="s">
        <v>774</v>
      </c>
      <c r="D315">
        <v>2200</v>
      </c>
      <c r="E315">
        <v>8697</v>
      </c>
      <c r="F315" s="5">
        <f t="shared" si="8"/>
        <v>3.9531818181818181</v>
      </c>
      <c r="G315" t="s">
        <v>8</v>
      </c>
      <c r="H315">
        <v>223</v>
      </c>
      <c r="I315">
        <f t="shared" si="9"/>
        <v>39</v>
      </c>
      <c r="J315" t="s">
        <v>109</v>
      </c>
      <c r="K315" t="s">
        <v>110</v>
      </c>
      <c r="L315" s="4">
        <v>40966.25</v>
      </c>
      <c r="M315" s="4" t="s">
        <v>48</v>
      </c>
      <c r="N315" s="4" t="s">
        <v>129</v>
      </c>
      <c r="O315" s="4">
        <v>40968.25</v>
      </c>
      <c r="P315" t="b">
        <v>0</v>
      </c>
      <c r="Q315" t="b">
        <v>0</v>
      </c>
      <c r="R315" t="s">
        <v>112</v>
      </c>
      <c r="S315" t="str" cm="1">
        <f t="array" ref="S315:T315">_xlfn.TEXTSPLIT(R315, "/", , FALSE)</f>
        <v>music</v>
      </c>
      <c r="T315" t="str">
        <v>rock</v>
      </c>
    </row>
    <row r="316" spans="1:20" ht="17" x14ac:dyDescent="0.2">
      <c r="A316">
        <v>314</v>
      </c>
      <c r="B316" t="s">
        <v>775</v>
      </c>
      <c r="C316" s="3" t="s">
        <v>776</v>
      </c>
      <c r="D316">
        <v>1400</v>
      </c>
      <c r="E316">
        <v>4126</v>
      </c>
      <c r="F316" s="5">
        <f t="shared" si="8"/>
        <v>2.9471428571428571</v>
      </c>
      <c r="G316" t="s">
        <v>8</v>
      </c>
      <c r="H316">
        <v>133</v>
      </c>
      <c r="I316">
        <f t="shared" si="9"/>
        <v>31.022556390977442</v>
      </c>
      <c r="J316" t="s">
        <v>109</v>
      </c>
      <c r="K316" t="s">
        <v>110</v>
      </c>
      <c r="L316" s="4">
        <v>43536.208333333328</v>
      </c>
      <c r="M316" s="4" t="s">
        <v>49</v>
      </c>
      <c r="N316" s="4" t="s">
        <v>121</v>
      </c>
      <c r="O316" s="4">
        <v>43541.208333333328</v>
      </c>
      <c r="P316" t="b">
        <v>0</v>
      </c>
      <c r="Q316" t="b">
        <v>1</v>
      </c>
      <c r="R316" t="s">
        <v>135</v>
      </c>
      <c r="S316" t="str" cm="1">
        <f t="array" ref="S316:T316">_xlfn.TEXTSPLIT(R316, "/", , FALSE)</f>
        <v>film &amp; video</v>
      </c>
      <c r="T316" t="str">
        <v>documentary</v>
      </c>
    </row>
    <row r="317" spans="1:20" ht="34" x14ac:dyDescent="0.2">
      <c r="A317">
        <v>315</v>
      </c>
      <c r="B317" t="s">
        <v>777</v>
      </c>
      <c r="C317" s="3" t="s">
        <v>778</v>
      </c>
      <c r="D317">
        <v>9500</v>
      </c>
      <c r="E317">
        <v>3220</v>
      </c>
      <c r="F317" s="5">
        <f t="shared" si="8"/>
        <v>0.33894736842105261</v>
      </c>
      <c r="G317" t="s">
        <v>6</v>
      </c>
      <c r="H317">
        <v>31</v>
      </c>
      <c r="I317">
        <f t="shared" si="9"/>
        <v>103.87096774193549</v>
      </c>
      <c r="J317" t="s">
        <v>109</v>
      </c>
      <c r="K317" t="s">
        <v>110</v>
      </c>
      <c r="L317" s="4">
        <v>41783.208333333336</v>
      </c>
      <c r="M317" s="4" t="s">
        <v>51</v>
      </c>
      <c r="N317" s="4" t="s">
        <v>111</v>
      </c>
      <c r="O317" s="4">
        <v>41812.208333333336</v>
      </c>
      <c r="P317" t="b">
        <v>0</v>
      </c>
      <c r="Q317" t="b">
        <v>0</v>
      </c>
      <c r="R317" t="s">
        <v>124</v>
      </c>
      <c r="S317" t="str" cm="1">
        <f t="array" ref="S317:T317">_xlfn.TEXTSPLIT(R317, "/", , FALSE)</f>
        <v>theater</v>
      </c>
      <c r="T317" t="str">
        <v>plays</v>
      </c>
    </row>
    <row r="318" spans="1:20" ht="17" x14ac:dyDescent="0.2">
      <c r="A318">
        <v>316</v>
      </c>
      <c r="B318" t="s">
        <v>779</v>
      </c>
      <c r="C318" s="3" t="s">
        <v>780</v>
      </c>
      <c r="D318">
        <v>9600</v>
      </c>
      <c r="E318">
        <v>6401</v>
      </c>
      <c r="F318" s="5">
        <f t="shared" si="8"/>
        <v>0.66677083333333331</v>
      </c>
      <c r="G318" t="s">
        <v>6</v>
      </c>
      <c r="H318">
        <v>108</v>
      </c>
      <c r="I318">
        <f t="shared" si="9"/>
        <v>59.268518518518519</v>
      </c>
      <c r="J318" t="s">
        <v>202</v>
      </c>
      <c r="K318" t="s">
        <v>203</v>
      </c>
      <c r="L318" s="4">
        <v>43788.25</v>
      </c>
      <c r="M318" s="4" t="s">
        <v>57</v>
      </c>
      <c r="N318" s="4" t="s">
        <v>121</v>
      </c>
      <c r="O318" s="4">
        <v>43789.25</v>
      </c>
      <c r="P318" t="b">
        <v>0</v>
      </c>
      <c r="Q318" t="b">
        <v>1</v>
      </c>
      <c r="R318" t="s">
        <v>106</v>
      </c>
      <c r="S318" t="str" cm="1">
        <f t="array" ref="S318:T318">_xlfn.TEXTSPLIT(R318, "/", , FALSE)</f>
        <v>food</v>
      </c>
      <c r="T318" t="str">
        <v>food trucks</v>
      </c>
    </row>
    <row r="319" spans="1:20" ht="17" x14ac:dyDescent="0.2">
      <c r="A319">
        <v>317</v>
      </c>
      <c r="B319" t="s">
        <v>781</v>
      </c>
      <c r="C319" s="3" t="s">
        <v>782</v>
      </c>
      <c r="D319">
        <v>6600</v>
      </c>
      <c r="E319">
        <v>1269</v>
      </c>
      <c r="F319" s="5">
        <f t="shared" si="8"/>
        <v>0.19227272727272726</v>
      </c>
      <c r="G319" t="s">
        <v>6</v>
      </c>
      <c r="H319">
        <v>30</v>
      </c>
      <c r="I319">
        <f t="shared" si="9"/>
        <v>42.3</v>
      </c>
      <c r="J319" t="s">
        <v>109</v>
      </c>
      <c r="K319" t="s">
        <v>110</v>
      </c>
      <c r="L319" s="4">
        <v>42869.208333333328</v>
      </c>
      <c r="M319" s="4" t="s">
        <v>51</v>
      </c>
      <c r="N319" s="4" t="s">
        <v>134</v>
      </c>
      <c r="O319" s="4">
        <v>42882.208333333328</v>
      </c>
      <c r="P319" t="b">
        <v>0</v>
      </c>
      <c r="Q319" t="b">
        <v>0</v>
      </c>
      <c r="R319" t="s">
        <v>124</v>
      </c>
      <c r="S319" t="str" cm="1">
        <f t="array" ref="S319:T319">_xlfn.TEXTSPLIT(R319, "/", , FALSE)</f>
        <v>theater</v>
      </c>
      <c r="T319" t="str">
        <v>plays</v>
      </c>
    </row>
    <row r="320" spans="1:20" ht="34" x14ac:dyDescent="0.2">
      <c r="A320">
        <v>318</v>
      </c>
      <c r="B320" t="s">
        <v>783</v>
      </c>
      <c r="C320" s="3" t="s">
        <v>784</v>
      </c>
      <c r="D320">
        <v>5700</v>
      </c>
      <c r="E320">
        <v>903</v>
      </c>
      <c r="F320" s="5">
        <f t="shared" si="8"/>
        <v>0.15842105263157893</v>
      </c>
      <c r="G320" t="s">
        <v>6</v>
      </c>
      <c r="H320">
        <v>17</v>
      </c>
      <c r="I320">
        <f t="shared" si="9"/>
        <v>53.117647058823529</v>
      </c>
      <c r="J320" t="s">
        <v>109</v>
      </c>
      <c r="K320" t="s">
        <v>110</v>
      </c>
      <c r="L320" s="4">
        <v>41684.25</v>
      </c>
      <c r="M320" s="4" t="s">
        <v>48</v>
      </c>
      <c r="N320" s="4" t="s">
        <v>111</v>
      </c>
      <c r="O320" s="4">
        <v>41686.25</v>
      </c>
      <c r="P320" t="b">
        <v>0</v>
      </c>
      <c r="Q320" t="b">
        <v>0</v>
      </c>
      <c r="R320" t="s">
        <v>112</v>
      </c>
      <c r="S320" t="str" cm="1">
        <f t="array" ref="S320:T320">_xlfn.TEXTSPLIT(R320, "/", , FALSE)</f>
        <v>music</v>
      </c>
      <c r="T320" t="str">
        <v>rock</v>
      </c>
    </row>
    <row r="321" spans="1:20" ht="17" x14ac:dyDescent="0.2">
      <c r="A321">
        <v>319</v>
      </c>
      <c r="B321" t="s">
        <v>785</v>
      </c>
      <c r="C321" s="3" t="s">
        <v>786</v>
      </c>
      <c r="D321">
        <v>8400</v>
      </c>
      <c r="E321">
        <v>3251</v>
      </c>
      <c r="F321" s="5">
        <f t="shared" si="8"/>
        <v>0.38702380952380955</v>
      </c>
      <c r="G321" t="s">
        <v>5</v>
      </c>
      <c r="H321">
        <v>64</v>
      </c>
      <c r="I321">
        <f t="shared" si="9"/>
        <v>50.796875</v>
      </c>
      <c r="J321" t="s">
        <v>109</v>
      </c>
      <c r="K321" t="s">
        <v>110</v>
      </c>
      <c r="L321" s="4">
        <v>40402.208333333336</v>
      </c>
      <c r="M321" s="4" t="s">
        <v>54</v>
      </c>
      <c r="N321" s="4" t="s">
        <v>140</v>
      </c>
      <c r="O321" s="4">
        <v>40426.208333333336</v>
      </c>
      <c r="P321" t="b">
        <v>0</v>
      </c>
      <c r="Q321" t="b">
        <v>0</v>
      </c>
      <c r="R321" t="s">
        <v>118</v>
      </c>
      <c r="S321" t="str" cm="1">
        <f t="array" ref="S321:T321">_xlfn.TEXTSPLIT(R321, "/", , FALSE)</f>
        <v>technology</v>
      </c>
      <c r="T321" t="str">
        <v>web</v>
      </c>
    </row>
    <row r="322" spans="1:20" ht="17" x14ac:dyDescent="0.2">
      <c r="A322">
        <v>320</v>
      </c>
      <c r="B322" t="s">
        <v>787</v>
      </c>
      <c r="C322" s="3" t="s">
        <v>788</v>
      </c>
      <c r="D322">
        <v>84400</v>
      </c>
      <c r="E322">
        <v>8092</v>
      </c>
      <c r="F322" s="5">
        <f t="shared" si="8"/>
        <v>9.5876777251184833E-2</v>
      </c>
      <c r="G322" t="s">
        <v>6</v>
      </c>
      <c r="H322">
        <v>80</v>
      </c>
      <c r="I322">
        <f t="shared" si="9"/>
        <v>101.15</v>
      </c>
      <c r="J322" t="s">
        <v>109</v>
      </c>
      <c r="K322" t="s">
        <v>110</v>
      </c>
      <c r="L322" s="4">
        <v>40673.208333333336</v>
      </c>
      <c r="M322" s="4" t="s">
        <v>51</v>
      </c>
      <c r="N322" s="4" t="s">
        <v>165</v>
      </c>
      <c r="O322" s="4">
        <v>40682.208333333336</v>
      </c>
      <c r="P322" t="b">
        <v>0</v>
      </c>
      <c r="Q322" t="b">
        <v>0</v>
      </c>
      <c r="R322" t="s">
        <v>214</v>
      </c>
      <c r="S322" t="str" cm="1">
        <f t="array" ref="S322:T322">_xlfn.TEXTSPLIT(R322, "/", , FALSE)</f>
        <v>publishing</v>
      </c>
      <c r="T322" t="str">
        <v>fiction</v>
      </c>
    </row>
    <row r="323" spans="1:20" ht="34" x14ac:dyDescent="0.2">
      <c r="A323">
        <v>321</v>
      </c>
      <c r="B323" t="s">
        <v>789</v>
      </c>
      <c r="C323" s="3" t="s">
        <v>790</v>
      </c>
      <c r="D323">
        <v>170400</v>
      </c>
      <c r="E323">
        <v>160422</v>
      </c>
      <c r="F323" s="5">
        <f t="shared" ref="F323:F386" si="10">E323/D323</f>
        <v>0.94144366197183094</v>
      </c>
      <c r="G323" t="s">
        <v>6</v>
      </c>
      <c r="H323">
        <v>2468</v>
      </c>
      <c r="I323">
        <f t="shared" ref="I323:I386" si="11">E323/H323</f>
        <v>65.000810372771468</v>
      </c>
      <c r="J323" t="s">
        <v>109</v>
      </c>
      <c r="K323" t="s">
        <v>110</v>
      </c>
      <c r="L323" s="4">
        <v>40634.208333333336</v>
      </c>
      <c r="M323" s="4" t="s">
        <v>50</v>
      </c>
      <c r="N323" s="4" t="s">
        <v>165</v>
      </c>
      <c r="O323" s="4">
        <v>40642.208333333336</v>
      </c>
      <c r="P323" t="b">
        <v>0</v>
      </c>
      <c r="Q323" t="b">
        <v>0</v>
      </c>
      <c r="R323" t="s">
        <v>195</v>
      </c>
      <c r="S323" t="str" cm="1">
        <f t="array" ref="S323:T323">_xlfn.TEXTSPLIT(R323, "/", , FALSE)</f>
        <v>film &amp; video</v>
      </c>
      <c r="T323" t="str">
        <v>shorts</v>
      </c>
    </row>
    <row r="324" spans="1:20" ht="34" x14ac:dyDescent="0.2">
      <c r="A324">
        <v>322</v>
      </c>
      <c r="B324" t="s">
        <v>791</v>
      </c>
      <c r="C324" s="3" t="s">
        <v>792</v>
      </c>
      <c r="D324">
        <v>117900</v>
      </c>
      <c r="E324">
        <v>196377</v>
      </c>
      <c r="F324" s="5">
        <f t="shared" si="10"/>
        <v>1.6656234096692113</v>
      </c>
      <c r="G324" t="s">
        <v>8</v>
      </c>
      <c r="H324">
        <v>5168</v>
      </c>
      <c r="I324">
        <f t="shared" si="11"/>
        <v>37.998645510835914</v>
      </c>
      <c r="J324" t="s">
        <v>109</v>
      </c>
      <c r="K324" t="s">
        <v>110</v>
      </c>
      <c r="L324" s="4">
        <v>40507.25</v>
      </c>
      <c r="M324" s="4" t="s">
        <v>57</v>
      </c>
      <c r="N324" s="4" t="s">
        <v>140</v>
      </c>
      <c r="O324" s="4">
        <v>40520.25</v>
      </c>
      <c r="P324" t="b">
        <v>0</v>
      </c>
      <c r="Q324" t="b">
        <v>0</v>
      </c>
      <c r="R324" t="s">
        <v>124</v>
      </c>
      <c r="S324" t="str" cm="1">
        <f t="array" ref="S324:T324">_xlfn.TEXTSPLIT(R324, "/", , FALSE)</f>
        <v>theater</v>
      </c>
      <c r="T324" t="str">
        <v>plays</v>
      </c>
    </row>
    <row r="325" spans="1:20" ht="17" x14ac:dyDescent="0.2">
      <c r="A325">
        <v>323</v>
      </c>
      <c r="B325" t="s">
        <v>793</v>
      </c>
      <c r="C325" s="3" t="s">
        <v>794</v>
      </c>
      <c r="D325">
        <v>8900</v>
      </c>
      <c r="E325">
        <v>2148</v>
      </c>
      <c r="F325" s="5">
        <f t="shared" si="10"/>
        <v>0.24134831460674158</v>
      </c>
      <c r="G325" t="s">
        <v>6</v>
      </c>
      <c r="H325">
        <v>26</v>
      </c>
      <c r="I325">
        <f t="shared" si="11"/>
        <v>82.615384615384613</v>
      </c>
      <c r="J325" t="s">
        <v>132</v>
      </c>
      <c r="K325" t="s">
        <v>133</v>
      </c>
      <c r="L325" s="4">
        <v>41725.208333333336</v>
      </c>
      <c r="M325" s="4" t="s">
        <v>49</v>
      </c>
      <c r="N325" s="4" t="s">
        <v>111</v>
      </c>
      <c r="O325" s="4">
        <v>41727.208333333336</v>
      </c>
      <c r="P325" t="b">
        <v>0</v>
      </c>
      <c r="Q325" t="b">
        <v>0</v>
      </c>
      <c r="R325" t="s">
        <v>135</v>
      </c>
      <c r="S325" t="str" cm="1">
        <f t="array" ref="S325:T325">_xlfn.TEXTSPLIT(R325, "/", , FALSE)</f>
        <v>film &amp; video</v>
      </c>
      <c r="T325" t="str">
        <v>documentary</v>
      </c>
    </row>
    <row r="326" spans="1:20" ht="17" x14ac:dyDescent="0.2">
      <c r="A326">
        <v>324</v>
      </c>
      <c r="B326" t="s">
        <v>795</v>
      </c>
      <c r="C326" s="3" t="s">
        <v>796</v>
      </c>
      <c r="D326">
        <v>7100</v>
      </c>
      <c r="E326">
        <v>11648</v>
      </c>
      <c r="F326" s="5">
        <f t="shared" si="10"/>
        <v>1.6405633802816901</v>
      </c>
      <c r="G326" t="s">
        <v>8</v>
      </c>
      <c r="H326">
        <v>307</v>
      </c>
      <c r="I326">
        <f t="shared" si="11"/>
        <v>37.941368078175898</v>
      </c>
      <c r="J326" t="s">
        <v>109</v>
      </c>
      <c r="K326" t="s">
        <v>110</v>
      </c>
      <c r="L326" s="4">
        <v>42176.208333333328</v>
      </c>
      <c r="M326" s="4" t="s">
        <v>52</v>
      </c>
      <c r="N326" s="4" t="s">
        <v>105</v>
      </c>
      <c r="O326" s="4">
        <v>42188.208333333328</v>
      </c>
      <c r="P326" t="b">
        <v>0</v>
      </c>
      <c r="Q326" t="b">
        <v>1</v>
      </c>
      <c r="R326" t="s">
        <v>124</v>
      </c>
      <c r="S326" t="str" cm="1">
        <f t="array" ref="S326:T326">_xlfn.TEXTSPLIT(R326, "/", , FALSE)</f>
        <v>theater</v>
      </c>
      <c r="T326" t="str">
        <v>plays</v>
      </c>
    </row>
    <row r="327" spans="1:20" ht="34" x14ac:dyDescent="0.2">
      <c r="A327">
        <v>325</v>
      </c>
      <c r="B327" t="s">
        <v>797</v>
      </c>
      <c r="C327" s="3" t="s">
        <v>798</v>
      </c>
      <c r="D327">
        <v>6500</v>
      </c>
      <c r="E327">
        <v>5897</v>
      </c>
      <c r="F327" s="5">
        <f t="shared" si="10"/>
        <v>0.90723076923076929</v>
      </c>
      <c r="G327" t="s">
        <v>6</v>
      </c>
      <c r="H327">
        <v>73</v>
      </c>
      <c r="I327">
        <f t="shared" si="11"/>
        <v>80.780821917808225</v>
      </c>
      <c r="J327" t="s">
        <v>109</v>
      </c>
      <c r="K327" t="s">
        <v>110</v>
      </c>
      <c r="L327" s="4">
        <v>43267.208333333328</v>
      </c>
      <c r="M327" s="4" t="s">
        <v>52</v>
      </c>
      <c r="N327" s="4" t="s">
        <v>169</v>
      </c>
      <c r="O327" s="4">
        <v>43290.208333333328</v>
      </c>
      <c r="P327" t="b">
        <v>0</v>
      </c>
      <c r="Q327" t="b">
        <v>1</v>
      </c>
      <c r="R327" t="s">
        <v>124</v>
      </c>
      <c r="S327" t="str" cm="1">
        <f t="array" ref="S327:T327">_xlfn.TEXTSPLIT(R327, "/", , FALSE)</f>
        <v>theater</v>
      </c>
      <c r="T327" t="str">
        <v>plays</v>
      </c>
    </row>
    <row r="328" spans="1:20" ht="34" x14ac:dyDescent="0.2">
      <c r="A328">
        <v>326</v>
      </c>
      <c r="B328" t="s">
        <v>799</v>
      </c>
      <c r="C328" s="3" t="s">
        <v>800</v>
      </c>
      <c r="D328">
        <v>7200</v>
      </c>
      <c r="E328">
        <v>3326</v>
      </c>
      <c r="F328" s="5">
        <f t="shared" si="10"/>
        <v>0.46194444444444444</v>
      </c>
      <c r="G328" t="s">
        <v>6</v>
      </c>
      <c r="H328">
        <v>128</v>
      </c>
      <c r="I328">
        <f t="shared" si="11"/>
        <v>25.984375</v>
      </c>
      <c r="J328" t="s">
        <v>109</v>
      </c>
      <c r="K328" t="s">
        <v>110</v>
      </c>
      <c r="L328" s="4">
        <v>42364.25</v>
      </c>
      <c r="M328" s="4" t="s">
        <v>58</v>
      </c>
      <c r="N328" s="4" t="s">
        <v>105</v>
      </c>
      <c r="O328" s="4">
        <v>42370.25</v>
      </c>
      <c r="P328" t="b">
        <v>0</v>
      </c>
      <c r="Q328" t="b">
        <v>0</v>
      </c>
      <c r="R328" t="s">
        <v>166</v>
      </c>
      <c r="S328" t="str" cm="1">
        <f t="array" ref="S328:T328">_xlfn.TEXTSPLIT(R328, "/", , FALSE)</f>
        <v>film &amp; video</v>
      </c>
      <c r="T328" t="str">
        <v>animation</v>
      </c>
    </row>
    <row r="329" spans="1:20" ht="17" x14ac:dyDescent="0.2">
      <c r="A329">
        <v>327</v>
      </c>
      <c r="B329" t="s">
        <v>801</v>
      </c>
      <c r="C329" s="3" t="s">
        <v>802</v>
      </c>
      <c r="D329">
        <v>2600</v>
      </c>
      <c r="E329">
        <v>1002</v>
      </c>
      <c r="F329" s="5">
        <f t="shared" si="10"/>
        <v>0.38538461538461538</v>
      </c>
      <c r="G329" t="s">
        <v>6</v>
      </c>
      <c r="H329">
        <v>33</v>
      </c>
      <c r="I329">
        <f t="shared" si="11"/>
        <v>30.363636363636363</v>
      </c>
      <c r="J329" t="s">
        <v>109</v>
      </c>
      <c r="K329" t="s">
        <v>110</v>
      </c>
      <c r="L329" s="4">
        <v>43705.208333333328</v>
      </c>
      <c r="M329" s="4" t="s">
        <v>54</v>
      </c>
      <c r="N329" s="4" t="s">
        <v>121</v>
      </c>
      <c r="O329" s="4">
        <v>43709.208333333328</v>
      </c>
      <c r="P329" t="b">
        <v>0</v>
      </c>
      <c r="Q329" t="b">
        <v>1</v>
      </c>
      <c r="R329" t="s">
        <v>124</v>
      </c>
      <c r="S329" t="str" cm="1">
        <f t="array" ref="S329:T329">_xlfn.TEXTSPLIT(R329, "/", , FALSE)</f>
        <v>theater</v>
      </c>
      <c r="T329" t="str">
        <v>plays</v>
      </c>
    </row>
    <row r="330" spans="1:20" ht="34" x14ac:dyDescent="0.2">
      <c r="A330">
        <v>328</v>
      </c>
      <c r="B330" t="s">
        <v>803</v>
      </c>
      <c r="C330" s="3" t="s">
        <v>804</v>
      </c>
      <c r="D330">
        <v>98700</v>
      </c>
      <c r="E330">
        <v>131826</v>
      </c>
      <c r="F330" s="5">
        <f t="shared" si="10"/>
        <v>1.3356231003039514</v>
      </c>
      <c r="G330" t="s">
        <v>8</v>
      </c>
      <c r="H330">
        <v>2441</v>
      </c>
      <c r="I330">
        <f t="shared" si="11"/>
        <v>54.004916018025398</v>
      </c>
      <c r="J330" t="s">
        <v>109</v>
      </c>
      <c r="K330" t="s">
        <v>110</v>
      </c>
      <c r="L330" s="4">
        <v>43434.25</v>
      </c>
      <c r="M330" s="4" t="s">
        <v>57</v>
      </c>
      <c r="N330" s="4" t="s">
        <v>169</v>
      </c>
      <c r="O330" s="4">
        <v>43445.25</v>
      </c>
      <c r="P330" t="b">
        <v>0</v>
      </c>
      <c r="Q330" t="b">
        <v>0</v>
      </c>
      <c r="R330" t="s">
        <v>112</v>
      </c>
      <c r="S330" t="str" cm="1">
        <f t="array" ref="S330:T330">_xlfn.TEXTSPLIT(R330, "/", , FALSE)</f>
        <v>music</v>
      </c>
      <c r="T330" t="str">
        <v>rock</v>
      </c>
    </row>
    <row r="331" spans="1:20" ht="17" x14ac:dyDescent="0.2">
      <c r="A331">
        <v>329</v>
      </c>
      <c r="B331" t="s">
        <v>805</v>
      </c>
      <c r="C331" s="3" t="s">
        <v>806</v>
      </c>
      <c r="D331">
        <v>93800</v>
      </c>
      <c r="E331">
        <v>21477</v>
      </c>
      <c r="F331" s="5">
        <f t="shared" si="10"/>
        <v>0.22896588486140726</v>
      </c>
      <c r="G331" t="s">
        <v>7</v>
      </c>
      <c r="H331">
        <v>211</v>
      </c>
      <c r="I331">
        <f t="shared" si="11"/>
        <v>101.78672985781991</v>
      </c>
      <c r="J331" t="s">
        <v>109</v>
      </c>
      <c r="K331" t="s">
        <v>110</v>
      </c>
      <c r="L331" s="4">
        <v>42716.25</v>
      </c>
      <c r="M331" s="4" t="s">
        <v>58</v>
      </c>
      <c r="N331" s="4" t="s">
        <v>153</v>
      </c>
      <c r="O331" s="4">
        <v>42727.25</v>
      </c>
      <c r="P331" t="b">
        <v>0</v>
      </c>
      <c r="Q331" t="b">
        <v>0</v>
      </c>
      <c r="R331" t="s">
        <v>184</v>
      </c>
      <c r="S331" t="str" cm="1">
        <f t="array" ref="S331:T331">_xlfn.TEXTSPLIT(R331, "/", , FALSE)</f>
        <v>games</v>
      </c>
      <c r="T331" t="str">
        <v>video games</v>
      </c>
    </row>
    <row r="332" spans="1:20" ht="34" x14ac:dyDescent="0.2">
      <c r="A332">
        <v>330</v>
      </c>
      <c r="B332" t="s">
        <v>807</v>
      </c>
      <c r="C332" s="3" t="s">
        <v>808</v>
      </c>
      <c r="D332">
        <v>33700</v>
      </c>
      <c r="E332">
        <v>62330</v>
      </c>
      <c r="F332" s="5">
        <f t="shared" si="10"/>
        <v>1.8495548961424333</v>
      </c>
      <c r="G332" t="s">
        <v>8</v>
      </c>
      <c r="H332">
        <v>1385</v>
      </c>
      <c r="I332">
        <f t="shared" si="11"/>
        <v>45.003610108303249</v>
      </c>
      <c r="J332" t="s">
        <v>132</v>
      </c>
      <c r="K332" t="s">
        <v>133</v>
      </c>
      <c r="L332" s="4">
        <v>43077.25</v>
      </c>
      <c r="M332" s="4" t="s">
        <v>58</v>
      </c>
      <c r="N332" s="4" t="s">
        <v>134</v>
      </c>
      <c r="O332" s="4">
        <v>43078.25</v>
      </c>
      <c r="P332" t="b">
        <v>0</v>
      </c>
      <c r="Q332" t="b">
        <v>0</v>
      </c>
      <c r="R332" t="s">
        <v>135</v>
      </c>
      <c r="S332" t="str" cm="1">
        <f t="array" ref="S332:T332">_xlfn.TEXTSPLIT(R332, "/", , FALSE)</f>
        <v>film &amp; video</v>
      </c>
      <c r="T332" t="str">
        <v>documentary</v>
      </c>
    </row>
    <row r="333" spans="1:20" ht="17" x14ac:dyDescent="0.2">
      <c r="A333">
        <v>331</v>
      </c>
      <c r="B333" t="s">
        <v>809</v>
      </c>
      <c r="C333" s="3" t="s">
        <v>810</v>
      </c>
      <c r="D333">
        <v>3300</v>
      </c>
      <c r="E333">
        <v>14643</v>
      </c>
      <c r="F333" s="5">
        <f t="shared" si="10"/>
        <v>4.4372727272727275</v>
      </c>
      <c r="G333" t="s">
        <v>8</v>
      </c>
      <c r="H333">
        <v>190</v>
      </c>
      <c r="I333">
        <f t="shared" si="11"/>
        <v>77.068421052631578</v>
      </c>
      <c r="J333" t="s">
        <v>109</v>
      </c>
      <c r="K333" t="s">
        <v>110</v>
      </c>
      <c r="L333" s="4">
        <v>40896.25</v>
      </c>
      <c r="M333" s="4" t="s">
        <v>58</v>
      </c>
      <c r="N333" s="4" t="s">
        <v>165</v>
      </c>
      <c r="O333" s="4">
        <v>40897.25</v>
      </c>
      <c r="P333" t="b">
        <v>0</v>
      </c>
      <c r="Q333" t="b">
        <v>0</v>
      </c>
      <c r="R333" t="s">
        <v>106</v>
      </c>
      <c r="S333" t="str" cm="1">
        <f t="array" ref="S333:T333">_xlfn.TEXTSPLIT(R333, "/", , FALSE)</f>
        <v>food</v>
      </c>
      <c r="T333" t="str">
        <v>food trucks</v>
      </c>
    </row>
    <row r="334" spans="1:20" ht="34" x14ac:dyDescent="0.2">
      <c r="A334">
        <v>332</v>
      </c>
      <c r="B334" t="s">
        <v>811</v>
      </c>
      <c r="C334" s="3" t="s">
        <v>812</v>
      </c>
      <c r="D334">
        <v>20700</v>
      </c>
      <c r="E334">
        <v>41396</v>
      </c>
      <c r="F334" s="5">
        <f t="shared" si="10"/>
        <v>1.999806763285024</v>
      </c>
      <c r="G334" t="s">
        <v>8</v>
      </c>
      <c r="H334">
        <v>470</v>
      </c>
      <c r="I334">
        <f t="shared" si="11"/>
        <v>88.076595744680844</v>
      </c>
      <c r="J334" t="s">
        <v>109</v>
      </c>
      <c r="K334" t="s">
        <v>110</v>
      </c>
      <c r="L334" s="4">
        <v>41361.208333333336</v>
      </c>
      <c r="M334" s="4" t="s">
        <v>49</v>
      </c>
      <c r="N334" s="4" t="s">
        <v>117</v>
      </c>
      <c r="O334" s="4">
        <v>41362.208333333336</v>
      </c>
      <c r="P334" t="b">
        <v>0</v>
      </c>
      <c r="Q334" t="b">
        <v>0</v>
      </c>
      <c r="R334" t="s">
        <v>159</v>
      </c>
      <c r="S334" t="str" cm="1">
        <f t="array" ref="S334:T334">_xlfn.TEXTSPLIT(R334, "/", , FALSE)</f>
        <v>technology</v>
      </c>
      <c r="T334" t="str">
        <v>wearables</v>
      </c>
    </row>
    <row r="335" spans="1:20" ht="17" x14ac:dyDescent="0.2">
      <c r="A335">
        <v>333</v>
      </c>
      <c r="B335" t="s">
        <v>813</v>
      </c>
      <c r="C335" s="3" t="s">
        <v>814</v>
      </c>
      <c r="D335">
        <v>9600</v>
      </c>
      <c r="E335">
        <v>11900</v>
      </c>
      <c r="F335" s="5">
        <f t="shared" si="10"/>
        <v>1.2395833333333333</v>
      </c>
      <c r="G335" t="s">
        <v>8</v>
      </c>
      <c r="H335">
        <v>253</v>
      </c>
      <c r="I335">
        <f t="shared" si="11"/>
        <v>47.035573122529641</v>
      </c>
      <c r="J335" t="s">
        <v>109</v>
      </c>
      <c r="K335" t="s">
        <v>110</v>
      </c>
      <c r="L335" s="4">
        <v>43424.25</v>
      </c>
      <c r="M335" s="4" t="s">
        <v>57</v>
      </c>
      <c r="N335" s="4" t="s">
        <v>169</v>
      </c>
      <c r="O335" s="4">
        <v>43452.25</v>
      </c>
      <c r="P335" t="b">
        <v>0</v>
      </c>
      <c r="Q335" t="b">
        <v>0</v>
      </c>
      <c r="R335" t="s">
        <v>124</v>
      </c>
      <c r="S335" t="str" cm="1">
        <f t="array" ref="S335:T335">_xlfn.TEXTSPLIT(R335, "/", , FALSE)</f>
        <v>theater</v>
      </c>
      <c r="T335" t="str">
        <v>plays</v>
      </c>
    </row>
    <row r="336" spans="1:20" ht="17" x14ac:dyDescent="0.2">
      <c r="A336">
        <v>334</v>
      </c>
      <c r="B336" t="s">
        <v>815</v>
      </c>
      <c r="C336" s="3" t="s">
        <v>816</v>
      </c>
      <c r="D336">
        <v>66200</v>
      </c>
      <c r="E336">
        <v>123538</v>
      </c>
      <c r="F336" s="5">
        <f t="shared" si="10"/>
        <v>1.8661329305135952</v>
      </c>
      <c r="G336" t="s">
        <v>8</v>
      </c>
      <c r="H336">
        <v>1113</v>
      </c>
      <c r="I336">
        <f t="shared" si="11"/>
        <v>110.99550763701707</v>
      </c>
      <c r="J336" t="s">
        <v>109</v>
      </c>
      <c r="K336" t="s">
        <v>110</v>
      </c>
      <c r="L336" s="4">
        <v>43110.25</v>
      </c>
      <c r="M336" s="4" t="s">
        <v>47</v>
      </c>
      <c r="N336" s="4" t="s">
        <v>169</v>
      </c>
      <c r="O336" s="4">
        <v>43117.25</v>
      </c>
      <c r="P336" t="b">
        <v>0</v>
      </c>
      <c r="Q336" t="b">
        <v>0</v>
      </c>
      <c r="R336" t="s">
        <v>112</v>
      </c>
      <c r="S336" t="str" cm="1">
        <f t="array" ref="S336:T336">_xlfn.TEXTSPLIT(R336, "/", , FALSE)</f>
        <v>music</v>
      </c>
      <c r="T336" t="str">
        <v>rock</v>
      </c>
    </row>
    <row r="337" spans="1:20" ht="17" x14ac:dyDescent="0.2">
      <c r="A337">
        <v>335</v>
      </c>
      <c r="B337" t="s">
        <v>817</v>
      </c>
      <c r="C337" s="3" t="s">
        <v>818</v>
      </c>
      <c r="D337">
        <v>173800</v>
      </c>
      <c r="E337">
        <v>198628</v>
      </c>
      <c r="F337" s="5">
        <f t="shared" si="10"/>
        <v>1.1428538550057536</v>
      </c>
      <c r="G337" t="s">
        <v>8</v>
      </c>
      <c r="H337">
        <v>2283</v>
      </c>
      <c r="I337">
        <f t="shared" si="11"/>
        <v>87.003066141042481</v>
      </c>
      <c r="J337" t="s">
        <v>109</v>
      </c>
      <c r="K337" t="s">
        <v>110</v>
      </c>
      <c r="L337" s="4">
        <v>43784.25</v>
      </c>
      <c r="M337" s="4" t="s">
        <v>57</v>
      </c>
      <c r="N337" s="4" t="s">
        <v>121</v>
      </c>
      <c r="O337" s="4">
        <v>43797.25</v>
      </c>
      <c r="P337" t="b">
        <v>0</v>
      </c>
      <c r="Q337" t="b">
        <v>0</v>
      </c>
      <c r="R337" t="s">
        <v>112</v>
      </c>
      <c r="S337" t="str" cm="1">
        <f t="array" ref="S337:T337">_xlfn.TEXTSPLIT(R337, "/", , FALSE)</f>
        <v>music</v>
      </c>
      <c r="T337" t="str">
        <v>rock</v>
      </c>
    </row>
    <row r="338" spans="1:20" ht="17" x14ac:dyDescent="0.2">
      <c r="A338">
        <v>336</v>
      </c>
      <c r="B338" t="s">
        <v>819</v>
      </c>
      <c r="C338" s="3" t="s">
        <v>820</v>
      </c>
      <c r="D338">
        <v>70700</v>
      </c>
      <c r="E338">
        <v>68602</v>
      </c>
      <c r="F338" s="5">
        <f t="shared" si="10"/>
        <v>0.97032531824611035</v>
      </c>
      <c r="G338" t="s">
        <v>6</v>
      </c>
      <c r="H338">
        <v>1072</v>
      </c>
      <c r="I338">
        <f t="shared" si="11"/>
        <v>63.994402985074629</v>
      </c>
      <c r="J338" t="s">
        <v>109</v>
      </c>
      <c r="K338" t="s">
        <v>110</v>
      </c>
      <c r="L338" s="4">
        <v>40527.25</v>
      </c>
      <c r="M338" s="4" t="s">
        <v>58</v>
      </c>
      <c r="N338" s="4" t="s">
        <v>140</v>
      </c>
      <c r="O338" s="4">
        <v>40528.25</v>
      </c>
      <c r="P338" t="b">
        <v>0</v>
      </c>
      <c r="Q338" t="b">
        <v>1</v>
      </c>
      <c r="R338" t="s">
        <v>112</v>
      </c>
      <c r="S338" t="str" cm="1">
        <f t="array" ref="S338:T338">_xlfn.TEXTSPLIT(R338, "/", , FALSE)</f>
        <v>music</v>
      </c>
      <c r="T338" t="str">
        <v>rock</v>
      </c>
    </row>
    <row r="339" spans="1:20" ht="17" x14ac:dyDescent="0.2">
      <c r="A339">
        <v>337</v>
      </c>
      <c r="B339" t="s">
        <v>821</v>
      </c>
      <c r="C339" s="3" t="s">
        <v>822</v>
      </c>
      <c r="D339">
        <v>94500</v>
      </c>
      <c r="E339">
        <v>116064</v>
      </c>
      <c r="F339" s="5">
        <f t="shared" si="10"/>
        <v>1.2281904761904763</v>
      </c>
      <c r="G339" t="s">
        <v>8</v>
      </c>
      <c r="H339">
        <v>1095</v>
      </c>
      <c r="I339">
        <f t="shared" si="11"/>
        <v>105.9945205479452</v>
      </c>
      <c r="J339" t="s">
        <v>109</v>
      </c>
      <c r="K339" t="s">
        <v>110</v>
      </c>
      <c r="L339" s="4">
        <v>43780.25</v>
      </c>
      <c r="M339" s="4" t="s">
        <v>57</v>
      </c>
      <c r="N339" s="4" t="s">
        <v>121</v>
      </c>
      <c r="O339" s="4">
        <v>43781.25</v>
      </c>
      <c r="P339" t="b">
        <v>0</v>
      </c>
      <c r="Q339" t="b">
        <v>0</v>
      </c>
      <c r="R339" t="s">
        <v>124</v>
      </c>
      <c r="S339" t="str" cm="1">
        <f t="array" ref="S339:T339">_xlfn.TEXTSPLIT(R339, "/", , FALSE)</f>
        <v>theater</v>
      </c>
      <c r="T339" t="str">
        <v>plays</v>
      </c>
    </row>
    <row r="340" spans="1:20" ht="17" x14ac:dyDescent="0.2">
      <c r="A340">
        <v>338</v>
      </c>
      <c r="B340" t="s">
        <v>823</v>
      </c>
      <c r="C340" s="3" t="s">
        <v>824</v>
      </c>
      <c r="D340">
        <v>69800</v>
      </c>
      <c r="E340">
        <v>125042</v>
      </c>
      <c r="F340" s="5">
        <f t="shared" si="10"/>
        <v>1.7914326647564469</v>
      </c>
      <c r="G340" t="s">
        <v>8</v>
      </c>
      <c r="H340">
        <v>1690</v>
      </c>
      <c r="I340">
        <f t="shared" si="11"/>
        <v>73.989349112426041</v>
      </c>
      <c r="J340" t="s">
        <v>109</v>
      </c>
      <c r="K340" t="s">
        <v>110</v>
      </c>
      <c r="L340" s="4">
        <v>40821.208333333336</v>
      </c>
      <c r="M340" s="4" t="s">
        <v>56</v>
      </c>
      <c r="N340" s="4" t="s">
        <v>165</v>
      </c>
      <c r="O340" s="4">
        <v>40851.208333333336</v>
      </c>
      <c r="P340" t="b">
        <v>0</v>
      </c>
      <c r="Q340" t="b">
        <v>0</v>
      </c>
      <c r="R340" t="s">
        <v>124</v>
      </c>
      <c r="S340" t="str" cm="1">
        <f t="array" ref="S340:T340">_xlfn.TEXTSPLIT(R340, "/", , FALSE)</f>
        <v>theater</v>
      </c>
      <c r="T340" t="str">
        <v>plays</v>
      </c>
    </row>
    <row r="341" spans="1:20" ht="17" x14ac:dyDescent="0.2">
      <c r="A341">
        <v>339</v>
      </c>
      <c r="B341" t="s">
        <v>825</v>
      </c>
      <c r="C341" s="3" t="s">
        <v>826</v>
      </c>
      <c r="D341">
        <v>136300</v>
      </c>
      <c r="E341">
        <v>108974</v>
      </c>
      <c r="F341" s="5">
        <f t="shared" si="10"/>
        <v>0.79951577402787966</v>
      </c>
      <c r="G341" t="s">
        <v>5</v>
      </c>
      <c r="H341">
        <v>1297</v>
      </c>
      <c r="I341">
        <f t="shared" si="11"/>
        <v>84.02004626060139</v>
      </c>
      <c r="J341" t="s">
        <v>103</v>
      </c>
      <c r="K341" t="s">
        <v>104</v>
      </c>
      <c r="L341" s="4">
        <v>42949.208333333328</v>
      </c>
      <c r="M341" s="4" t="s">
        <v>54</v>
      </c>
      <c r="N341" s="4" t="s">
        <v>134</v>
      </c>
      <c r="O341" s="4">
        <v>42963.208333333328</v>
      </c>
      <c r="P341" t="b">
        <v>0</v>
      </c>
      <c r="Q341" t="b">
        <v>0</v>
      </c>
      <c r="R341" t="s">
        <v>124</v>
      </c>
      <c r="S341" t="str" cm="1">
        <f t="array" ref="S341:T341">_xlfn.TEXTSPLIT(R341, "/", , FALSE)</f>
        <v>theater</v>
      </c>
      <c r="T341" t="str">
        <v>plays</v>
      </c>
    </row>
    <row r="342" spans="1:20" ht="17" x14ac:dyDescent="0.2">
      <c r="A342">
        <v>340</v>
      </c>
      <c r="B342" t="s">
        <v>827</v>
      </c>
      <c r="C342" s="3" t="s">
        <v>828</v>
      </c>
      <c r="D342">
        <v>37100</v>
      </c>
      <c r="E342">
        <v>34964</v>
      </c>
      <c r="F342" s="5">
        <f t="shared" si="10"/>
        <v>0.94242587601078165</v>
      </c>
      <c r="G342" t="s">
        <v>6</v>
      </c>
      <c r="H342">
        <v>393</v>
      </c>
      <c r="I342">
        <f t="shared" si="11"/>
        <v>88.966921119592882</v>
      </c>
      <c r="J342" t="s">
        <v>109</v>
      </c>
      <c r="K342" t="s">
        <v>110</v>
      </c>
      <c r="L342" s="4">
        <v>40889.25</v>
      </c>
      <c r="M342" s="4" t="s">
        <v>58</v>
      </c>
      <c r="N342" s="4" t="s">
        <v>165</v>
      </c>
      <c r="O342" s="4">
        <v>40890.25</v>
      </c>
      <c r="P342" t="b">
        <v>0</v>
      </c>
      <c r="Q342" t="b">
        <v>0</v>
      </c>
      <c r="R342" t="s">
        <v>217</v>
      </c>
      <c r="S342" t="str" cm="1">
        <f t="array" ref="S342:T342">_xlfn.TEXTSPLIT(R342, "/", , FALSE)</f>
        <v>photography</v>
      </c>
      <c r="T342" t="str">
        <v>photography books</v>
      </c>
    </row>
    <row r="343" spans="1:20" ht="34" x14ac:dyDescent="0.2">
      <c r="A343">
        <v>341</v>
      </c>
      <c r="B343" t="s">
        <v>829</v>
      </c>
      <c r="C343" s="3" t="s">
        <v>830</v>
      </c>
      <c r="D343">
        <v>114300</v>
      </c>
      <c r="E343">
        <v>96777</v>
      </c>
      <c r="F343" s="5">
        <f t="shared" si="10"/>
        <v>0.84669291338582675</v>
      </c>
      <c r="G343" t="s">
        <v>6</v>
      </c>
      <c r="H343">
        <v>1257</v>
      </c>
      <c r="I343">
        <f t="shared" si="11"/>
        <v>76.990453460620529</v>
      </c>
      <c r="J343" t="s">
        <v>109</v>
      </c>
      <c r="K343" t="s">
        <v>110</v>
      </c>
      <c r="L343" s="4">
        <v>42244.208333333328</v>
      </c>
      <c r="M343" s="4" t="s">
        <v>54</v>
      </c>
      <c r="N343" s="4" t="s">
        <v>105</v>
      </c>
      <c r="O343" s="4">
        <v>42251.208333333328</v>
      </c>
      <c r="P343" t="b">
        <v>0</v>
      </c>
      <c r="Q343" t="b">
        <v>0</v>
      </c>
      <c r="R343" t="s">
        <v>154</v>
      </c>
      <c r="S343" t="str" cm="1">
        <f t="array" ref="S343:T343">_xlfn.TEXTSPLIT(R343, "/", , FALSE)</f>
        <v>music</v>
      </c>
      <c r="T343" t="str">
        <v>indie rock</v>
      </c>
    </row>
    <row r="344" spans="1:20" ht="17" x14ac:dyDescent="0.2">
      <c r="A344">
        <v>342</v>
      </c>
      <c r="B344" t="s">
        <v>831</v>
      </c>
      <c r="C344" s="3" t="s">
        <v>832</v>
      </c>
      <c r="D344">
        <v>47900</v>
      </c>
      <c r="E344">
        <v>31864</v>
      </c>
      <c r="F344" s="5">
        <f t="shared" si="10"/>
        <v>0.66521920668058454</v>
      </c>
      <c r="G344" t="s">
        <v>6</v>
      </c>
      <c r="H344">
        <v>328</v>
      </c>
      <c r="I344">
        <f t="shared" si="11"/>
        <v>97.146341463414629</v>
      </c>
      <c r="J344" t="s">
        <v>109</v>
      </c>
      <c r="K344" t="s">
        <v>110</v>
      </c>
      <c r="L344" s="4">
        <v>41475.208333333336</v>
      </c>
      <c r="M344" s="4" t="s">
        <v>53</v>
      </c>
      <c r="N344" s="4" t="s">
        <v>117</v>
      </c>
      <c r="O344" s="4">
        <v>41487.208333333336</v>
      </c>
      <c r="P344" t="b">
        <v>0</v>
      </c>
      <c r="Q344" t="b">
        <v>0</v>
      </c>
      <c r="R344" t="s">
        <v>124</v>
      </c>
      <c r="S344" t="str" cm="1">
        <f t="array" ref="S344:T344">_xlfn.TEXTSPLIT(R344, "/", , FALSE)</f>
        <v>theater</v>
      </c>
      <c r="T344" t="str">
        <v>plays</v>
      </c>
    </row>
    <row r="345" spans="1:20" ht="17" x14ac:dyDescent="0.2">
      <c r="A345">
        <v>343</v>
      </c>
      <c r="B345" t="s">
        <v>833</v>
      </c>
      <c r="C345" s="3" t="s">
        <v>834</v>
      </c>
      <c r="D345">
        <v>9000</v>
      </c>
      <c r="E345">
        <v>4853</v>
      </c>
      <c r="F345" s="5">
        <f t="shared" si="10"/>
        <v>0.53922222222222227</v>
      </c>
      <c r="G345" t="s">
        <v>6</v>
      </c>
      <c r="H345">
        <v>147</v>
      </c>
      <c r="I345">
        <f t="shared" si="11"/>
        <v>33.013605442176868</v>
      </c>
      <c r="J345" t="s">
        <v>109</v>
      </c>
      <c r="K345" t="s">
        <v>110</v>
      </c>
      <c r="L345" s="4">
        <v>41597.25</v>
      </c>
      <c r="M345" s="4" t="s">
        <v>57</v>
      </c>
      <c r="N345" s="4" t="s">
        <v>117</v>
      </c>
      <c r="O345" s="4">
        <v>41650.25</v>
      </c>
      <c r="P345" t="b">
        <v>0</v>
      </c>
      <c r="Q345" t="b">
        <v>0</v>
      </c>
      <c r="R345" t="s">
        <v>124</v>
      </c>
      <c r="S345" t="str" cm="1">
        <f t="array" ref="S345:T345">_xlfn.TEXTSPLIT(R345, "/", , FALSE)</f>
        <v>theater</v>
      </c>
      <c r="T345" t="str">
        <v>plays</v>
      </c>
    </row>
    <row r="346" spans="1:20" ht="17" x14ac:dyDescent="0.2">
      <c r="A346">
        <v>344</v>
      </c>
      <c r="B346" t="s">
        <v>835</v>
      </c>
      <c r="C346" s="3" t="s">
        <v>836</v>
      </c>
      <c r="D346">
        <v>197600</v>
      </c>
      <c r="E346">
        <v>82959</v>
      </c>
      <c r="F346" s="5">
        <f t="shared" si="10"/>
        <v>0.41983299595141699</v>
      </c>
      <c r="G346" t="s">
        <v>6</v>
      </c>
      <c r="H346">
        <v>830</v>
      </c>
      <c r="I346">
        <f t="shared" si="11"/>
        <v>99.950602409638549</v>
      </c>
      <c r="J346" t="s">
        <v>109</v>
      </c>
      <c r="K346" t="s">
        <v>110</v>
      </c>
      <c r="L346" s="4">
        <v>43122.25</v>
      </c>
      <c r="M346" s="4" t="s">
        <v>47</v>
      </c>
      <c r="N346" s="4" t="s">
        <v>169</v>
      </c>
      <c r="O346" s="4">
        <v>43162.25</v>
      </c>
      <c r="P346" t="b">
        <v>0</v>
      </c>
      <c r="Q346" t="b">
        <v>0</v>
      </c>
      <c r="R346" t="s">
        <v>184</v>
      </c>
      <c r="S346" t="str" cm="1">
        <f t="array" ref="S346:T346">_xlfn.TEXTSPLIT(R346, "/", , FALSE)</f>
        <v>games</v>
      </c>
      <c r="T346" t="str">
        <v>video games</v>
      </c>
    </row>
    <row r="347" spans="1:20" ht="17" x14ac:dyDescent="0.2">
      <c r="A347">
        <v>345</v>
      </c>
      <c r="B347" t="s">
        <v>837</v>
      </c>
      <c r="C347" s="3" t="s">
        <v>838</v>
      </c>
      <c r="D347">
        <v>157600</v>
      </c>
      <c r="E347">
        <v>23159</v>
      </c>
      <c r="F347" s="5">
        <f t="shared" si="10"/>
        <v>0.14694796954314721</v>
      </c>
      <c r="G347" t="s">
        <v>6</v>
      </c>
      <c r="H347">
        <v>331</v>
      </c>
      <c r="I347">
        <f t="shared" si="11"/>
        <v>69.966767371601208</v>
      </c>
      <c r="J347" t="s">
        <v>132</v>
      </c>
      <c r="K347" t="s">
        <v>133</v>
      </c>
      <c r="L347" s="4">
        <v>42194.208333333328</v>
      </c>
      <c r="M347" s="4" t="s">
        <v>53</v>
      </c>
      <c r="N347" s="4" t="s">
        <v>105</v>
      </c>
      <c r="O347" s="4">
        <v>42195.208333333328</v>
      </c>
      <c r="P347" t="b">
        <v>0</v>
      </c>
      <c r="Q347" t="b">
        <v>0</v>
      </c>
      <c r="R347" t="s">
        <v>146</v>
      </c>
      <c r="S347" t="str" cm="1">
        <f t="array" ref="S347:T347">_xlfn.TEXTSPLIT(R347, "/", , FALSE)</f>
        <v>film &amp; video</v>
      </c>
      <c r="T347" t="str">
        <v>drama</v>
      </c>
    </row>
    <row r="348" spans="1:20" ht="17" x14ac:dyDescent="0.2">
      <c r="A348">
        <v>346</v>
      </c>
      <c r="B348" t="s">
        <v>839</v>
      </c>
      <c r="C348" s="3" t="s">
        <v>840</v>
      </c>
      <c r="D348">
        <v>8000</v>
      </c>
      <c r="E348">
        <v>2758</v>
      </c>
      <c r="F348" s="5">
        <f t="shared" si="10"/>
        <v>0.34475</v>
      </c>
      <c r="G348" t="s">
        <v>6</v>
      </c>
      <c r="H348">
        <v>25</v>
      </c>
      <c r="I348">
        <f t="shared" si="11"/>
        <v>110.32</v>
      </c>
      <c r="J348" t="s">
        <v>109</v>
      </c>
      <c r="K348" t="s">
        <v>110</v>
      </c>
      <c r="L348" s="4">
        <v>42971.208333333328</v>
      </c>
      <c r="M348" s="4" t="s">
        <v>54</v>
      </c>
      <c r="N348" s="4" t="s">
        <v>134</v>
      </c>
      <c r="O348" s="4">
        <v>43026.208333333328</v>
      </c>
      <c r="P348" t="b">
        <v>0</v>
      </c>
      <c r="Q348" t="b">
        <v>1</v>
      </c>
      <c r="R348" t="s">
        <v>154</v>
      </c>
      <c r="S348" t="str" cm="1">
        <f t="array" ref="S348:T348">_xlfn.TEXTSPLIT(R348, "/", , FALSE)</f>
        <v>music</v>
      </c>
      <c r="T348" t="str">
        <v>indie rock</v>
      </c>
    </row>
    <row r="349" spans="1:20" ht="17" x14ac:dyDescent="0.2">
      <c r="A349">
        <v>347</v>
      </c>
      <c r="B349" t="s">
        <v>841</v>
      </c>
      <c r="C349" s="3" t="s">
        <v>842</v>
      </c>
      <c r="D349">
        <v>900</v>
      </c>
      <c r="E349">
        <v>12607</v>
      </c>
      <c r="F349" s="5">
        <f t="shared" si="10"/>
        <v>14.007777777777777</v>
      </c>
      <c r="G349" t="s">
        <v>8</v>
      </c>
      <c r="H349">
        <v>191</v>
      </c>
      <c r="I349">
        <f t="shared" si="11"/>
        <v>66.005235602094245</v>
      </c>
      <c r="J349" t="s">
        <v>109</v>
      </c>
      <c r="K349" t="s">
        <v>110</v>
      </c>
      <c r="L349" s="4">
        <v>42046.25</v>
      </c>
      <c r="M349" s="4" t="s">
        <v>48</v>
      </c>
      <c r="N349" s="4" t="s">
        <v>105</v>
      </c>
      <c r="O349" s="4">
        <v>42070.25</v>
      </c>
      <c r="P349" t="b">
        <v>0</v>
      </c>
      <c r="Q349" t="b">
        <v>0</v>
      </c>
      <c r="R349" t="s">
        <v>118</v>
      </c>
      <c r="S349" t="str" cm="1">
        <f t="array" ref="S349:T349">_xlfn.TEXTSPLIT(R349, "/", , FALSE)</f>
        <v>technology</v>
      </c>
      <c r="T349" t="str">
        <v>web</v>
      </c>
    </row>
    <row r="350" spans="1:20" ht="17" x14ac:dyDescent="0.2">
      <c r="A350">
        <v>348</v>
      </c>
      <c r="B350" t="s">
        <v>843</v>
      </c>
      <c r="C350" s="3" t="s">
        <v>844</v>
      </c>
      <c r="D350">
        <v>199000</v>
      </c>
      <c r="E350">
        <v>142823</v>
      </c>
      <c r="F350" s="5">
        <f t="shared" si="10"/>
        <v>0.71770351758793971</v>
      </c>
      <c r="G350" t="s">
        <v>6</v>
      </c>
      <c r="H350">
        <v>3483</v>
      </c>
      <c r="I350">
        <f t="shared" si="11"/>
        <v>41.005742176284812</v>
      </c>
      <c r="J350" t="s">
        <v>109</v>
      </c>
      <c r="K350" t="s">
        <v>110</v>
      </c>
      <c r="L350" s="4">
        <v>42782.25</v>
      </c>
      <c r="M350" s="4" t="s">
        <v>48</v>
      </c>
      <c r="N350" s="4" t="s">
        <v>134</v>
      </c>
      <c r="O350" s="4">
        <v>42795.25</v>
      </c>
      <c r="P350" t="b">
        <v>0</v>
      </c>
      <c r="Q350" t="b">
        <v>0</v>
      </c>
      <c r="R350" t="s">
        <v>106</v>
      </c>
      <c r="S350" t="str" cm="1">
        <f t="array" ref="S350:T350">_xlfn.TEXTSPLIT(R350, "/", , FALSE)</f>
        <v>food</v>
      </c>
      <c r="T350" t="str">
        <v>food trucks</v>
      </c>
    </row>
    <row r="351" spans="1:20" ht="17" x14ac:dyDescent="0.2">
      <c r="A351">
        <v>349</v>
      </c>
      <c r="B351" t="s">
        <v>845</v>
      </c>
      <c r="C351" s="3" t="s">
        <v>846</v>
      </c>
      <c r="D351">
        <v>180800</v>
      </c>
      <c r="E351">
        <v>95958</v>
      </c>
      <c r="F351" s="5">
        <f t="shared" si="10"/>
        <v>0.53074115044247783</v>
      </c>
      <c r="G351" t="s">
        <v>6</v>
      </c>
      <c r="H351">
        <v>923</v>
      </c>
      <c r="I351">
        <f t="shared" si="11"/>
        <v>103.96316359696641</v>
      </c>
      <c r="J351" t="s">
        <v>109</v>
      </c>
      <c r="K351" t="s">
        <v>110</v>
      </c>
      <c r="L351" s="4">
        <v>42930.208333333328</v>
      </c>
      <c r="M351" s="4" t="s">
        <v>53</v>
      </c>
      <c r="N351" s="4" t="s">
        <v>134</v>
      </c>
      <c r="O351" s="4">
        <v>42960.208333333328</v>
      </c>
      <c r="P351" t="b">
        <v>0</v>
      </c>
      <c r="Q351" t="b">
        <v>0</v>
      </c>
      <c r="R351" t="s">
        <v>124</v>
      </c>
      <c r="S351" t="str" cm="1">
        <f t="array" ref="S351:T351">_xlfn.TEXTSPLIT(R351, "/", , FALSE)</f>
        <v>theater</v>
      </c>
      <c r="T351" t="str">
        <v>plays</v>
      </c>
    </row>
    <row r="352" spans="1:20" ht="17" x14ac:dyDescent="0.2">
      <c r="A352">
        <v>350</v>
      </c>
      <c r="B352" t="s">
        <v>847</v>
      </c>
      <c r="C352" s="3" t="s">
        <v>848</v>
      </c>
      <c r="D352">
        <v>100</v>
      </c>
      <c r="E352">
        <v>5</v>
      </c>
      <c r="F352" s="5">
        <f t="shared" si="10"/>
        <v>0.05</v>
      </c>
      <c r="G352" t="s">
        <v>6</v>
      </c>
      <c r="H352">
        <v>1</v>
      </c>
      <c r="I352">
        <f t="shared" si="11"/>
        <v>5</v>
      </c>
      <c r="J352" t="s">
        <v>109</v>
      </c>
      <c r="K352" t="s">
        <v>110</v>
      </c>
      <c r="L352" s="4">
        <v>42144.208333333328</v>
      </c>
      <c r="M352" s="4" t="s">
        <v>51</v>
      </c>
      <c r="N352" s="4" t="s">
        <v>105</v>
      </c>
      <c r="O352" s="4">
        <v>42162.208333333328</v>
      </c>
      <c r="P352" t="b">
        <v>0</v>
      </c>
      <c r="Q352" t="b">
        <v>1</v>
      </c>
      <c r="R352" t="s">
        <v>254</v>
      </c>
      <c r="S352" t="str" cm="1">
        <f t="array" ref="S352:T352">_xlfn.TEXTSPLIT(R352, "/", , FALSE)</f>
        <v>music</v>
      </c>
      <c r="T352" t="str">
        <v>jazz</v>
      </c>
    </row>
    <row r="353" spans="1:20" ht="17" x14ac:dyDescent="0.2">
      <c r="A353">
        <v>351</v>
      </c>
      <c r="B353" t="s">
        <v>849</v>
      </c>
      <c r="C353" s="3" t="s">
        <v>850</v>
      </c>
      <c r="D353">
        <v>74100</v>
      </c>
      <c r="E353">
        <v>94631</v>
      </c>
      <c r="F353" s="5">
        <f t="shared" si="10"/>
        <v>1.2770715249662619</v>
      </c>
      <c r="G353" t="s">
        <v>8</v>
      </c>
      <c r="H353">
        <v>2013</v>
      </c>
      <c r="I353">
        <f t="shared" si="11"/>
        <v>47.009935419771487</v>
      </c>
      <c r="J353" t="s">
        <v>109</v>
      </c>
      <c r="K353" t="s">
        <v>110</v>
      </c>
      <c r="L353" s="4">
        <v>42240.208333333328</v>
      </c>
      <c r="M353" s="4" t="s">
        <v>54</v>
      </c>
      <c r="N353" s="4" t="s">
        <v>105</v>
      </c>
      <c r="O353" s="4">
        <v>42254.208333333328</v>
      </c>
      <c r="P353" t="b">
        <v>0</v>
      </c>
      <c r="Q353" t="b">
        <v>0</v>
      </c>
      <c r="R353" t="s">
        <v>112</v>
      </c>
      <c r="S353" t="str" cm="1">
        <f t="array" ref="S353:T353">_xlfn.TEXTSPLIT(R353, "/", , FALSE)</f>
        <v>music</v>
      </c>
      <c r="T353" t="str">
        <v>rock</v>
      </c>
    </row>
    <row r="354" spans="1:20" ht="17" x14ac:dyDescent="0.2">
      <c r="A354">
        <v>352</v>
      </c>
      <c r="B354" t="s">
        <v>851</v>
      </c>
      <c r="C354" s="3" t="s">
        <v>852</v>
      </c>
      <c r="D354">
        <v>2800</v>
      </c>
      <c r="E354">
        <v>977</v>
      </c>
      <c r="F354" s="5">
        <f t="shared" si="10"/>
        <v>0.34892857142857142</v>
      </c>
      <c r="G354" t="s">
        <v>6</v>
      </c>
      <c r="H354">
        <v>33</v>
      </c>
      <c r="I354">
        <f t="shared" si="11"/>
        <v>29.606060606060606</v>
      </c>
      <c r="J354" t="s">
        <v>103</v>
      </c>
      <c r="K354" t="s">
        <v>104</v>
      </c>
      <c r="L354" s="4">
        <v>42315.25</v>
      </c>
      <c r="M354" s="4" t="s">
        <v>57</v>
      </c>
      <c r="N354" s="4" t="s">
        <v>105</v>
      </c>
      <c r="O354" s="4">
        <v>42323.25</v>
      </c>
      <c r="P354" t="b">
        <v>0</v>
      </c>
      <c r="Q354" t="b">
        <v>0</v>
      </c>
      <c r="R354" t="s">
        <v>124</v>
      </c>
      <c r="S354" t="str" cm="1">
        <f t="array" ref="S354:T354">_xlfn.TEXTSPLIT(R354, "/", , FALSE)</f>
        <v>theater</v>
      </c>
      <c r="T354" t="str">
        <v>plays</v>
      </c>
    </row>
    <row r="355" spans="1:20" ht="17" x14ac:dyDescent="0.2">
      <c r="A355">
        <v>353</v>
      </c>
      <c r="B355" t="s">
        <v>853</v>
      </c>
      <c r="C355" s="3" t="s">
        <v>854</v>
      </c>
      <c r="D355">
        <v>33600</v>
      </c>
      <c r="E355">
        <v>137961</v>
      </c>
      <c r="F355" s="5">
        <f t="shared" si="10"/>
        <v>4.105982142857143</v>
      </c>
      <c r="G355" t="s">
        <v>8</v>
      </c>
      <c r="H355">
        <v>1703</v>
      </c>
      <c r="I355">
        <f t="shared" si="11"/>
        <v>81.010569583088667</v>
      </c>
      <c r="J355" t="s">
        <v>109</v>
      </c>
      <c r="K355" t="s">
        <v>110</v>
      </c>
      <c r="L355" s="4">
        <v>43651.208333333328</v>
      </c>
      <c r="M355" s="4" t="s">
        <v>53</v>
      </c>
      <c r="N355" s="4" t="s">
        <v>121</v>
      </c>
      <c r="O355" s="4">
        <v>43652.208333333328</v>
      </c>
      <c r="P355" t="b">
        <v>0</v>
      </c>
      <c r="Q355" t="b">
        <v>0</v>
      </c>
      <c r="R355" t="s">
        <v>124</v>
      </c>
      <c r="S355" t="str" cm="1">
        <f t="array" ref="S355:T355">_xlfn.TEXTSPLIT(R355, "/", , FALSE)</f>
        <v>theater</v>
      </c>
      <c r="T355" t="str">
        <v>plays</v>
      </c>
    </row>
    <row r="356" spans="1:20" ht="17" x14ac:dyDescent="0.2">
      <c r="A356">
        <v>354</v>
      </c>
      <c r="B356" t="s">
        <v>855</v>
      </c>
      <c r="C356" s="3" t="s">
        <v>856</v>
      </c>
      <c r="D356">
        <v>6100</v>
      </c>
      <c r="E356">
        <v>7548</v>
      </c>
      <c r="F356" s="5">
        <f t="shared" si="10"/>
        <v>1.2373770491803278</v>
      </c>
      <c r="G356" t="s">
        <v>8</v>
      </c>
      <c r="H356">
        <v>80</v>
      </c>
      <c r="I356">
        <f t="shared" si="11"/>
        <v>94.35</v>
      </c>
      <c r="J356" t="s">
        <v>127</v>
      </c>
      <c r="K356" t="s">
        <v>128</v>
      </c>
      <c r="L356" s="4">
        <v>41520.208333333336</v>
      </c>
      <c r="M356" s="4" t="s">
        <v>55</v>
      </c>
      <c r="N356" s="4" t="s">
        <v>117</v>
      </c>
      <c r="O356" s="4">
        <v>41527.208333333336</v>
      </c>
      <c r="P356" t="b">
        <v>0</v>
      </c>
      <c r="Q356" t="b">
        <v>0</v>
      </c>
      <c r="R356" t="s">
        <v>135</v>
      </c>
      <c r="S356" t="str" cm="1">
        <f t="array" ref="S356:T356">_xlfn.TEXTSPLIT(R356, "/", , FALSE)</f>
        <v>film &amp; video</v>
      </c>
      <c r="T356" t="str">
        <v>documentary</v>
      </c>
    </row>
    <row r="357" spans="1:20" ht="17" x14ac:dyDescent="0.2">
      <c r="A357">
        <v>355</v>
      </c>
      <c r="B357" t="s">
        <v>857</v>
      </c>
      <c r="C357" s="3" t="s">
        <v>858</v>
      </c>
      <c r="D357">
        <v>3800</v>
      </c>
      <c r="E357">
        <v>2241</v>
      </c>
      <c r="F357" s="5">
        <f t="shared" si="10"/>
        <v>0.58973684210526311</v>
      </c>
      <c r="G357" t="s">
        <v>7</v>
      </c>
      <c r="H357">
        <v>86</v>
      </c>
      <c r="I357">
        <f t="shared" si="11"/>
        <v>26.058139534883722</v>
      </c>
      <c r="J357" t="s">
        <v>109</v>
      </c>
      <c r="K357" t="s">
        <v>110</v>
      </c>
      <c r="L357" s="4">
        <v>42757.25</v>
      </c>
      <c r="M357" s="4" t="s">
        <v>47</v>
      </c>
      <c r="N357" s="4" t="s">
        <v>134</v>
      </c>
      <c r="O357" s="4">
        <v>42797.25</v>
      </c>
      <c r="P357" t="b">
        <v>0</v>
      </c>
      <c r="Q357" t="b">
        <v>0</v>
      </c>
      <c r="R357" t="s">
        <v>159</v>
      </c>
      <c r="S357" t="str" cm="1">
        <f t="array" ref="S357:T357">_xlfn.TEXTSPLIT(R357, "/", , FALSE)</f>
        <v>technology</v>
      </c>
      <c r="T357" t="str">
        <v>wearables</v>
      </c>
    </row>
    <row r="358" spans="1:20" ht="17" x14ac:dyDescent="0.2">
      <c r="A358">
        <v>356</v>
      </c>
      <c r="B358" t="s">
        <v>859</v>
      </c>
      <c r="C358" s="3" t="s">
        <v>860</v>
      </c>
      <c r="D358">
        <v>9300</v>
      </c>
      <c r="E358">
        <v>3431</v>
      </c>
      <c r="F358" s="5">
        <f t="shared" si="10"/>
        <v>0.36892473118279567</v>
      </c>
      <c r="G358" t="s">
        <v>6</v>
      </c>
      <c r="H358">
        <v>40</v>
      </c>
      <c r="I358">
        <f t="shared" si="11"/>
        <v>85.775000000000006</v>
      </c>
      <c r="J358" t="s">
        <v>202</v>
      </c>
      <c r="K358" t="s">
        <v>203</v>
      </c>
      <c r="L358" s="4">
        <v>40922.25</v>
      </c>
      <c r="M358" s="4" t="s">
        <v>47</v>
      </c>
      <c r="N358" s="4" t="s">
        <v>129</v>
      </c>
      <c r="O358" s="4">
        <v>40931.25</v>
      </c>
      <c r="P358" t="b">
        <v>0</v>
      </c>
      <c r="Q358" t="b">
        <v>0</v>
      </c>
      <c r="R358" t="s">
        <v>124</v>
      </c>
      <c r="S358" t="str" cm="1">
        <f t="array" ref="S358:T358">_xlfn.TEXTSPLIT(R358, "/", , FALSE)</f>
        <v>theater</v>
      </c>
      <c r="T358" t="str">
        <v>plays</v>
      </c>
    </row>
    <row r="359" spans="1:20" ht="17" x14ac:dyDescent="0.2">
      <c r="A359">
        <v>357</v>
      </c>
      <c r="B359" t="s">
        <v>861</v>
      </c>
      <c r="C359" s="3" t="s">
        <v>862</v>
      </c>
      <c r="D359">
        <v>2300</v>
      </c>
      <c r="E359">
        <v>4253</v>
      </c>
      <c r="F359" s="5">
        <f t="shared" si="10"/>
        <v>1.8491304347826087</v>
      </c>
      <c r="G359" t="s">
        <v>8</v>
      </c>
      <c r="H359">
        <v>41</v>
      </c>
      <c r="I359">
        <f t="shared" si="11"/>
        <v>103.73170731707317</v>
      </c>
      <c r="J359" t="s">
        <v>109</v>
      </c>
      <c r="K359" t="s">
        <v>110</v>
      </c>
      <c r="L359" s="4">
        <v>42250.208333333328</v>
      </c>
      <c r="M359" s="4" t="s">
        <v>55</v>
      </c>
      <c r="N359" s="4" t="s">
        <v>105</v>
      </c>
      <c r="O359" s="4">
        <v>42275.208333333328</v>
      </c>
      <c r="P359" t="b">
        <v>0</v>
      </c>
      <c r="Q359" t="b">
        <v>0</v>
      </c>
      <c r="R359" t="s">
        <v>184</v>
      </c>
      <c r="S359" t="str" cm="1">
        <f t="array" ref="S359:T359">_xlfn.TEXTSPLIT(R359, "/", , FALSE)</f>
        <v>games</v>
      </c>
      <c r="T359" t="str">
        <v>video games</v>
      </c>
    </row>
    <row r="360" spans="1:20" ht="17" x14ac:dyDescent="0.2">
      <c r="A360">
        <v>358</v>
      </c>
      <c r="B360" t="s">
        <v>863</v>
      </c>
      <c r="C360" s="3" t="s">
        <v>864</v>
      </c>
      <c r="D360">
        <v>9700</v>
      </c>
      <c r="E360">
        <v>1146</v>
      </c>
      <c r="F360" s="5">
        <f t="shared" si="10"/>
        <v>0.11814432989690722</v>
      </c>
      <c r="G360" t="s">
        <v>6</v>
      </c>
      <c r="H360">
        <v>23</v>
      </c>
      <c r="I360">
        <f t="shared" si="11"/>
        <v>49.826086956521742</v>
      </c>
      <c r="J360" t="s">
        <v>103</v>
      </c>
      <c r="K360" t="s">
        <v>104</v>
      </c>
      <c r="L360" s="4">
        <v>43322.208333333328</v>
      </c>
      <c r="M360" s="4" t="s">
        <v>54</v>
      </c>
      <c r="N360" s="4" t="s">
        <v>169</v>
      </c>
      <c r="O360" s="4">
        <v>43325.208333333328</v>
      </c>
      <c r="P360" t="b">
        <v>1</v>
      </c>
      <c r="Q360" t="b">
        <v>0</v>
      </c>
      <c r="R360" t="s">
        <v>217</v>
      </c>
      <c r="S360" t="str" cm="1">
        <f t="array" ref="S360:T360">_xlfn.TEXTSPLIT(R360, "/", , FALSE)</f>
        <v>photography</v>
      </c>
      <c r="T360" t="str">
        <v>photography books</v>
      </c>
    </row>
    <row r="361" spans="1:20" ht="17" x14ac:dyDescent="0.2">
      <c r="A361">
        <v>359</v>
      </c>
      <c r="B361" t="s">
        <v>865</v>
      </c>
      <c r="C361" s="3" t="s">
        <v>866</v>
      </c>
      <c r="D361">
        <v>4000</v>
      </c>
      <c r="E361">
        <v>11948</v>
      </c>
      <c r="F361" s="5">
        <f t="shared" si="10"/>
        <v>2.9870000000000001</v>
      </c>
      <c r="G361" t="s">
        <v>8</v>
      </c>
      <c r="H361">
        <v>187</v>
      </c>
      <c r="I361">
        <f t="shared" si="11"/>
        <v>63.893048128342244</v>
      </c>
      <c r="J361" t="s">
        <v>109</v>
      </c>
      <c r="K361" t="s">
        <v>110</v>
      </c>
      <c r="L361" s="4">
        <v>40782.208333333336</v>
      </c>
      <c r="M361" s="4" t="s">
        <v>54</v>
      </c>
      <c r="N361" s="4" t="s">
        <v>165</v>
      </c>
      <c r="O361" s="4">
        <v>40789.208333333336</v>
      </c>
      <c r="P361" t="b">
        <v>0</v>
      </c>
      <c r="Q361" t="b">
        <v>0</v>
      </c>
      <c r="R361" t="s">
        <v>166</v>
      </c>
      <c r="S361" t="str" cm="1">
        <f t="array" ref="S361:T361">_xlfn.TEXTSPLIT(R361, "/", , FALSE)</f>
        <v>film &amp; video</v>
      </c>
      <c r="T361" t="str">
        <v>animation</v>
      </c>
    </row>
    <row r="362" spans="1:20" ht="17" x14ac:dyDescent="0.2">
      <c r="A362">
        <v>360</v>
      </c>
      <c r="B362" t="s">
        <v>867</v>
      </c>
      <c r="C362" s="3" t="s">
        <v>868</v>
      </c>
      <c r="D362">
        <v>59700</v>
      </c>
      <c r="E362">
        <v>135132</v>
      </c>
      <c r="F362" s="5">
        <f t="shared" si="10"/>
        <v>2.2635175879396985</v>
      </c>
      <c r="G362" t="s">
        <v>8</v>
      </c>
      <c r="H362">
        <v>2875</v>
      </c>
      <c r="I362">
        <f t="shared" si="11"/>
        <v>47.002434782608695</v>
      </c>
      <c r="J362" t="s">
        <v>132</v>
      </c>
      <c r="K362" t="s">
        <v>133</v>
      </c>
      <c r="L362" s="4">
        <v>40544.25</v>
      </c>
      <c r="M362" s="4" t="s">
        <v>47</v>
      </c>
      <c r="N362" s="4" t="s">
        <v>165</v>
      </c>
      <c r="O362" s="4">
        <v>40558.25</v>
      </c>
      <c r="P362" t="b">
        <v>0</v>
      </c>
      <c r="Q362" t="b">
        <v>1</v>
      </c>
      <c r="R362" t="s">
        <v>124</v>
      </c>
      <c r="S362" t="str" cm="1">
        <f t="array" ref="S362:T362">_xlfn.TEXTSPLIT(R362, "/", , FALSE)</f>
        <v>theater</v>
      </c>
      <c r="T362" t="str">
        <v>plays</v>
      </c>
    </row>
    <row r="363" spans="1:20" ht="17" x14ac:dyDescent="0.2">
      <c r="A363">
        <v>361</v>
      </c>
      <c r="B363" t="s">
        <v>869</v>
      </c>
      <c r="C363" s="3" t="s">
        <v>870</v>
      </c>
      <c r="D363">
        <v>5500</v>
      </c>
      <c r="E363">
        <v>9546</v>
      </c>
      <c r="F363" s="5">
        <f t="shared" si="10"/>
        <v>1.7356363636363636</v>
      </c>
      <c r="G363" t="s">
        <v>8</v>
      </c>
      <c r="H363">
        <v>88</v>
      </c>
      <c r="I363">
        <f t="shared" si="11"/>
        <v>108.47727272727273</v>
      </c>
      <c r="J363" t="s">
        <v>109</v>
      </c>
      <c r="K363" t="s">
        <v>110</v>
      </c>
      <c r="L363" s="4">
        <v>43015.208333333328</v>
      </c>
      <c r="M363" s="4" t="s">
        <v>56</v>
      </c>
      <c r="N363" s="4" t="s">
        <v>134</v>
      </c>
      <c r="O363" s="4">
        <v>43039.208333333328</v>
      </c>
      <c r="P363" t="b">
        <v>0</v>
      </c>
      <c r="Q363" t="b">
        <v>0</v>
      </c>
      <c r="R363" t="s">
        <v>124</v>
      </c>
      <c r="S363" t="str" cm="1">
        <f t="array" ref="S363:T363">_xlfn.TEXTSPLIT(R363, "/", , FALSE)</f>
        <v>theater</v>
      </c>
      <c r="T363" t="str">
        <v>plays</v>
      </c>
    </row>
    <row r="364" spans="1:20" ht="17" x14ac:dyDescent="0.2">
      <c r="A364">
        <v>362</v>
      </c>
      <c r="B364" t="s">
        <v>871</v>
      </c>
      <c r="C364" s="3" t="s">
        <v>872</v>
      </c>
      <c r="D364">
        <v>3700</v>
      </c>
      <c r="E364">
        <v>13755</v>
      </c>
      <c r="F364" s="5">
        <f t="shared" si="10"/>
        <v>3.7175675675675675</v>
      </c>
      <c r="G364" t="s">
        <v>8</v>
      </c>
      <c r="H364">
        <v>191</v>
      </c>
      <c r="I364">
        <f t="shared" si="11"/>
        <v>72.015706806282722</v>
      </c>
      <c r="J364" t="s">
        <v>109</v>
      </c>
      <c r="K364" t="s">
        <v>110</v>
      </c>
      <c r="L364" s="4">
        <v>40570.25</v>
      </c>
      <c r="M364" s="4" t="s">
        <v>47</v>
      </c>
      <c r="N364" s="4" t="s">
        <v>165</v>
      </c>
      <c r="O364" s="4">
        <v>40608.25</v>
      </c>
      <c r="P364" t="b">
        <v>0</v>
      </c>
      <c r="Q364" t="b">
        <v>0</v>
      </c>
      <c r="R364" t="s">
        <v>112</v>
      </c>
      <c r="S364" t="str" cm="1">
        <f t="array" ref="S364:T364">_xlfn.TEXTSPLIT(R364, "/", , FALSE)</f>
        <v>music</v>
      </c>
      <c r="T364" t="str">
        <v>rock</v>
      </c>
    </row>
    <row r="365" spans="1:20" ht="17" x14ac:dyDescent="0.2">
      <c r="A365">
        <v>363</v>
      </c>
      <c r="B365" t="s">
        <v>873</v>
      </c>
      <c r="C365" s="3" t="s">
        <v>874</v>
      </c>
      <c r="D365">
        <v>5200</v>
      </c>
      <c r="E365">
        <v>8330</v>
      </c>
      <c r="F365" s="5">
        <f t="shared" si="10"/>
        <v>1.601923076923077</v>
      </c>
      <c r="G365" t="s">
        <v>8</v>
      </c>
      <c r="H365">
        <v>139</v>
      </c>
      <c r="I365">
        <f t="shared" si="11"/>
        <v>59.928057553956833</v>
      </c>
      <c r="J365" t="s">
        <v>109</v>
      </c>
      <c r="K365" t="s">
        <v>110</v>
      </c>
      <c r="L365" s="4">
        <v>40904.25</v>
      </c>
      <c r="M365" s="4" t="s">
        <v>58</v>
      </c>
      <c r="N365" s="4" t="s">
        <v>165</v>
      </c>
      <c r="O365" s="4">
        <v>40905.25</v>
      </c>
      <c r="P365" t="b">
        <v>0</v>
      </c>
      <c r="Q365" t="b">
        <v>0</v>
      </c>
      <c r="R365" t="s">
        <v>112</v>
      </c>
      <c r="S365" t="str" cm="1">
        <f t="array" ref="S365:T365">_xlfn.TEXTSPLIT(R365, "/", , FALSE)</f>
        <v>music</v>
      </c>
      <c r="T365" t="str">
        <v>rock</v>
      </c>
    </row>
    <row r="366" spans="1:20" ht="17" x14ac:dyDescent="0.2">
      <c r="A366">
        <v>364</v>
      </c>
      <c r="B366" t="s">
        <v>875</v>
      </c>
      <c r="C366" s="3" t="s">
        <v>876</v>
      </c>
      <c r="D366">
        <v>900</v>
      </c>
      <c r="E366">
        <v>14547</v>
      </c>
      <c r="F366" s="5">
        <f t="shared" si="10"/>
        <v>16.163333333333334</v>
      </c>
      <c r="G366" t="s">
        <v>8</v>
      </c>
      <c r="H366">
        <v>186</v>
      </c>
      <c r="I366">
        <f t="shared" si="11"/>
        <v>78.209677419354833</v>
      </c>
      <c r="J366" t="s">
        <v>109</v>
      </c>
      <c r="K366" t="s">
        <v>110</v>
      </c>
      <c r="L366" s="4">
        <v>43164.25</v>
      </c>
      <c r="M366" s="4" t="s">
        <v>49</v>
      </c>
      <c r="N366" s="4" t="s">
        <v>169</v>
      </c>
      <c r="O366" s="4">
        <v>43194.208333333328</v>
      </c>
      <c r="P366" t="b">
        <v>0</v>
      </c>
      <c r="Q366" t="b">
        <v>0</v>
      </c>
      <c r="R366" t="s">
        <v>154</v>
      </c>
      <c r="S366" t="str" cm="1">
        <f t="array" ref="S366:T366">_xlfn.TEXTSPLIT(R366, "/", , FALSE)</f>
        <v>music</v>
      </c>
      <c r="T366" t="str">
        <v>indie rock</v>
      </c>
    </row>
    <row r="367" spans="1:20" ht="17" x14ac:dyDescent="0.2">
      <c r="A367">
        <v>365</v>
      </c>
      <c r="B367" t="s">
        <v>877</v>
      </c>
      <c r="C367" s="3" t="s">
        <v>878</v>
      </c>
      <c r="D367">
        <v>1600</v>
      </c>
      <c r="E367">
        <v>11735</v>
      </c>
      <c r="F367" s="5">
        <f t="shared" si="10"/>
        <v>7.3343749999999996</v>
      </c>
      <c r="G367" t="s">
        <v>8</v>
      </c>
      <c r="H367">
        <v>112</v>
      </c>
      <c r="I367">
        <f t="shared" si="11"/>
        <v>104.77678571428571</v>
      </c>
      <c r="J367" t="s">
        <v>115</v>
      </c>
      <c r="K367" t="s">
        <v>116</v>
      </c>
      <c r="L367" s="4">
        <v>42733.25</v>
      </c>
      <c r="M367" s="4" t="s">
        <v>58</v>
      </c>
      <c r="N367" s="4" t="s">
        <v>153</v>
      </c>
      <c r="O367" s="4">
        <v>42760.25</v>
      </c>
      <c r="P367" t="b">
        <v>0</v>
      </c>
      <c r="Q367" t="b">
        <v>0</v>
      </c>
      <c r="R367" t="s">
        <v>124</v>
      </c>
      <c r="S367" t="str" cm="1">
        <f t="array" ref="S367:T367">_xlfn.TEXTSPLIT(R367, "/", , FALSE)</f>
        <v>theater</v>
      </c>
      <c r="T367" t="str">
        <v>plays</v>
      </c>
    </row>
    <row r="368" spans="1:20" ht="17" x14ac:dyDescent="0.2">
      <c r="A368">
        <v>366</v>
      </c>
      <c r="B368" t="s">
        <v>879</v>
      </c>
      <c r="C368" s="3" t="s">
        <v>880</v>
      </c>
      <c r="D368">
        <v>1800</v>
      </c>
      <c r="E368">
        <v>10658</v>
      </c>
      <c r="F368" s="5">
        <f t="shared" si="10"/>
        <v>5.9211111111111112</v>
      </c>
      <c r="G368" t="s">
        <v>8</v>
      </c>
      <c r="H368">
        <v>101</v>
      </c>
      <c r="I368">
        <f t="shared" si="11"/>
        <v>105.52475247524752</v>
      </c>
      <c r="J368" t="s">
        <v>109</v>
      </c>
      <c r="K368" t="s">
        <v>110</v>
      </c>
      <c r="L368" s="4">
        <v>40546.25</v>
      </c>
      <c r="M368" s="4" t="s">
        <v>47</v>
      </c>
      <c r="N368" s="4" t="s">
        <v>165</v>
      </c>
      <c r="O368" s="4">
        <v>40547.25</v>
      </c>
      <c r="P368" t="b">
        <v>0</v>
      </c>
      <c r="Q368" t="b">
        <v>1</v>
      </c>
      <c r="R368" t="s">
        <v>124</v>
      </c>
      <c r="S368" t="str" cm="1">
        <f t="array" ref="S368:T368">_xlfn.TEXTSPLIT(R368, "/", , FALSE)</f>
        <v>theater</v>
      </c>
      <c r="T368" t="str">
        <v>plays</v>
      </c>
    </row>
    <row r="369" spans="1:20" ht="17" x14ac:dyDescent="0.2">
      <c r="A369">
        <v>367</v>
      </c>
      <c r="B369" t="s">
        <v>881</v>
      </c>
      <c r="C369" s="3" t="s">
        <v>882</v>
      </c>
      <c r="D369">
        <v>9900</v>
      </c>
      <c r="E369">
        <v>1870</v>
      </c>
      <c r="F369" s="5">
        <f t="shared" si="10"/>
        <v>0.18888888888888888</v>
      </c>
      <c r="G369" t="s">
        <v>6</v>
      </c>
      <c r="H369">
        <v>75</v>
      </c>
      <c r="I369">
        <f t="shared" si="11"/>
        <v>24.933333333333334</v>
      </c>
      <c r="J369" t="s">
        <v>109</v>
      </c>
      <c r="K369" t="s">
        <v>110</v>
      </c>
      <c r="L369" s="4">
        <v>41930.208333333336</v>
      </c>
      <c r="M369" s="4" t="s">
        <v>56</v>
      </c>
      <c r="N369" s="4" t="s">
        <v>111</v>
      </c>
      <c r="O369" s="4">
        <v>41954.25</v>
      </c>
      <c r="P369" t="b">
        <v>0</v>
      </c>
      <c r="Q369" t="b">
        <v>1</v>
      </c>
      <c r="R369" t="s">
        <v>124</v>
      </c>
      <c r="S369" t="str" cm="1">
        <f t="array" ref="S369:T369">_xlfn.TEXTSPLIT(R369, "/", , FALSE)</f>
        <v>theater</v>
      </c>
      <c r="T369" t="str">
        <v>plays</v>
      </c>
    </row>
    <row r="370" spans="1:20" ht="17" x14ac:dyDescent="0.2">
      <c r="A370">
        <v>368</v>
      </c>
      <c r="B370" t="s">
        <v>883</v>
      </c>
      <c r="C370" s="3" t="s">
        <v>884</v>
      </c>
      <c r="D370">
        <v>5200</v>
      </c>
      <c r="E370">
        <v>14394</v>
      </c>
      <c r="F370" s="5">
        <f t="shared" si="10"/>
        <v>2.7680769230769231</v>
      </c>
      <c r="G370" t="s">
        <v>8</v>
      </c>
      <c r="H370">
        <v>206</v>
      </c>
      <c r="I370">
        <f t="shared" si="11"/>
        <v>69.873786407766985</v>
      </c>
      <c r="J370" t="s">
        <v>132</v>
      </c>
      <c r="K370" t="s">
        <v>133</v>
      </c>
      <c r="L370" s="4">
        <v>40464.208333333336</v>
      </c>
      <c r="M370" s="4" t="s">
        <v>56</v>
      </c>
      <c r="N370" s="4" t="s">
        <v>140</v>
      </c>
      <c r="O370" s="4">
        <v>40487.208333333336</v>
      </c>
      <c r="P370" t="b">
        <v>0</v>
      </c>
      <c r="Q370" t="b">
        <v>1</v>
      </c>
      <c r="R370" t="s">
        <v>135</v>
      </c>
      <c r="S370" t="str" cm="1">
        <f t="array" ref="S370:T370">_xlfn.TEXTSPLIT(R370, "/", , FALSE)</f>
        <v>film &amp; video</v>
      </c>
      <c r="T370" t="str">
        <v>documentary</v>
      </c>
    </row>
    <row r="371" spans="1:20" ht="17" x14ac:dyDescent="0.2">
      <c r="A371">
        <v>369</v>
      </c>
      <c r="B371" t="s">
        <v>885</v>
      </c>
      <c r="C371" s="3" t="s">
        <v>886</v>
      </c>
      <c r="D371">
        <v>5400</v>
      </c>
      <c r="E371">
        <v>14743</v>
      </c>
      <c r="F371" s="5">
        <f t="shared" si="10"/>
        <v>2.730185185185185</v>
      </c>
      <c r="G371" t="s">
        <v>8</v>
      </c>
      <c r="H371">
        <v>154</v>
      </c>
      <c r="I371">
        <f t="shared" si="11"/>
        <v>95.733766233766232</v>
      </c>
      <c r="J371" t="s">
        <v>109</v>
      </c>
      <c r="K371" t="s">
        <v>110</v>
      </c>
      <c r="L371" s="4">
        <v>41308.25</v>
      </c>
      <c r="M371" s="4" t="s">
        <v>48</v>
      </c>
      <c r="N371" s="4" t="s">
        <v>117</v>
      </c>
      <c r="O371" s="4">
        <v>41347.208333333336</v>
      </c>
      <c r="P371" t="b">
        <v>0</v>
      </c>
      <c r="Q371" t="b">
        <v>1</v>
      </c>
      <c r="R371" t="s">
        <v>364</v>
      </c>
      <c r="S371" t="str" cm="1">
        <f t="array" ref="S371:T371">_xlfn.TEXTSPLIT(R371, "/", , FALSE)</f>
        <v>film &amp; video</v>
      </c>
      <c r="T371" t="str">
        <v>television</v>
      </c>
    </row>
    <row r="372" spans="1:20" ht="17" x14ac:dyDescent="0.2">
      <c r="A372">
        <v>370</v>
      </c>
      <c r="B372" t="s">
        <v>887</v>
      </c>
      <c r="C372" s="3" t="s">
        <v>888</v>
      </c>
      <c r="D372">
        <v>112300</v>
      </c>
      <c r="E372">
        <v>178965</v>
      </c>
      <c r="F372" s="5">
        <f t="shared" si="10"/>
        <v>1.593633125556545</v>
      </c>
      <c r="G372" t="s">
        <v>8</v>
      </c>
      <c r="H372">
        <v>5966</v>
      </c>
      <c r="I372">
        <f t="shared" si="11"/>
        <v>29.997485752598056</v>
      </c>
      <c r="J372" t="s">
        <v>109</v>
      </c>
      <c r="K372" t="s">
        <v>110</v>
      </c>
      <c r="L372" s="4">
        <v>43570.208333333328</v>
      </c>
      <c r="M372" s="4" t="s">
        <v>50</v>
      </c>
      <c r="N372" s="4" t="s">
        <v>121</v>
      </c>
      <c r="O372" s="4">
        <v>43576.208333333328</v>
      </c>
      <c r="P372" t="b">
        <v>0</v>
      </c>
      <c r="Q372" t="b">
        <v>0</v>
      </c>
      <c r="R372" t="s">
        <v>124</v>
      </c>
      <c r="S372" t="str" cm="1">
        <f t="array" ref="S372:T372">_xlfn.TEXTSPLIT(R372, "/", , FALSE)</f>
        <v>theater</v>
      </c>
      <c r="T372" t="str">
        <v>plays</v>
      </c>
    </row>
    <row r="373" spans="1:20" ht="17" x14ac:dyDescent="0.2">
      <c r="A373">
        <v>371</v>
      </c>
      <c r="B373" t="s">
        <v>889</v>
      </c>
      <c r="C373" s="3" t="s">
        <v>890</v>
      </c>
      <c r="D373">
        <v>189200</v>
      </c>
      <c r="E373">
        <v>128410</v>
      </c>
      <c r="F373" s="5">
        <f t="shared" si="10"/>
        <v>0.67869978858350954</v>
      </c>
      <c r="G373" t="s">
        <v>6</v>
      </c>
      <c r="H373">
        <v>2176</v>
      </c>
      <c r="I373">
        <f t="shared" si="11"/>
        <v>59.011948529411768</v>
      </c>
      <c r="J373" t="s">
        <v>109</v>
      </c>
      <c r="K373" t="s">
        <v>110</v>
      </c>
      <c r="L373" s="4">
        <v>42043.25</v>
      </c>
      <c r="M373" s="4" t="s">
        <v>48</v>
      </c>
      <c r="N373" s="4" t="s">
        <v>105</v>
      </c>
      <c r="O373" s="4">
        <v>42094.208333333328</v>
      </c>
      <c r="P373" t="b">
        <v>0</v>
      </c>
      <c r="Q373" t="b">
        <v>0</v>
      </c>
      <c r="R373" t="s">
        <v>124</v>
      </c>
      <c r="S373" t="str" cm="1">
        <f t="array" ref="S373:T373">_xlfn.TEXTSPLIT(R373, "/", , FALSE)</f>
        <v>theater</v>
      </c>
      <c r="T373" t="str">
        <v>plays</v>
      </c>
    </row>
    <row r="374" spans="1:20" ht="34" x14ac:dyDescent="0.2">
      <c r="A374">
        <v>372</v>
      </c>
      <c r="B374" t="s">
        <v>891</v>
      </c>
      <c r="C374" s="3" t="s">
        <v>892</v>
      </c>
      <c r="D374">
        <v>900</v>
      </c>
      <c r="E374">
        <v>14324</v>
      </c>
      <c r="F374" s="5">
        <f t="shared" si="10"/>
        <v>15.915555555555555</v>
      </c>
      <c r="G374" t="s">
        <v>8</v>
      </c>
      <c r="H374">
        <v>169</v>
      </c>
      <c r="I374">
        <f t="shared" si="11"/>
        <v>84.757396449704146</v>
      </c>
      <c r="J374" t="s">
        <v>109</v>
      </c>
      <c r="K374" t="s">
        <v>110</v>
      </c>
      <c r="L374" s="4">
        <v>42012.25</v>
      </c>
      <c r="M374" s="4" t="s">
        <v>47</v>
      </c>
      <c r="N374" s="4" t="s">
        <v>105</v>
      </c>
      <c r="O374" s="4">
        <v>42032.25</v>
      </c>
      <c r="P374" t="b">
        <v>0</v>
      </c>
      <c r="Q374" t="b">
        <v>1</v>
      </c>
      <c r="R374" t="s">
        <v>135</v>
      </c>
      <c r="S374" t="str" cm="1">
        <f t="array" ref="S374:T374">_xlfn.TEXTSPLIT(R374, "/", , FALSE)</f>
        <v>film &amp; video</v>
      </c>
      <c r="T374" t="str">
        <v>documentary</v>
      </c>
    </row>
    <row r="375" spans="1:20" ht="17" x14ac:dyDescent="0.2">
      <c r="A375">
        <v>373</v>
      </c>
      <c r="B375" t="s">
        <v>893</v>
      </c>
      <c r="C375" s="3" t="s">
        <v>894</v>
      </c>
      <c r="D375">
        <v>22500</v>
      </c>
      <c r="E375">
        <v>164291</v>
      </c>
      <c r="F375" s="5">
        <f t="shared" si="10"/>
        <v>7.3018222222222224</v>
      </c>
      <c r="G375" t="s">
        <v>8</v>
      </c>
      <c r="H375">
        <v>2106</v>
      </c>
      <c r="I375">
        <f t="shared" si="11"/>
        <v>78.010921177587846</v>
      </c>
      <c r="J375" t="s">
        <v>109</v>
      </c>
      <c r="K375" t="s">
        <v>110</v>
      </c>
      <c r="L375" s="4">
        <v>42964.208333333328</v>
      </c>
      <c r="M375" s="4" t="s">
        <v>54</v>
      </c>
      <c r="N375" s="4" t="s">
        <v>134</v>
      </c>
      <c r="O375" s="4">
        <v>42972.208333333328</v>
      </c>
      <c r="P375" t="b">
        <v>0</v>
      </c>
      <c r="Q375" t="b">
        <v>0</v>
      </c>
      <c r="R375" t="s">
        <v>124</v>
      </c>
      <c r="S375" t="str" cm="1">
        <f t="array" ref="S375:T375">_xlfn.TEXTSPLIT(R375, "/", , FALSE)</f>
        <v>theater</v>
      </c>
      <c r="T375" t="str">
        <v>plays</v>
      </c>
    </row>
    <row r="376" spans="1:20" ht="34" x14ac:dyDescent="0.2">
      <c r="A376">
        <v>374</v>
      </c>
      <c r="B376" t="s">
        <v>895</v>
      </c>
      <c r="C376" s="3" t="s">
        <v>896</v>
      </c>
      <c r="D376">
        <v>167400</v>
      </c>
      <c r="E376">
        <v>22073</v>
      </c>
      <c r="F376" s="5">
        <f t="shared" si="10"/>
        <v>0.13185782556750297</v>
      </c>
      <c r="G376" t="s">
        <v>6</v>
      </c>
      <c r="H376">
        <v>441</v>
      </c>
      <c r="I376">
        <f t="shared" si="11"/>
        <v>50.05215419501134</v>
      </c>
      <c r="J376" t="s">
        <v>109</v>
      </c>
      <c r="K376" t="s">
        <v>110</v>
      </c>
      <c r="L376" s="4">
        <v>43476.25</v>
      </c>
      <c r="M376" s="4" t="s">
        <v>47</v>
      </c>
      <c r="N376" s="4" t="s">
        <v>121</v>
      </c>
      <c r="O376" s="4">
        <v>43481.25</v>
      </c>
      <c r="P376" t="b">
        <v>0</v>
      </c>
      <c r="Q376" t="b">
        <v>1</v>
      </c>
      <c r="R376" t="s">
        <v>135</v>
      </c>
      <c r="S376" t="str" cm="1">
        <f t="array" ref="S376:T376">_xlfn.TEXTSPLIT(R376, "/", , FALSE)</f>
        <v>film &amp; video</v>
      </c>
      <c r="T376" t="str">
        <v>documentary</v>
      </c>
    </row>
    <row r="377" spans="1:20" ht="34" x14ac:dyDescent="0.2">
      <c r="A377">
        <v>375</v>
      </c>
      <c r="B377" t="s">
        <v>897</v>
      </c>
      <c r="C377" s="3" t="s">
        <v>898</v>
      </c>
      <c r="D377">
        <v>2700</v>
      </c>
      <c r="E377">
        <v>1479</v>
      </c>
      <c r="F377" s="5">
        <f t="shared" si="10"/>
        <v>0.54777777777777781</v>
      </c>
      <c r="G377" t="s">
        <v>6</v>
      </c>
      <c r="H377">
        <v>25</v>
      </c>
      <c r="I377">
        <f t="shared" si="11"/>
        <v>59.16</v>
      </c>
      <c r="J377" t="s">
        <v>109</v>
      </c>
      <c r="K377" t="s">
        <v>110</v>
      </c>
      <c r="L377" s="4">
        <v>42293.208333333328</v>
      </c>
      <c r="M377" s="4" t="s">
        <v>56</v>
      </c>
      <c r="N377" s="4" t="s">
        <v>105</v>
      </c>
      <c r="O377" s="4">
        <v>42350.25</v>
      </c>
      <c r="P377" t="b">
        <v>0</v>
      </c>
      <c r="Q377" t="b">
        <v>0</v>
      </c>
      <c r="R377" t="s">
        <v>154</v>
      </c>
      <c r="S377" t="str" cm="1">
        <f t="array" ref="S377:T377">_xlfn.TEXTSPLIT(R377, "/", , FALSE)</f>
        <v>music</v>
      </c>
      <c r="T377" t="str">
        <v>indie rock</v>
      </c>
    </row>
    <row r="378" spans="1:20" ht="17" x14ac:dyDescent="0.2">
      <c r="A378">
        <v>376</v>
      </c>
      <c r="B378" t="s">
        <v>899</v>
      </c>
      <c r="C378" s="3" t="s">
        <v>900</v>
      </c>
      <c r="D378">
        <v>3400</v>
      </c>
      <c r="E378">
        <v>12275</v>
      </c>
      <c r="F378" s="5">
        <f t="shared" si="10"/>
        <v>3.6102941176470589</v>
      </c>
      <c r="G378" t="s">
        <v>8</v>
      </c>
      <c r="H378">
        <v>131</v>
      </c>
      <c r="I378">
        <f t="shared" si="11"/>
        <v>93.702290076335885</v>
      </c>
      <c r="J378" t="s">
        <v>109</v>
      </c>
      <c r="K378" t="s">
        <v>110</v>
      </c>
      <c r="L378" s="4">
        <v>41826.208333333336</v>
      </c>
      <c r="M378" s="4" t="s">
        <v>53</v>
      </c>
      <c r="N378" s="4" t="s">
        <v>111</v>
      </c>
      <c r="O378" s="4">
        <v>41832.208333333336</v>
      </c>
      <c r="P378" t="b">
        <v>0</v>
      </c>
      <c r="Q378" t="b">
        <v>0</v>
      </c>
      <c r="R378" t="s">
        <v>112</v>
      </c>
      <c r="S378" t="str" cm="1">
        <f t="array" ref="S378:T378">_xlfn.TEXTSPLIT(R378, "/", , FALSE)</f>
        <v>music</v>
      </c>
      <c r="T378" t="str">
        <v>rock</v>
      </c>
    </row>
    <row r="379" spans="1:20" ht="17" x14ac:dyDescent="0.2">
      <c r="A379">
        <v>377</v>
      </c>
      <c r="B379" t="s">
        <v>901</v>
      </c>
      <c r="C379" s="3" t="s">
        <v>902</v>
      </c>
      <c r="D379">
        <v>49700</v>
      </c>
      <c r="E379">
        <v>5098</v>
      </c>
      <c r="F379" s="5">
        <f t="shared" si="10"/>
        <v>0.10257545271629778</v>
      </c>
      <c r="G379" t="s">
        <v>6</v>
      </c>
      <c r="H379">
        <v>127</v>
      </c>
      <c r="I379">
        <f t="shared" si="11"/>
        <v>40.14173228346457</v>
      </c>
      <c r="J379" t="s">
        <v>109</v>
      </c>
      <c r="K379" t="s">
        <v>110</v>
      </c>
      <c r="L379" s="4">
        <v>43760.208333333328</v>
      </c>
      <c r="M379" s="4" t="s">
        <v>56</v>
      </c>
      <c r="N379" s="4" t="s">
        <v>121</v>
      </c>
      <c r="O379" s="4">
        <v>43774.25</v>
      </c>
      <c r="P379" t="b">
        <v>0</v>
      </c>
      <c r="Q379" t="b">
        <v>0</v>
      </c>
      <c r="R379" t="s">
        <v>124</v>
      </c>
      <c r="S379" t="str" cm="1">
        <f t="array" ref="S379:T379">_xlfn.TEXTSPLIT(R379, "/", , FALSE)</f>
        <v>theater</v>
      </c>
      <c r="T379" t="str">
        <v>plays</v>
      </c>
    </row>
    <row r="380" spans="1:20" ht="17" x14ac:dyDescent="0.2">
      <c r="A380">
        <v>378</v>
      </c>
      <c r="B380" t="s">
        <v>903</v>
      </c>
      <c r="C380" s="3" t="s">
        <v>904</v>
      </c>
      <c r="D380">
        <v>178200</v>
      </c>
      <c r="E380">
        <v>24882</v>
      </c>
      <c r="F380" s="5">
        <f t="shared" si="10"/>
        <v>0.13962962962962963</v>
      </c>
      <c r="G380" t="s">
        <v>6</v>
      </c>
      <c r="H380">
        <v>355</v>
      </c>
      <c r="I380">
        <f t="shared" si="11"/>
        <v>70.090140845070422</v>
      </c>
      <c r="J380" t="s">
        <v>109</v>
      </c>
      <c r="K380" t="s">
        <v>110</v>
      </c>
      <c r="L380" s="4">
        <v>43241.208333333328</v>
      </c>
      <c r="M380" s="4" t="s">
        <v>51</v>
      </c>
      <c r="N380" s="4" t="s">
        <v>169</v>
      </c>
      <c r="O380" s="4">
        <v>43279.208333333328</v>
      </c>
      <c r="P380" t="b">
        <v>0</v>
      </c>
      <c r="Q380" t="b">
        <v>0</v>
      </c>
      <c r="R380" t="s">
        <v>135</v>
      </c>
      <c r="S380" t="str" cm="1">
        <f t="array" ref="S380:T380">_xlfn.TEXTSPLIT(R380, "/", , FALSE)</f>
        <v>film &amp; video</v>
      </c>
      <c r="T380" t="str">
        <v>documentary</v>
      </c>
    </row>
    <row r="381" spans="1:20" ht="17" x14ac:dyDescent="0.2">
      <c r="A381">
        <v>379</v>
      </c>
      <c r="B381" t="s">
        <v>905</v>
      </c>
      <c r="C381" s="3" t="s">
        <v>906</v>
      </c>
      <c r="D381">
        <v>7200</v>
      </c>
      <c r="E381">
        <v>2912</v>
      </c>
      <c r="F381" s="5">
        <f t="shared" si="10"/>
        <v>0.40444444444444444</v>
      </c>
      <c r="G381" t="s">
        <v>6</v>
      </c>
      <c r="H381">
        <v>44</v>
      </c>
      <c r="I381">
        <f t="shared" si="11"/>
        <v>66.181818181818187</v>
      </c>
      <c r="J381" t="s">
        <v>132</v>
      </c>
      <c r="K381" t="s">
        <v>133</v>
      </c>
      <c r="L381" s="4">
        <v>40843.208333333336</v>
      </c>
      <c r="M381" s="4" t="s">
        <v>56</v>
      </c>
      <c r="N381" s="4" t="s">
        <v>165</v>
      </c>
      <c r="O381" s="4">
        <v>40857.25</v>
      </c>
      <c r="P381" t="b">
        <v>0</v>
      </c>
      <c r="Q381" t="b">
        <v>0</v>
      </c>
      <c r="R381" t="s">
        <v>124</v>
      </c>
      <c r="S381" t="str" cm="1">
        <f t="array" ref="S381:T381">_xlfn.TEXTSPLIT(R381, "/", , FALSE)</f>
        <v>theater</v>
      </c>
      <c r="T381" t="str">
        <v>plays</v>
      </c>
    </row>
    <row r="382" spans="1:20" ht="34" x14ac:dyDescent="0.2">
      <c r="A382">
        <v>380</v>
      </c>
      <c r="B382" t="s">
        <v>907</v>
      </c>
      <c r="C382" s="3" t="s">
        <v>908</v>
      </c>
      <c r="D382">
        <v>2500</v>
      </c>
      <c r="E382">
        <v>4008</v>
      </c>
      <c r="F382" s="5">
        <f t="shared" si="10"/>
        <v>1.6032</v>
      </c>
      <c r="G382" t="s">
        <v>8</v>
      </c>
      <c r="H382">
        <v>84</v>
      </c>
      <c r="I382">
        <f t="shared" si="11"/>
        <v>47.714285714285715</v>
      </c>
      <c r="J382" t="s">
        <v>109</v>
      </c>
      <c r="K382" t="s">
        <v>110</v>
      </c>
      <c r="L382" s="4">
        <v>41448.208333333336</v>
      </c>
      <c r="M382" s="4" t="s">
        <v>52</v>
      </c>
      <c r="N382" s="4" t="s">
        <v>117</v>
      </c>
      <c r="O382" s="4">
        <v>41453.208333333336</v>
      </c>
      <c r="P382" t="b">
        <v>0</v>
      </c>
      <c r="Q382" t="b">
        <v>0</v>
      </c>
      <c r="R382" t="s">
        <v>124</v>
      </c>
      <c r="S382" t="str" cm="1">
        <f t="array" ref="S382:T382">_xlfn.TEXTSPLIT(R382, "/", , FALSE)</f>
        <v>theater</v>
      </c>
      <c r="T382" t="str">
        <v>plays</v>
      </c>
    </row>
    <row r="383" spans="1:20" ht="17" x14ac:dyDescent="0.2">
      <c r="A383">
        <v>381</v>
      </c>
      <c r="B383" t="s">
        <v>909</v>
      </c>
      <c r="C383" s="3" t="s">
        <v>910</v>
      </c>
      <c r="D383">
        <v>5300</v>
      </c>
      <c r="E383">
        <v>9749</v>
      </c>
      <c r="F383" s="5">
        <f t="shared" si="10"/>
        <v>1.8394339622641509</v>
      </c>
      <c r="G383" t="s">
        <v>8</v>
      </c>
      <c r="H383">
        <v>155</v>
      </c>
      <c r="I383">
        <f t="shared" si="11"/>
        <v>62.896774193548389</v>
      </c>
      <c r="J383" t="s">
        <v>109</v>
      </c>
      <c r="K383" t="s">
        <v>110</v>
      </c>
      <c r="L383" s="4">
        <v>42163.208333333328</v>
      </c>
      <c r="M383" s="4" t="s">
        <v>52</v>
      </c>
      <c r="N383" s="4" t="s">
        <v>105</v>
      </c>
      <c r="O383" s="4">
        <v>42209.208333333328</v>
      </c>
      <c r="P383" t="b">
        <v>0</v>
      </c>
      <c r="Q383" t="b">
        <v>0</v>
      </c>
      <c r="R383" t="s">
        <v>124</v>
      </c>
      <c r="S383" t="str" cm="1">
        <f t="array" ref="S383:T383">_xlfn.TEXTSPLIT(R383, "/", , FALSE)</f>
        <v>theater</v>
      </c>
      <c r="T383" t="str">
        <v>plays</v>
      </c>
    </row>
    <row r="384" spans="1:20" ht="34" x14ac:dyDescent="0.2">
      <c r="A384">
        <v>382</v>
      </c>
      <c r="B384" t="s">
        <v>911</v>
      </c>
      <c r="C384" s="3" t="s">
        <v>912</v>
      </c>
      <c r="D384">
        <v>9100</v>
      </c>
      <c r="E384">
        <v>5803</v>
      </c>
      <c r="F384" s="5">
        <f t="shared" si="10"/>
        <v>0.63769230769230767</v>
      </c>
      <c r="G384" t="s">
        <v>6</v>
      </c>
      <c r="H384">
        <v>67</v>
      </c>
      <c r="I384">
        <f t="shared" si="11"/>
        <v>86.611940298507463</v>
      </c>
      <c r="J384" t="s">
        <v>109</v>
      </c>
      <c r="K384" t="s">
        <v>110</v>
      </c>
      <c r="L384" s="4">
        <v>43024.208333333328</v>
      </c>
      <c r="M384" s="4" t="s">
        <v>56</v>
      </c>
      <c r="N384" s="4" t="s">
        <v>134</v>
      </c>
      <c r="O384" s="4">
        <v>43043.208333333328</v>
      </c>
      <c r="P384" t="b">
        <v>0</v>
      </c>
      <c r="Q384" t="b">
        <v>0</v>
      </c>
      <c r="R384" t="s">
        <v>217</v>
      </c>
      <c r="S384" t="str" cm="1">
        <f t="array" ref="S384:T384">_xlfn.TEXTSPLIT(R384, "/", , FALSE)</f>
        <v>photography</v>
      </c>
      <c r="T384" t="str">
        <v>photography books</v>
      </c>
    </row>
    <row r="385" spans="1:20" ht="17" x14ac:dyDescent="0.2">
      <c r="A385">
        <v>383</v>
      </c>
      <c r="B385" t="s">
        <v>913</v>
      </c>
      <c r="C385" s="3" t="s">
        <v>914</v>
      </c>
      <c r="D385">
        <v>6300</v>
      </c>
      <c r="E385">
        <v>14199</v>
      </c>
      <c r="F385" s="5">
        <f t="shared" si="10"/>
        <v>2.2538095238095237</v>
      </c>
      <c r="G385" t="s">
        <v>8</v>
      </c>
      <c r="H385">
        <v>189</v>
      </c>
      <c r="I385">
        <f t="shared" si="11"/>
        <v>75.126984126984127</v>
      </c>
      <c r="J385" t="s">
        <v>109</v>
      </c>
      <c r="K385" t="s">
        <v>110</v>
      </c>
      <c r="L385" s="4">
        <v>43509.25</v>
      </c>
      <c r="M385" s="4" t="s">
        <v>48</v>
      </c>
      <c r="N385" s="4" t="s">
        <v>121</v>
      </c>
      <c r="O385" s="4">
        <v>43515.25</v>
      </c>
      <c r="P385" t="b">
        <v>0</v>
      </c>
      <c r="Q385" t="b">
        <v>1</v>
      </c>
      <c r="R385" t="s">
        <v>106</v>
      </c>
      <c r="S385" t="str" cm="1">
        <f t="array" ref="S385:T385">_xlfn.TEXTSPLIT(R385, "/", , FALSE)</f>
        <v>food</v>
      </c>
      <c r="T385" t="str">
        <v>food trucks</v>
      </c>
    </row>
    <row r="386" spans="1:20" ht="17" x14ac:dyDescent="0.2">
      <c r="A386">
        <v>384</v>
      </c>
      <c r="B386" t="s">
        <v>915</v>
      </c>
      <c r="C386" s="3" t="s">
        <v>916</v>
      </c>
      <c r="D386">
        <v>114400</v>
      </c>
      <c r="E386">
        <v>196779</v>
      </c>
      <c r="F386" s="5">
        <f t="shared" si="10"/>
        <v>1.7200961538461539</v>
      </c>
      <c r="G386" t="s">
        <v>8</v>
      </c>
      <c r="H386">
        <v>4799</v>
      </c>
      <c r="I386">
        <f t="shared" si="11"/>
        <v>41.004167534903104</v>
      </c>
      <c r="J386" t="s">
        <v>109</v>
      </c>
      <c r="K386" t="s">
        <v>110</v>
      </c>
      <c r="L386" s="4">
        <v>42776.25</v>
      </c>
      <c r="M386" s="4" t="s">
        <v>48</v>
      </c>
      <c r="N386" s="4" t="s">
        <v>134</v>
      </c>
      <c r="O386" s="4">
        <v>42803.25</v>
      </c>
      <c r="P386" t="b">
        <v>1</v>
      </c>
      <c r="Q386" t="b">
        <v>1</v>
      </c>
      <c r="R386" t="s">
        <v>135</v>
      </c>
      <c r="S386" t="str" cm="1">
        <f t="array" ref="S386:T386">_xlfn.TEXTSPLIT(R386, "/", , FALSE)</f>
        <v>film &amp; video</v>
      </c>
      <c r="T386" t="str">
        <v>documentary</v>
      </c>
    </row>
    <row r="387" spans="1:20" ht="34" x14ac:dyDescent="0.2">
      <c r="A387">
        <v>385</v>
      </c>
      <c r="B387" t="s">
        <v>917</v>
      </c>
      <c r="C387" s="3" t="s">
        <v>918</v>
      </c>
      <c r="D387">
        <v>38900</v>
      </c>
      <c r="E387">
        <v>56859</v>
      </c>
      <c r="F387" s="5">
        <f t="shared" ref="F387:F450" si="12">E387/D387</f>
        <v>1.4616709511568124</v>
      </c>
      <c r="G387" t="s">
        <v>8</v>
      </c>
      <c r="H387">
        <v>1137</v>
      </c>
      <c r="I387">
        <f t="shared" ref="I387:I450" si="13">E387/H387</f>
        <v>50.007915567282325</v>
      </c>
      <c r="J387" t="s">
        <v>109</v>
      </c>
      <c r="K387" t="s">
        <v>110</v>
      </c>
      <c r="L387" s="4">
        <v>43553.208333333328</v>
      </c>
      <c r="M387" s="4" t="s">
        <v>49</v>
      </c>
      <c r="N387" s="4" t="s">
        <v>121</v>
      </c>
      <c r="O387" s="4">
        <v>43585.208333333328</v>
      </c>
      <c r="P387" t="b">
        <v>0</v>
      </c>
      <c r="Q387" t="b">
        <v>0</v>
      </c>
      <c r="R387" t="s">
        <v>162</v>
      </c>
      <c r="S387" t="str" cm="1">
        <f t="array" ref="S387:T387">_xlfn.TEXTSPLIT(R387, "/", , FALSE)</f>
        <v>publishing</v>
      </c>
      <c r="T387" t="str">
        <v>nonfiction</v>
      </c>
    </row>
    <row r="388" spans="1:20" ht="34" x14ac:dyDescent="0.2">
      <c r="A388">
        <v>386</v>
      </c>
      <c r="B388" t="s">
        <v>919</v>
      </c>
      <c r="C388" s="3" t="s">
        <v>920</v>
      </c>
      <c r="D388">
        <v>135500</v>
      </c>
      <c r="E388">
        <v>103554</v>
      </c>
      <c r="F388" s="5">
        <f t="shared" si="12"/>
        <v>0.76423616236162362</v>
      </c>
      <c r="G388" t="s">
        <v>6</v>
      </c>
      <c r="H388">
        <v>1068</v>
      </c>
      <c r="I388">
        <f t="shared" si="13"/>
        <v>96.960674157303373</v>
      </c>
      <c r="J388" t="s">
        <v>109</v>
      </c>
      <c r="K388" t="s">
        <v>110</v>
      </c>
      <c r="L388" s="4">
        <v>40355.208333333336</v>
      </c>
      <c r="M388" s="4" t="s">
        <v>52</v>
      </c>
      <c r="N388" s="4" t="s">
        <v>140</v>
      </c>
      <c r="O388" s="4">
        <v>40367.208333333336</v>
      </c>
      <c r="P388" t="b">
        <v>0</v>
      </c>
      <c r="Q388" t="b">
        <v>0</v>
      </c>
      <c r="R388" t="s">
        <v>124</v>
      </c>
      <c r="S388" t="str" cm="1">
        <f t="array" ref="S388:T388">_xlfn.TEXTSPLIT(R388, "/", , FALSE)</f>
        <v>theater</v>
      </c>
      <c r="T388" t="str">
        <v>plays</v>
      </c>
    </row>
    <row r="389" spans="1:20" ht="17" x14ac:dyDescent="0.2">
      <c r="A389">
        <v>387</v>
      </c>
      <c r="B389" t="s">
        <v>921</v>
      </c>
      <c r="C389" s="3" t="s">
        <v>922</v>
      </c>
      <c r="D389">
        <v>109000</v>
      </c>
      <c r="E389">
        <v>42795</v>
      </c>
      <c r="F389" s="5">
        <f t="shared" si="12"/>
        <v>0.39261467889908258</v>
      </c>
      <c r="G389" t="s">
        <v>6</v>
      </c>
      <c r="H389">
        <v>424</v>
      </c>
      <c r="I389">
        <f t="shared" si="13"/>
        <v>100.93160377358491</v>
      </c>
      <c r="J389" t="s">
        <v>109</v>
      </c>
      <c r="K389" t="s">
        <v>110</v>
      </c>
      <c r="L389" s="4">
        <v>41072.208333333336</v>
      </c>
      <c r="M389" s="4" t="s">
        <v>52</v>
      </c>
      <c r="N389" s="4" t="s">
        <v>129</v>
      </c>
      <c r="O389" s="4">
        <v>41077.208333333336</v>
      </c>
      <c r="P389" t="b">
        <v>0</v>
      </c>
      <c r="Q389" t="b">
        <v>0</v>
      </c>
      <c r="R389" t="s">
        <v>159</v>
      </c>
      <c r="S389" t="str" cm="1">
        <f t="array" ref="S389:T389">_xlfn.TEXTSPLIT(R389, "/", , FALSE)</f>
        <v>technology</v>
      </c>
      <c r="T389" t="str">
        <v>wearables</v>
      </c>
    </row>
    <row r="390" spans="1:20" ht="17" x14ac:dyDescent="0.2">
      <c r="A390">
        <v>388</v>
      </c>
      <c r="B390" t="s">
        <v>923</v>
      </c>
      <c r="C390" s="3" t="s">
        <v>924</v>
      </c>
      <c r="D390">
        <v>114800</v>
      </c>
      <c r="E390">
        <v>12938</v>
      </c>
      <c r="F390" s="5">
        <f t="shared" si="12"/>
        <v>0.11270034843205574</v>
      </c>
      <c r="G390" t="s">
        <v>5</v>
      </c>
      <c r="H390">
        <v>145</v>
      </c>
      <c r="I390">
        <f t="shared" si="13"/>
        <v>89.227586206896547</v>
      </c>
      <c r="J390" t="s">
        <v>193</v>
      </c>
      <c r="K390" t="s">
        <v>194</v>
      </c>
      <c r="L390" s="4">
        <v>40912.25</v>
      </c>
      <c r="M390" s="4" t="s">
        <v>47</v>
      </c>
      <c r="N390" s="4" t="s">
        <v>129</v>
      </c>
      <c r="O390" s="4">
        <v>40914.25</v>
      </c>
      <c r="P390" t="b">
        <v>0</v>
      </c>
      <c r="Q390" t="b">
        <v>0</v>
      </c>
      <c r="R390" t="s">
        <v>154</v>
      </c>
      <c r="S390" t="str" cm="1">
        <f t="array" ref="S390:T390">_xlfn.TEXTSPLIT(R390, "/", , FALSE)</f>
        <v>music</v>
      </c>
      <c r="T390" t="str">
        <v>indie rock</v>
      </c>
    </row>
    <row r="391" spans="1:20" ht="17" x14ac:dyDescent="0.2">
      <c r="A391">
        <v>389</v>
      </c>
      <c r="B391" t="s">
        <v>925</v>
      </c>
      <c r="C391" s="3" t="s">
        <v>926</v>
      </c>
      <c r="D391">
        <v>83000</v>
      </c>
      <c r="E391">
        <v>101352</v>
      </c>
      <c r="F391" s="5">
        <f t="shared" si="12"/>
        <v>1.2211084337349398</v>
      </c>
      <c r="G391" t="s">
        <v>8</v>
      </c>
      <c r="H391">
        <v>1152</v>
      </c>
      <c r="I391">
        <f t="shared" si="13"/>
        <v>87.979166666666671</v>
      </c>
      <c r="J391" t="s">
        <v>109</v>
      </c>
      <c r="K391" t="s">
        <v>110</v>
      </c>
      <c r="L391" s="4">
        <v>40479.208333333336</v>
      </c>
      <c r="M391" s="4" t="s">
        <v>56</v>
      </c>
      <c r="N391" s="4" t="s">
        <v>140</v>
      </c>
      <c r="O391" s="4">
        <v>40506.25</v>
      </c>
      <c r="P391" t="b">
        <v>0</v>
      </c>
      <c r="Q391" t="b">
        <v>0</v>
      </c>
      <c r="R391" t="s">
        <v>124</v>
      </c>
      <c r="S391" t="str" cm="1">
        <f t="array" ref="S391:T391">_xlfn.TEXTSPLIT(R391, "/", , FALSE)</f>
        <v>theater</v>
      </c>
      <c r="T391" t="str">
        <v>plays</v>
      </c>
    </row>
    <row r="392" spans="1:20" ht="17" x14ac:dyDescent="0.2">
      <c r="A392">
        <v>390</v>
      </c>
      <c r="B392" t="s">
        <v>927</v>
      </c>
      <c r="C392" s="3" t="s">
        <v>928</v>
      </c>
      <c r="D392">
        <v>2400</v>
      </c>
      <c r="E392">
        <v>4477</v>
      </c>
      <c r="F392" s="5">
        <f t="shared" si="12"/>
        <v>1.8654166666666667</v>
      </c>
      <c r="G392" t="s">
        <v>8</v>
      </c>
      <c r="H392">
        <v>50</v>
      </c>
      <c r="I392">
        <f t="shared" si="13"/>
        <v>89.54</v>
      </c>
      <c r="J392" t="s">
        <v>109</v>
      </c>
      <c r="K392" t="s">
        <v>110</v>
      </c>
      <c r="L392" s="4">
        <v>41530.208333333336</v>
      </c>
      <c r="M392" s="4" t="s">
        <v>55</v>
      </c>
      <c r="N392" s="4" t="s">
        <v>117</v>
      </c>
      <c r="O392" s="4">
        <v>41545.208333333336</v>
      </c>
      <c r="P392" t="b">
        <v>0</v>
      </c>
      <c r="Q392" t="b">
        <v>0</v>
      </c>
      <c r="R392" t="s">
        <v>217</v>
      </c>
      <c r="S392" t="str" cm="1">
        <f t="array" ref="S392:T392">_xlfn.TEXTSPLIT(R392, "/", , FALSE)</f>
        <v>photography</v>
      </c>
      <c r="T392" t="str">
        <v>photography books</v>
      </c>
    </row>
    <row r="393" spans="1:20" ht="17" x14ac:dyDescent="0.2">
      <c r="A393">
        <v>391</v>
      </c>
      <c r="B393" t="s">
        <v>929</v>
      </c>
      <c r="C393" s="3" t="s">
        <v>930</v>
      </c>
      <c r="D393">
        <v>60400</v>
      </c>
      <c r="E393">
        <v>4393</v>
      </c>
      <c r="F393" s="5">
        <f t="shared" si="12"/>
        <v>7.27317880794702E-2</v>
      </c>
      <c r="G393" t="s">
        <v>6</v>
      </c>
      <c r="H393">
        <v>151</v>
      </c>
      <c r="I393">
        <f t="shared" si="13"/>
        <v>29.09271523178808</v>
      </c>
      <c r="J393" t="s">
        <v>109</v>
      </c>
      <c r="K393" t="s">
        <v>110</v>
      </c>
      <c r="L393" s="4">
        <v>41653.25</v>
      </c>
      <c r="M393" s="4" t="s">
        <v>47</v>
      </c>
      <c r="N393" s="4" t="s">
        <v>111</v>
      </c>
      <c r="O393" s="4">
        <v>41655.25</v>
      </c>
      <c r="P393" t="b">
        <v>0</v>
      </c>
      <c r="Q393" t="b">
        <v>0</v>
      </c>
      <c r="R393" t="s">
        <v>162</v>
      </c>
      <c r="S393" t="str" cm="1">
        <f t="array" ref="S393:T393">_xlfn.TEXTSPLIT(R393, "/", , FALSE)</f>
        <v>publishing</v>
      </c>
      <c r="T393" t="str">
        <v>nonfiction</v>
      </c>
    </row>
    <row r="394" spans="1:20" ht="34" x14ac:dyDescent="0.2">
      <c r="A394">
        <v>392</v>
      </c>
      <c r="B394" t="s">
        <v>931</v>
      </c>
      <c r="C394" s="3" t="s">
        <v>932</v>
      </c>
      <c r="D394">
        <v>102900</v>
      </c>
      <c r="E394">
        <v>67546</v>
      </c>
      <c r="F394" s="5">
        <f t="shared" si="12"/>
        <v>0.65642371234207963</v>
      </c>
      <c r="G394" t="s">
        <v>6</v>
      </c>
      <c r="H394">
        <v>1608</v>
      </c>
      <c r="I394">
        <f t="shared" si="13"/>
        <v>42.006218905472636</v>
      </c>
      <c r="J394" t="s">
        <v>109</v>
      </c>
      <c r="K394" t="s">
        <v>110</v>
      </c>
      <c r="L394" s="4">
        <v>40549.25</v>
      </c>
      <c r="M394" s="4" t="s">
        <v>47</v>
      </c>
      <c r="N394" s="4" t="s">
        <v>165</v>
      </c>
      <c r="O394" s="4">
        <v>40551.25</v>
      </c>
      <c r="P394" t="b">
        <v>0</v>
      </c>
      <c r="Q394" t="b">
        <v>0</v>
      </c>
      <c r="R394" t="s">
        <v>159</v>
      </c>
      <c r="S394" t="str" cm="1">
        <f t="array" ref="S394:T394">_xlfn.TEXTSPLIT(R394, "/", , FALSE)</f>
        <v>technology</v>
      </c>
      <c r="T394" t="str">
        <v>wearables</v>
      </c>
    </row>
    <row r="395" spans="1:20" ht="17" x14ac:dyDescent="0.2">
      <c r="A395">
        <v>393</v>
      </c>
      <c r="B395" t="s">
        <v>933</v>
      </c>
      <c r="C395" s="3" t="s">
        <v>934</v>
      </c>
      <c r="D395">
        <v>62800</v>
      </c>
      <c r="E395">
        <v>143788</v>
      </c>
      <c r="F395" s="5">
        <f t="shared" si="12"/>
        <v>2.2896178343949045</v>
      </c>
      <c r="G395" t="s">
        <v>8</v>
      </c>
      <c r="H395">
        <v>3059</v>
      </c>
      <c r="I395">
        <f t="shared" si="13"/>
        <v>47.004903563255965</v>
      </c>
      <c r="J395" t="s">
        <v>103</v>
      </c>
      <c r="K395" t="s">
        <v>104</v>
      </c>
      <c r="L395" s="4">
        <v>42933.208333333328</v>
      </c>
      <c r="M395" s="4" t="s">
        <v>53</v>
      </c>
      <c r="N395" s="4" t="s">
        <v>134</v>
      </c>
      <c r="O395" s="4">
        <v>42934.208333333328</v>
      </c>
      <c r="P395" t="b">
        <v>0</v>
      </c>
      <c r="Q395" t="b">
        <v>0</v>
      </c>
      <c r="R395" t="s">
        <v>254</v>
      </c>
      <c r="S395" t="str" cm="1">
        <f t="array" ref="S395:T395">_xlfn.TEXTSPLIT(R395, "/", , FALSE)</f>
        <v>music</v>
      </c>
      <c r="T395" t="str">
        <v>jazz</v>
      </c>
    </row>
    <row r="396" spans="1:20" ht="17" x14ac:dyDescent="0.2">
      <c r="A396">
        <v>394</v>
      </c>
      <c r="B396" t="s">
        <v>935</v>
      </c>
      <c r="C396" s="3" t="s">
        <v>936</v>
      </c>
      <c r="D396">
        <v>800</v>
      </c>
      <c r="E396">
        <v>3755</v>
      </c>
      <c r="F396" s="5">
        <f t="shared" si="12"/>
        <v>4.6937499999999996</v>
      </c>
      <c r="G396" t="s">
        <v>8</v>
      </c>
      <c r="H396">
        <v>34</v>
      </c>
      <c r="I396">
        <f t="shared" si="13"/>
        <v>110.44117647058823</v>
      </c>
      <c r="J396" t="s">
        <v>109</v>
      </c>
      <c r="K396" t="s">
        <v>110</v>
      </c>
      <c r="L396" s="4">
        <v>41484.208333333336</v>
      </c>
      <c r="M396" s="4" t="s">
        <v>53</v>
      </c>
      <c r="N396" s="4" t="s">
        <v>117</v>
      </c>
      <c r="O396" s="4">
        <v>41494.208333333336</v>
      </c>
      <c r="P396" t="b">
        <v>0</v>
      </c>
      <c r="Q396" t="b">
        <v>1</v>
      </c>
      <c r="R396" t="s">
        <v>135</v>
      </c>
      <c r="S396" t="str" cm="1">
        <f t="array" ref="S396:T396">_xlfn.TEXTSPLIT(R396, "/", , FALSE)</f>
        <v>film &amp; video</v>
      </c>
      <c r="T396" t="str">
        <v>documentary</v>
      </c>
    </row>
    <row r="397" spans="1:20" ht="34" x14ac:dyDescent="0.2">
      <c r="A397">
        <v>395</v>
      </c>
      <c r="B397" t="s">
        <v>390</v>
      </c>
      <c r="C397" s="3" t="s">
        <v>937</v>
      </c>
      <c r="D397">
        <v>7100</v>
      </c>
      <c r="E397">
        <v>9238</v>
      </c>
      <c r="F397" s="5">
        <f t="shared" si="12"/>
        <v>1.3011267605633803</v>
      </c>
      <c r="G397" t="s">
        <v>8</v>
      </c>
      <c r="H397">
        <v>220</v>
      </c>
      <c r="I397">
        <f t="shared" si="13"/>
        <v>41.990909090909092</v>
      </c>
      <c r="J397" t="s">
        <v>109</v>
      </c>
      <c r="K397" t="s">
        <v>110</v>
      </c>
      <c r="L397" s="4">
        <v>40885.25</v>
      </c>
      <c r="M397" s="4" t="s">
        <v>58</v>
      </c>
      <c r="N397" s="4" t="s">
        <v>165</v>
      </c>
      <c r="O397" s="4">
        <v>40886.25</v>
      </c>
      <c r="P397" t="b">
        <v>1</v>
      </c>
      <c r="Q397" t="b">
        <v>0</v>
      </c>
      <c r="R397" t="s">
        <v>124</v>
      </c>
      <c r="S397" t="str" cm="1">
        <f t="array" ref="S397:T397">_xlfn.TEXTSPLIT(R397, "/", , FALSE)</f>
        <v>theater</v>
      </c>
      <c r="T397" t="str">
        <v>plays</v>
      </c>
    </row>
    <row r="398" spans="1:20" ht="17" x14ac:dyDescent="0.2">
      <c r="A398">
        <v>396</v>
      </c>
      <c r="B398" t="s">
        <v>938</v>
      </c>
      <c r="C398" s="3" t="s">
        <v>939</v>
      </c>
      <c r="D398">
        <v>46100</v>
      </c>
      <c r="E398">
        <v>77012</v>
      </c>
      <c r="F398" s="5">
        <f t="shared" si="12"/>
        <v>1.6705422993492407</v>
      </c>
      <c r="G398" t="s">
        <v>8</v>
      </c>
      <c r="H398">
        <v>1604</v>
      </c>
      <c r="I398">
        <f t="shared" si="13"/>
        <v>48.012468827930178</v>
      </c>
      <c r="J398" t="s">
        <v>115</v>
      </c>
      <c r="K398" t="s">
        <v>116</v>
      </c>
      <c r="L398" s="4">
        <v>43378.208333333328</v>
      </c>
      <c r="M398" s="4" t="s">
        <v>56</v>
      </c>
      <c r="N398" s="4" t="s">
        <v>169</v>
      </c>
      <c r="O398" s="4">
        <v>43386.208333333328</v>
      </c>
      <c r="P398" t="b">
        <v>0</v>
      </c>
      <c r="Q398" t="b">
        <v>0</v>
      </c>
      <c r="R398" t="s">
        <v>146</v>
      </c>
      <c r="S398" t="str" cm="1">
        <f t="array" ref="S398:T398">_xlfn.TEXTSPLIT(R398, "/", , FALSE)</f>
        <v>film &amp; video</v>
      </c>
      <c r="T398" t="str">
        <v>drama</v>
      </c>
    </row>
    <row r="399" spans="1:20" ht="17" x14ac:dyDescent="0.2">
      <c r="A399">
        <v>397</v>
      </c>
      <c r="B399" t="s">
        <v>940</v>
      </c>
      <c r="C399" s="3" t="s">
        <v>941</v>
      </c>
      <c r="D399">
        <v>8100</v>
      </c>
      <c r="E399">
        <v>14083</v>
      </c>
      <c r="F399" s="5">
        <f t="shared" si="12"/>
        <v>1.738641975308642</v>
      </c>
      <c r="G399" t="s">
        <v>8</v>
      </c>
      <c r="H399">
        <v>454</v>
      </c>
      <c r="I399">
        <f t="shared" si="13"/>
        <v>31.019823788546255</v>
      </c>
      <c r="J399" t="s">
        <v>109</v>
      </c>
      <c r="K399" t="s">
        <v>110</v>
      </c>
      <c r="L399" s="4">
        <v>41417.208333333336</v>
      </c>
      <c r="M399" s="4" t="s">
        <v>51</v>
      </c>
      <c r="N399" s="4" t="s">
        <v>117</v>
      </c>
      <c r="O399" s="4">
        <v>41423.208333333336</v>
      </c>
      <c r="P399" t="b">
        <v>0</v>
      </c>
      <c r="Q399" t="b">
        <v>0</v>
      </c>
      <c r="R399" t="s">
        <v>112</v>
      </c>
      <c r="S399" t="str" cm="1">
        <f t="array" ref="S399:T399">_xlfn.TEXTSPLIT(R399, "/", , FALSE)</f>
        <v>music</v>
      </c>
      <c r="T399" t="str">
        <v>rock</v>
      </c>
    </row>
    <row r="400" spans="1:20" ht="34" x14ac:dyDescent="0.2">
      <c r="A400">
        <v>398</v>
      </c>
      <c r="B400" t="s">
        <v>942</v>
      </c>
      <c r="C400" s="3" t="s">
        <v>943</v>
      </c>
      <c r="D400">
        <v>1700</v>
      </c>
      <c r="E400">
        <v>12202</v>
      </c>
      <c r="F400" s="5">
        <f t="shared" si="12"/>
        <v>7.1776470588235295</v>
      </c>
      <c r="G400" t="s">
        <v>8</v>
      </c>
      <c r="H400">
        <v>123</v>
      </c>
      <c r="I400">
        <f t="shared" si="13"/>
        <v>99.203252032520325</v>
      </c>
      <c r="J400" t="s">
        <v>202</v>
      </c>
      <c r="K400" t="s">
        <v>203</v>
      </c>
      <c r="L400" s="4">
        <v>43228.208333333328</v>
      </c>
      <c r="M400" s="4" t="s">
        <v>51</v>
      </c>
      <c r="N400" s="4" t="s">
        <v>169</v>
      </c>
      <c r="O400" s="4">
        <v>43230.208333333328</v>
      </c>
      <c r="P400" t="b">
        <v>0</v>
      </c>
      <c r="Q400" t="b">
        <v>1</v>
      </c>
      <c r="R400" t="s">
        <v>166</v>
      </c>
      <c r="S400" t="str" cm="1">
        <f t="array" ref="S400:T400">_xlfn.TEXTSPLIT(R400, "/", , FALSE)</f>
        <v>film &amp; video</v>
      </c>
      <c r="T400" t="str">
        <v>animation</v>
      </c>
    </row>
    <row r="401" spans="1:20" ht="17" x14ac:dyDescent="0.2">
      <c r="A401">
        <v>399</v>
      </c>
      <c r="B401" t="s">
        <v>944</v>
      </c>
      <c r="C401" s="3" t="s">
        <v>945</v>
      </c>
      <c r="D401">
        <v>97300</v>
      </c>
      <c r="E401">
        <v>62127</v>
      </c>
      <c r="F401" s="5">
        <f t="shared" si="12"/>
        <v>0.63850976361767731</v>
      </c>
      <c r="G401" t="s">
        <v>6</v>
      </c>
      <c r="H401">
        <v>941</v>
      </c>
      <c r="I401">
        <f t="shared" si="13"/>
        <v>66.022316684378325</v>
      </c>
      <c r="J401" t="s">
        <v>109</v>
      </c>
      <c r="K401" t="s">
        <v>110</v>
      </c>
      <c r="L401" s="4">
        <v>40576.25</v>
      </c>
      <c r="M401" s="4" t="s">
        <v>48</v>
      </c>
      <c r="N401" s="4" t="s">
        <v>165</v>
      </c>
      <c r="O401" s="4">
        <v>40583.25</v>
      </c>
      <c r="P401" t="b">
        <v>0</v>
      </c>
      <c r="Q401" t="b">
        <v>0</v>
      </c>
      <c r="R401" t="s">
        <v>154</v>
      </c>
      <c r="S401" t="str" cm="1">
        <f t="array" ref="S401:T401">_xlfn.TEXTSPLIT(R401, "/", , FALSE)</f>
        <v>music</v>
      </c>
      <c r="T401" t="str">
        <v>indie rock</v>
      </c>
    </row>
    <row r="402" spans="1:20" ht="34" x14ac:dyDescent="0.2">
      <c r="A402">
        <v>400</v>
      </c>
      <c r="B402" t="s">
        <v>946</v>
      </c>
      <c r="C402" s="3" t="s">
        <v>947</v>
      </c>
      <c r="D402">
        <v>100</v>
      </c>
      <c r="E402">
        <v>2</v>
      </c>
      <c r="F402" s="5">
        <f t="shared" si="12"/>
        <v>0.02</v>
      </c>
      <c r="G402" t="s">
        <v>6</v>
      </c>
      <c r="H402">
        <v>1</v>
      </c>
      <c r="I402">
        <f t="shared" si="13"/>
        <v>2</v>
      </c>
      <c r="J402" t="s">
        <v>109</v>
      </c>
      <c r="K402" t="s">
        <v>110</v>
      </c>
      <c r="L402" s="4">
        <v>41502.208333333336</v>
      </c>
      <c r="M402" s="4" t="s">
        <v>54</v>
      </c>
      <c r="N402" s="4" t="s">
        <v>117</v>
      </c>
      <c r="O402" s="4">
        <v>41524.208333333336</v>
      </c>
      <c r="P402" t="b">
        <v>0</v>
      </c>
      <c r="Q402" t="b">
        <v>1</v>
      </c>
      <c r="R402" t="s">
        <v>217</v>
      </c>
      <c r="S402" t="str" cm="1">
        <f t="array" ref="S402:T402">_xlfn.TEXTSPLIT(R402, "/", , FALSE)</f>
        <v>photography</v>
      </c>
      <c r="T402" t="str">
        <v>photography books</v>
      </c>
    </row>
    <row r="403" spans="1:20" ht="17" x14ac:dyDescent="0.2">
      <c r="A403">
        <v>401</v>
      </c>
      <c r="B403" t="s">
        <v>948</v>
      </c>
      <c r="C403" s="3" t="s">
        <v>949</v>
      </c>
      <c r="D403">
        <v>900</v>
      </c>
      <c r="E403">
        <v>13772</v>
      </c>
      <c r="F403" s="5">
        <f t="shared" si="12"/>
        <v>15.302222222222222</v>
      </c>
      <c r="G403" t="s">
        <v>8</v>
      </c>
      <c r="H403">
        <v>299</v>
      </c>
      <c r="I403">
        <f t="shared" si="13"/>
        <v>46.060200668896321</v>
      </c>
      <c r="J403" t="s">
        <v>109</v>
      </c>
      <c r="K403" t="s">
        <v>110</v>
      </c>
      <c r="L403" s="4">
        <v>43765.208333333328</v>
      </c>
      <c r="M403" s="4" t="s">
        <v>56</v>
      </c>
      <c r="N403" s="4" t="s">
        <v>121</v>
      </c>
      <c r="O403" s="4">
        <v>43765.208333333328</v>
      </c>
      <c r="P403" t="b">
        <v>0</v>
      </c>
      <c r="Q403" t="b">
        <v>0</v>
      </c>
      <c r="R403" t="s">
        <v>124</v>
      </c>
      <c r="S403" t="str" cm="1">
        <f t="array" ref="S403:T403">_xlfn.TEXTSPLIT(R403, "/", , FALSE)</f>
        <v>theater</v>
      </c>
      <c r="T403" t="str">
        <v>plays</v>
      </c>
    </row>
    <row r="404" spans="1:20" ht="17" x14ac:dyDescent="0.2">
      <c r="A404">
        <v>402</v>
      </c>
      <c r="B404" t="s">
        <v>950</v>
      </c>
      <c r="C404" s="3" t="s">
        <v>951</v>
      </c>
      <c r="D404">
        <v>7300</v>
      </c>
      <c r="E404">
        <v>2946</v>
      </c>
      <c r="F404" s="5">
        <f t="shared" si="12"/>
        <v>0.40356164383561643</v>
      </c>
      <c r="G404" t="s">
        <v>6</v>
      </c>
      <c r="H404">
        <v>40</v>
      </c>
      <c r="I404">
        <f t="shared" si="13"/>
        <v>73.650000000000006</v>
      </c>
      <c r="J404" t="s">
        <v>109</v>
      </c>
      <c r="K404" t="s">
        <v>110</v>
      </c>
      <c r="L404" s="4">
        <v>40914.25</v>
      </c>
      <c r="M404" s="4" t="s">
        <v>47</v>
      </c>
      <c r="N404" s="4" t="s">
        <v>129</v>
      </c>
      <c r="O404" s="4">
        <v>40961.25</v>
      </c>
      <c r="P404" t="b">
        <v>0</v>
      </c>
      <c r="Q404" t="b">
        <v>1</v>
      </c>
      <c r="R404" t="s">
        <v>195</v>
      </c>
      <c r="S404" t="str" cm="1">
        <f t="array" ref="S404:T404">_xlfn.TEXTSPLIT(R404, "/", , FALSE)</f>
        <v>film &amp; video</v>
      </c>
      <c r="T404" t="str">
        <v>shorts</v>
      </c>
    </row>
    <row r="405" spans="1:20" ht="17" x14ac:dyDescent="0.2">
      <c r="A405">
        <v>403</v>
      </c>
      <c r="B405" t="s">
        <v>952</v>
      </c>
      <c r="C405" s="3" t="s">
        <v>953</v>
      </c>
      <c r="D405">
        <v>195800</v>
      </c>
      <c r="E405">
        <v>168820</v>
      </c>
      <c r="F405" s="5">
        <f t="shared" si="12"/>
        <v>0.86220633299284988</v>
      </c>
      <c r="G405" t="s">
        <v>6</v>
      </c>
      <c r="H405">
        <v>3015</v>
      </c>
      <c r="I405">
        <f t="shared" si="13"/>
        <v>55.99336650082919</v>
      </c>
      <c r="J405" t="s">
        <v>103</v>
      </c>
      <c r="K405" t="s">
        <v>104</v>
      </c>
      <c r="L405" s="4">
        <v>40310.208333333336</v>
      </c>
      <c r="M405" s="4" t="s">
        <v>51</v>
      </c>
      <c r="N405" s="4" t="s">
        <v>140</v>
      </c>
      <c r="O405" s="4">
        <v>40346.208333333336</v>
      </c>
      <c r="P405" t="b">
        <v>0</v>
      </c>
      <c r="Q405" t="b">
        <v>1</v>
      </c>
      <c r="R405" t="s">
        <v>124</v>
      </c>
      <c r="S405" t="str" cm="1">
        <f t="array" ref="S405:T405">_xlfn.TEXTSPLIT(R405, "/", , FALSE)</f>
        <v>theater</v>
      </c>
      <c r="T405" t="str">
        <v>plays</v>
      </c>
    </row>
    <row r="406" spans="1:20" ht="17" x14ac:dyDescent="0.2">
      <c r="A406">
        <v>404</v>
      </c>
      <c r="B406" t="s">
        <v>954</v>
      </c>
      <c r="C406" s="3" t="s">
        <v>955</v>
      </c>
      <c r="D406">
        <v>48900</v>
      </c>
      <c r="E406">
        <v>154321</v>
      </c>
      <c r="F406" s="5">
        <f t="shared" si="12"/>
        <v>3.1558486707566464</v>
      </c>
      <c r="G406" t="s">
        <v>8</v>
      </c>
      <c r="H406">
        <v>2237</v>
      </c>
      <c r="I406">
        <f t="shared" si="13"/>
        <v>68.985695127402778</v>
      </c>
      <c r="J406" t="s">
        <v>109</v>
      </c>
      <c r="K406" t="s">
        <v>110</v>
      </c>
      <c r="L406" s="4">
        <v>43053.25</v>
      </c>
      <c r="M406" s="4" t="s">
        <v>57</v>
      </c>
      <c r="N406" s="4" t="s">
        <v>134</v>
      </c>
      <c r="O406" s="4">
        <v>43056.25</v>
      </c>
      <c r="P406" t="b">
        <v>0</v>
      </c>
      <c r="Q406" t="b">
        <v>0</v>
      </c>
      <c r="R406" t="s">
        <v>124</v>
      </c>
      <c r="S406" t="str" cm="1">
        <f t="array" ref="S406:T406">_xlfn.TEXTSPLIT(R406, "/", , FALSE)</f>
        <v>theater</v>
      </c>
      <c r="T406" t="str">
        <v>plays</v>
      </c>
    </row>
    <row r="407" spans="1:20" ht="17" x14ac:dyDescent="0.2">
      <c r="A407">
        <v>405</v>
      </c>
      <c r="B407" t="s">
        <v>956</v>
      </c>
      <c r="C407" s="3" t="s">
        <v>957</v>
      </c>
      <c r="D407">
        <v>29600</v>
      </c>
      <c r="E407">
        <v>26527</v>
      </c>
      <c r="F407" s="5">
        <f t="shared" si="12"/>
        <v>0.89618243243243245</v>
      </c>
      <c r="G407" t="s">
        <v>6</v>
      </c>
      <c r="H407">
        <v>435</v>
      </c>
      <c r="I407">
        <f t="shared" si="13"/>
        <v>60.981609195402299</v>
      </c>
      <c r="J407" t="s">
        <v>109</v>
      </c>
      <c r="K407" t="s">
        <v>110</v>
      </c>
      <c r="L407" s="4">
        <v>43255.208333333328</v>
      </c>
      <c r="M407" s="4" t="s">
        <v>52</v>
      </c>
      <c r="N407" s="4" t="s">
        <v>169</v>
      </c>
      <c r="O407" s="4">
        <v>43305.208333333328</v>
      </c>
      <c r="P407" t="b">
        <v>0</v>
      </c>
      <c r="Q407" t="b">
        <v>0</v>
      </c>
      <c r="R407" t="s">
        <v>124</v>
      </c>
      <c r="S407" t="str" cm="1">
        <f t="array" ref="S407:T407">_xlfn.TEXTSPLIT(R407, "/", , FALSE)</f>
        <v>theater</v>
      </c>
      <c r="T407" t="str">
        <v>plays</v>
      </c>
    </row>
    <row r="408" spans="1:20" ht="17" x14ac:dyDescent="0.2">
      <c r="A408">
        <v>406</v>
      </c>
      <c r="B408" t="s">
        <v>958</v>
      </c>
      <c r="C408" s="3" t="s">
        <v>959</v>
      </c>
      <c r="D408">
        <v>39300</v>
      </c>
      <c r="E408">
        <v>71583</v>
      </c>
      <c r="F408" s="5">
        <f t="shared" si="12"/>
        <v>1.8214503816793892</v>
      </c>
      <c r="G408" t="s">
        <v>8</v>
      </c>
      <c r="H408">
        <v>645</v>
      </c>
      <c r="I408">
        <f t="shared" si="13"/>
        <v>110.98139534883721</v>
      </c>
      <c r="J408" t="s">
        <v>109</v>
      </c>
      <c r="K408" t="s">
        <v>110</v>
      </c>
      <c r="L408" s="4">
        <v>41304.25</v>
      </c>
      <c r="M408" s="4" t="s">
        <v>47</v>
      </c>
      <c r="N408" s="4" t="s">
        <v>117</v>
      </c>
      <c r="O408" s="4">
        <v>41316.25</v>
      </c>
      <c r="P408" t="b">
        <v>1</v>
      </c>
      <c r="Q408" t="b">
        <v>0</v>
      </c>
      <c r="R408" t="s">
        <v>135</v>
      </c>
      <c r="S408" t="str" cm="1">
        <f t="array" ref="S408:T408">_xlfn.TEXTSPLIT(R408, "/", , FALSE)</f>
        <v>film &amp; video</v>
      </c>
      <c r="T408" t="str">
        <v>documentary</v>
      </c>
    </row>
    <row r="409" spans="1:20" ht="17" x14ac:dyDescent="0.2">
      <c r="A409">
        <v>407</v>
      </c>
      <c r="B409" t="s">
        <v>960</v>
      </c>
      <c r="C409" s="3" t="s">
        <v>961</v>
      </c>
      <c r="D409">
        <v>3400</v>
      </c>
      <c r="E409">
        <v>12100</v>
      </c>
      <c r="F409" s="5">
        <f t="shared" si="12"/>
        <v>3.5588235294117645</v>
      </c>
      <c r="G409" t="s">
        <v>8</v>
      </c>
      <c r="H409">
        <v>484</v>
      </c>
      <c r="I409">
        <f t="shared" si="13"/>
        <v>25</v>
      </c>
      <c r="J409" t="s">
        <v>127</v>
      </c>
      <c r="K409" t="s">
        <v>128</v>
      </c>
      <c r="L409" s="4">
        <v>43751.208333333328</v>
      </c>
      <c r="M409" s="4" t="s">
        <v>56</v>
      </c>
      <c r="N409" s="4" t="s">
        <v>121</v>
      </c>
      <c r="O409" s="4">
        <v>43758.208333333328</v>
      </c>
      <c r="P409" t="b">
        <v>0</v>
      </c>
      <c r="Q409" t="b">
        <v>0</v>
      </c>
      <c r="R409" t="s">
        <v>124</v>
      </c>
      <c r="S409" t="str" cm="1">
        <f t="array" ref="S409:T409">_xlfn.TEXTSPLIT(R409, "/", , FALSE)</f>
        <v>theater</v>
      </c>
      <c r="T409" t="str">
        <v>plays</v>
      </c>
    </row>
    <row r="410" spans="1:20" ht="17" x14ac:dyDescent="0.2">
      <c r="A410">
        <v>408</v>
      </c>
      <c r="B410" t="s">
        <v>962</v>
      </c>
      <c r="C410" s="3" t="s">
        <v>963</v>
      </c>
      <c r="D410">
        <v>9200</v>
      </c>
      <c r="E410">
        <v>12129</v>
      </c>
      <c r="F410" s="5">
        <f t="shared" si="12"/>
        <v>1.3183695652173912</v>
      </c>
      <c r="G410" t="s">
        <v>8</v>
      </c>
      <c r="H410">
        <v>154</v>
      </c>
      <c r="I410">
        <f t="shared" si="13"/>
        <v>78.759740259740255</v>
      </c>
      <c r="J410" t="s">
        <v>103</v>
      </c>
      <c r="K410" t="s">
        <v>104</v>
      </c>
      <c r="L410" s="4">
        <v>42541.208333333328</v>
      </c>
      <c r="M410" s="4" t="s">
        <v>52</v>
      </c>
      <c r="N410" s="4" t="s">
        <v>153</v>
      </c>
      <c r="O410" s="4">
        <v>42561.208333333328</v>
      </c>
      <c r="P410" t="b">
        <v>0</v>
      </c>
      <c r="Q410" t="b">
        <v>0</v>
      </c>
      <c r="R410" t="s">
        <v>135</v>
      </c>
      <c r="S410" t="str" cm="1">
        <f t="array" ref="S410:T410">_xlfn.TEXTSPLIT(R410, "/", , FALSE)</f>
        <v>film &amp; video</v>
      </c>
      <c r="T410" t="str">
        <v>documentary</v>
      </c>
    </row>
    <row r="411" spans="1:20" ht="17" x14ac:dyDescent="0.2">
      <c r="A411">
        <v>409</v>
      </c>
      <c r="B411" t="s">
        <v>338</v>
      </c>
      <c r="C411" s="3" t="s">
        <v>964</v>
      </c>
      <c r="D411">
        <v>135600</v>
      </c>
      <c r="E411">
        <v>62804</v>
      </c>
      <c r="F411" s="5">
        <f t="shared" si="12"/>
        <v>0.46315634218289087</v>
      </c>
      <c r="G411" t="s">
        <v>6</v>
      </c>
      <c r="H411">
        <v>714</v>
      </c>
      <c r="I411">
        <f t="shared" si="13"/>
        <v>87.960784313725483</v>
      </c>
      <c r="J411" t="s">
        <v>109</v>
      </c>
      <c r="K411" t="s">
        <v>110</v>
      </c>
      <c r="L411" s="4">
        <v>42843.208333333328</v>
      </c>
      <c r="M411" s="4" t="s">
        <v>50</v>
      </c>
      <c r="N411" s="4" t="s">
        <v>134</v>
      </c>
      <c r="O411" s="4">
        <v>42847.208333333328</v>
      </c>
      <c r="P411" t="b">
        <v>0</v>
      </c>
      <c r="Q411" t="b">
        <v>0</v>
      </c>
      <c r="R411" t="s">
        <v>112</v>
      </c>
      <c r="S411" t="str" cm="1">
        <f t="array" ref="S411:T411">_xlfn.TEXTSPLIT(R411, "/", , FALSE)</f>
        <v>music</v>
      </c>
      <c r="T411" t="str">
        <v>rock</v>
      </c>
    </row>
    <row r="412" spans="1:20" ht="17" x14ac:dyDescent="0.2">
      <c r="A412">
        <v>410</v>
      </c>
      <c r="B412" t="s">
        <v>965</v>
      </c>
      <c r="C412" s="3" t="s">
        <v>966</v>
      </c>
      <c r="D412">
        <v>153700</v>
      </c>
      <c r="E412">
        <v>55536</v>
      </c>
      <c r="F412" s="5">
        <f t="shared" si="12"/>
        <v>0.36132726089785294</v>
      </c>
      <c r="G412" t="s">
        <v>7</v>
      </c>
      <c r="H412">
        <v>1111</v>
      </c>
      <c r="I412">
        <f t="shared" si="13"/>
        <v>49.987398739873989</v>
      </c>
      <c r="J412" t="s">
        <v>109</v>
      </c>
      <c r="K412" t="s">
        <v>110</v>
      </c>
      <c r="L412" s="4">
        <v>42122.208333333328</v>
      </c>
      <c r="M412" s="4" t="s">
        <v>50</v>
      </c>
      <c r="N412" s="4" t="s">
        <v>105</v>
      </c>
      <c r="O412" s="4">
        <v>42122.208333333328</v>
      </c>
      <c r="P412" t="b">
        <v>0</v>
      </c>
      <c r="Q412" t="b">
        <v>0</v>
      </c>
      <c r="R412" t="s">
        <v>387</v>
      </c>
      <c r="S412" t="str" cm="1">
        <f t="array" ref="S412:T412">_xlfn.TEXTSPLIT(R412, "/", , FALSE)</f>
        <v>games</v>
      </c>
      <c r="T412" t="str">
        <v>mobile games</v>
      </c>
    </row>
    <row r="413" spans="1:20" ht="17" x14ac:dyDescent="0.2">
      <c r="A413">
        <v>411</v>
      </c>
      <c r="B413" t="s">
        <v>967</v>
      </c>
      <c r="C413" s="3" t="s">
        <v>968</v>
      </c>
      <c r="D413">
        <v>7800</v>
      </c>
      <c r="E413">
        <v>8161</v>
      </c>
      <c r="F413" s="5">
        <f t="shared" si="12"/>
        <v>1.0462820512820512</v>
      </c>
      <c r="G413" t="s">
        <v>8</v>
      </c>
      <c r="H413">
        <v>82</v>
      </c>
      <c r="I413">
        <f t="shared" si="13"/>
        <v>99.524390243902445</v>
      </c>
      <c r="J413" t="s">
        <v>109</v>
      </c>
      <c r="K413" t="s">
        <v>110</v>
      </c>
      <c r="L413" s="4">
        <v>42884.208333333328</v>
      </c>
      <c r="M413" s="4" t="s">
        <v>51</v>
      </c>
      <c r="N413" s="4" t="s">
        <v>134</v>
      </c>
      <c r="O413" s="4">
        <v>42886.208333333328</v>
      </c>
      <c r="P413" t="b">
        <v>0</v>
      </c>
      <c r="Q413" t="b">
        <v>0</v>
      </c>
      <c r="R413" t="s">
        <v>124</v>
      </c>
      <c r="S413" t="str" cm="1">
        <f t="array" ref="S413:T413">_xlfn.TEXTSPLIT(R413, "/", , FALSE)</f>
        <v>theater</v>
      </c>
      <c r="T413" t="str">
        <v>plays</v>
      </c>
    </row>
    <row r="414" spans="1:20" ht="17" x14ac:dyDescent="0.2">
      <c r="A414">
        <v>412</v>
      </c>
      <c r="B414" t="s">
        <v>969</v>
      </c>
      <c r="C414" s="3" t="s">
        <v>970</v>
      </c>
      <c r="D414">
        <v>2100</v>
      </c>
      <c r="E414">
        <v>14046</v>
      </c>
      <c r="F414" s="5">
        <f t="shared" si="12"/>
        <v>6.6885714285714286</v>
      </c>
      <c r="G414" t="s">
        <v>8</v>
      </c>
      <c r="H414">
        <v>134</v>
      </c>
      <c r="I414">
        <f t="shared" si="13"/>
        <v>104.82089552238806</v>
      </c>
      <c r="J414" t="s">
        <v>109</v>
      </c>
      <c r="K414" t="s">
        <v>110</v>
      </c>
      <c r="L414" s="4">
        <v>41642.25</v>
      </c>
      <c r="M414" s="4" t="s">
        <v>47</v>
      </c>
      <c r="N414" s="4" t="s">
        <v>111</v>
      </c>
      <c r="O414" s="4">
        <v>41652.25</v>
      </c>
      <c r="P414" t="b">
        <v>0</v>
      </c>
      <c r="Q414" t="b">
        <v>0</v>
      </c>
      <c r="R414" t="s">
        <v>214</v>
      </c>
      <c r="S414" t="str" cm="1">
        <f t="array" ref="S414:T414">_xlfn.TEXTSPLIT(R414, "/", , FALSE)</f>
        <v>publishing</v>
      </c>
      <c r="T414" t="str">
        <v>fiction</v>
      </c>
    </row>
    <row r="415" spans="1:20" ht="17" x14ac:dyDescent="0.2">
      <c r="A415">
        <v>413</v>
      </c>
      <c r="B415" t="s">
        <v>971</v>
      </c>
      <c r="C415" s="3" t="s">
        <v>972</v>
      </c>
      <c r="D415">
        <v>189500</v>
      </c>
      <c r="E415">
        <v>117628</v>
      </c>
      <c r="F415" s="5">
        <f t="shared" si="12"/>
        <v>0.62072823218997364</v>
      </c>
      <c r="G415" t="s">
        <v>7</v>
      </c>
      <c r="H415">
        <v>1089</v>
      </c>
      <c r="I415">
        <f t="shared" si="13"/>
        <v>108.01469237832875</v>
      </c>
      <c r="J415" t="s">
        <v>109</v>
      </c>
      <c r="K415" t="s">
        <v>110</v>
      </c>
      <c r="L415" s="4">
        <v>43431.25</v>
      </c>
      <c r="M415" s="4" t="s">
        <v>57</v>
      </c>
      <c r="N415" s="4" t="s">
        <v>169</v>
      </c>
      <c r="O415" s="4">
        <v>43458.25</v>
      </c>
      <c r="P415" t="b">
        <v>0</v>
      </c>
      <c r="Q415" t="b">
        <v>0</v>
      </c>
      <c r="R415" t="s">
        <v>166</v>
      </c>
      <c r="S415" t="str" cm="1">
        <f t="array" ref="S415:T415">_xlfn.TEXTSPLIT(R415, "/", , FALSE)</f>
        <v>film &amp; video</v>
      </c>
      <c r="T415" t="str">
        <v>animation</v>
      </c>
    </row>
    <row r="416" spans="1:20" ht="17" x14ac:dyDescent="0.2">
      <c r="A416">
        <v>414</v>
      </c>
      <c r="B416" t="s">
        <v>973</v>
      </c>
      <c r="C416" s="3" t="s">
        <v>974</v>
      </c>
      <c r="D416">
        <v>188200</v>
      </c>
      <c r="E416">
        <v>159405</v>
      </c>
      <c r="F416" s="5">
        <f t="shared" si="12"/>
        <v>0.84699787460148779</v>
      </c>
      <c r="G416" t="s">
        <v>6</v>
      </c>
      <c r="H416">
        <v>5497</v>
      </c>
      <c r="I416">
        <f t="shared" si="13"/>
        <v>28.998544660724033</v>
      </c>
      <c r="J416" t="s">
        <v>109</v>
      </c>
      <c r="K416" t="s">
        <v>110</v>
      </c>
      <c r="L416" s="4">
        <v>40288.208333333336</v>
      </c>
      <c r="M416" s="4" t="s">
        <v>50</v>
      </c>
      <c r="N416" s="4" t="s">
        <v>140</v>
      </c>
      <c r="O416" s="4">
        <v>40296.208333333336</v>
      </c>
      <c r="P416" t="b">
        <v>0</v>
      </c>
      <c r="Q416" t="b">
        <v>1</v>
      </c>
      <c r="R416" t="s">
        <v>106</v>
      </c>
      <c r="S416" t="str" cm="1">
        <f t="array" ref="S416:T416">_xlfn.TEXTSPLIT(R416, "/", , FALSE)</f>
        <v>food</v>
      </c>
      <c r="T416" t="str">
        <v>food trucks</v>
      </c>
    </row>
    <row r="417" spans="1:20" ht="17" x14ac:dyDescent="0.2">
      <c r="A417">
        <v>415</v>
      </c>
      <c r="B417" t="s">
        <v>975</v>
      </c>
      <c r="C417" s="3" t="s">
        <v>976</v>
      </c>
      <c r="D417">
        <v>113500</v>
      </c>
      <c r="E417">
        <v>12552</v>
      </c>
      <c r="F417" s="5">
        <f t="shared" si="12"/>
        <v>0.11059030837004405</v>
      </c>
      <c r="G417" t="s">
        <v>6</v>
      </c>
      <c r="H417">
        <v>418</v>
      </c>
      <c r="I417">
        <f t="shared" si="13"/>
        <v>30.028708133971293</v>
      </c>
      <c r="J417" t="s">
        <v>109</v>
      </c>
      <c r="K417" t="s">
        <v>110</v>
      </c>
      <c r="L417" s="4">
        <v>40921.25</v>
      </c>
      <c r="M417" s="4" t="s">
        <v>47</v>
      </c>
      <c r="N417" s="4" t="s">
        <v>129</v>
      </c>
      <c r="O417" s="4">
        <v>40938.25</v>
      </c>
      <c r="P417" t="b">
        <v>0</v>
      </c>
      <c r="Q417" t="b">
        <v>0</v>
      </c>
      <c r="R417" t="s">
        <v>124</v>
      </c>
      <c r="S417" t="str" cm="1">
        <f t="array" ref="S417:T417">_xlfn.TEXTSPLIT(R417, "/", , FALSE)</f>
        <v>theater</v>
      </c>
      <c r="T417" t="str">
        <v>plays</v>
      </c>
    </row>
    <row r="418" spans="1:20" ht="34" x14ac:dyDescent="0.2">
      <c r="A418">
        <v>416</v>
      </c>
      <c r="B418" t="s">
        <v>977</v>
      </c>
      <c r="C418" s="3" t="s">
        <v>978</v>
      </c>
      <c r="D418">
        <v>134600</v>
      </c>
      <c r="E418">
        <v>59007</v>
      </c>
      <c r="F418" s="5">
        <f t="shared" si="12"/>
        <v>0.43838781575037145</v>
      </c>
      <c r="G418" t="s">
        <v>6</v>
      </c>
      <c r="H418">
        <v>1439</v>
      </c>
      <c r="I418">
        <f t="shared" si="13"/>
        <v>41.005559416261292</v>
      </c>
      <c r="J418" t="s">
        <v>109</v>
      </c>
      <c r="K418" t="s">
        <v>110</v>
      </c>
      <c r="L418" s="4">
        <v>40560.25</v>
      </c>
      <c r="M418" s="4" t="s">
        <v>47</v>
      </c>
      <c r="N418" s="4" t="s">
        <v>165</v>
      </c>
      <c r="O418" s="4">
        <v>40569.25</v>
      </c>
      <c r="P418" t="b">
        <v>0</v>
      </c>
      <c r="Q418" t="b">
        <v>1</v>
      </c>
      <c r="R418" t="s">
        <v>135</v>
      </c>
      <c r="S418" t="str" cm="1">
        <f t="array" ref="S418:T418">_xlfn.TEXTSPLIT(R418, "/", , FALSE)</f>
        <v>film &amp; video</v>
      </c>
      <c r="T418" t="str">
        <v>documentary</v>
      </c>
    </row>
    <row r="419" spans="1:20" ht="17" x14ac:dyDescent="0.2">
      <c r="A419">
        <v>417</v>
      </c>
      <c r="B419" t="s">
        <v>979</v>
      </c>
      <c r="C419" s="3" t="s">
        <v>980</v>
      </c>
      <c r="D419">
        <v>1700</v>
      </c>
      <c r="E419">
        <v>943</v>
      </c>
      <c r="F419" s="5">
        <f t="shared" si="12"/>
        <v>0.55470588235294116</v>
      </c>
      <c r="G419" t="s">
        <v>6</v>
      </c>
      <c r="H419">
        <v>15</v>
      </c>
      <c r="I419">
        <f t="shared" si="13"/>
        <v>62.866666666666667</v>
      </c>
      <c r="J419" t="s">
        <v>109</v>
      </c>
      <c r="K419" t="s">
        <v>110</v>
      </c>
      <c r="L419" s="4">
        <v>43407.208333333328</v>
      </c>
      <c r="M419" s="4" t="s">
        <v>57</v>
      </c>
      <c r="N419" s="4" t="s">
        <v>169</v>
      </c>
      <c r="O419" s="4">
        <v>43431.25</v>
      </c>
      <c r="P419" t="b">
        <v>0</v>
      </c>
      <c r="Q419" t="b">
        <v>0</v>
      </c>
      <c r="R419" t="s">
        <v>124</v>
      </c>
      <c r="S419" t="str" cm="1">
        <f t="array" ref="S419:T419">_xlfn.TEXTSPLIT(R419, "/", , FALSE)</f>
        <v>theater</v>
      </c>
      <c r="T419" t="str">
        <v>plays</v>
      </c>
    </row>
    <row r="420" spans="1:20" ht="17" x14ac:dyDescent="0.2">
      <c r="A420">
        <v>418</v>
      </c>
      <c r="B420" t="s">
        <v>200</v>
      </c>
      <c r="C420" s="3" t="s">
        <v>981</v>
      </c>
      <c r="D420">
        <v>163700</v>
      </c>
      <c r="E420">
        <v>93963</v>
      </c>
      <c r="F420" s="5">
        <f t="shared" si="12"/>
        <v>0.57399511301160655</v>
      </c>
      <c r="G420" t="s">
        <v>6</v>
      </c>
      <c r="H420">
        <v>1999</v>
      </c>
      <c r="I420">
        <f t="shared" si="13"/>
        <v>47.005002501250623</v>
      </c>
      <c r="J420" t="s">
        <v>103</v>
      </c>
      <c r="K420" t="s">
        <v>104</v>
      </c>
      <c r="L420" s="4">
        <v>41035.208333333336</v>
      </c>
      <c r="M420" s="4" t="s">
        <v>51</v>
      </c>
      <c r="N420" s="4" t="s">
        <v>129</v>
      </c>
      <c r="O420" s="4">
        <v>41036.208333333336</v>
      </c>
      <c r="P420" t="b">
        <v>0</v>
      </c>
      <c r="Q420" t="b">
        <v>0</v>
      </c>
      <c r="R420" t="s">
        <v>135</v>
      </c>
      <c r="S420" t="str" cm="1">
        <f t="array" ref="S420:T420">_xlfn.TEXTSPLIT(R420, "/", , FALSE)</f>
        <v>film &amp; video</v>
      </c>
      <c r="T420" t="str">
        <v>documentary</v>
      </c>
    </row>
    <row r="421" spans="1:20" ht="17" x14ac:dyDescent="0.2">
      <c r="A421">
        <v>419</v>
      </c>
      <c r="B421" t="s">
        <v>982</v>
      </c>
      <c r="C421" s="3" t="s">
        <v>983</v>
      </c>
      <c r="D421">
        <v>113800</v>
      </c>
      <c r="E421">
        <v>140469</v>
      </c>
      <c r="F421" s="5">
        <f t="shared" si="12"/>
        <v>1.2343497363796134</v>
      </c>
      <c r="G421" t="s">
        <v>8</v>
      </c>
      <c r="H421">
        <v>5203</v>
      </c>
      <c r="I421">
        <f t="shared" si="13"/>
        <v>26.997693638285604</v>
      </c>
      <c r="J421" t="s">
        <v>109</v>
      </c>
      <c r="K421" t="s">
        <v>110</v>
      </c>
      <c r="L421" s="4">
        <v>40899.25</v>
      </c>
      <c r="M421" s="4" t="s">
        <v>58</v>
      </c>
      <c r="N421" s="4" t="s">
        <v>165</v>
      </c>
      <c r="O421" s="4">
        <v>40905.25</v>
      </c>
      <c r="P421" t="b">
        <v>0</v>
      </c>
      <c r="Q421" t="b">
        <v>0</v>
      </c>
      <c r="R421" t="s">
        <v>118</v>
      </c>
      <c r="S421" t="str" cm="1">
        <f t="array" ref="S421:T421">_xlfn.TEXTSPLIT(R421, "/", , FALSE)</f>
        <v>technology</v>
      </c>
      <c r="T421" t="str">
        <v>web</v>
      </c>
    </row>
    <row r="422" spans="1:20" ht="17" x14ac:dyDescent="0.2">
      <c r="A422">
        <v>420</v>
      </c>
      <c r="B422" t="s">
        <v>984</v>
      </c>
      <c r="C422" s="3" t="s">
        <v>985</v>
      </c>
      <c r="D422">
        <v>5000</v>
      </c>
      <c r="E422">
        <v>6423</v>
      </c>
      <c r="F422" s="5">
        <f t="shared" si="12"/>
        <v>1.2846</v>
      </c>
      <c r="G422" t="s">
        <v>8</v>
      </c>
      <c r="H422">
        <v>94</v>
      </c>
      <c r="I422">
        <f t="shared" si="13"/>
        <v>68.329787234042556</v>
      </c>
      <c r="J422" t="s">
        <v>109</v>
      </c>
      <c r="K422" t="s">
        <v>110</v>
      </c>
      <c r="L422" s="4">
        <v>42911.208333333328</v>
      </c>
      <c r="M422" s="4" t="s">
        <v>52</v>
      </c>
      <c r="N422" s="4" t="s">
        <v>134</v>
      </c>
      <c r="O422" s="4">
        <v>42925.208333333328</v>
      </c>
      <c r="P422" t="b">
        <v>0</v>
      </c>
      <c r="Q422" t="b">
        <v>0</v>
      </c>
      <c r="R422" t="s">
        <v>124</v>
      </c>
      <c r="S422" t="str" cm="1">
        <f t="array" ref="S422:T422">_xlfn.TEXTSPLIT(R422, "/", , FALSE)</f>
        <v>theater</v>
      </c>
      <c r="T422" t="str">
        <v>plays</v>
      </c>
    </row>
    <row r="423" spans="1:20" ht="17" x14ac:dyDescent="0.2">
      <c r="A423">
        <v>421</v>
      </c>
      <c r="B423" t="s">
        <v>986</v>
      </c>
      <c r="C423" s="3" t="s">
        <v>987</v>
      </c>
      <c r="D423">
        <v>9400</v>
      </c>
      <c r="E423">
        <v>6015</v>
      </c>
      <c r="F423" s="5">
        <f t="shared" si="12"/>
        <v>0.63989361702127656</v>
      </c>
      <c r="G423" t="s">
        <v>6</v>
      </c>
      <c r="H423">
        <v>118</v>
      </c>
      <c r="I423">
        <f t="shared" si="13"/>
        <v>50.974576271186443</v>
      </c>
      <c r="J423" t="s">
        <v>109</v>
      </c>
      <c r="K423" t="s">
        <v>110</v>
      </c>
      <c r="L423" s="4">
        <v>42915.208333333328</v>
      </c>
      <c r="M423" s="4" t="s">
        <v>52</v>
      </c>
      <c r="N423" s="4" t="s">
        <v>134</v>
      </c>
      <c r="O423" s="4">
        <v>42945.208333333328</v>
      </c>
      <c r="P423" t="b">
        <v>0</v>
      </c>
      <c r="Q423" t="b">
        <v>1</v>
      </c>
      <c r="R423" t="s">
        <v>159</v>
      </c>
      <c r="S423" t="str" cm="1">
        <f t="array" ref="S423:T423">_xlfn.TEXTSPLIT(R423, "/", , FALSE)</f>
        <v>technology</v>
      </c>
      <c r="T423" t="str">
        <v>wearables</v>
      </c>
    </row>
    <row r="424" spans="1:20" ht="34" x14ac:dyDescent="0.2">
      <c r="A424">
        <v>422</v>
      </c>
      <c r="B424" t="s">
        <v>988</v>
      </c>
      <c r="C424" s="3" t="s">
        <v>989</v>
      </c>
      <c r="D424">
        <v>8700</v>
      </c>
      <c r="E424">
        <v>11075</v>
      </c>
      <c r="F424" s="5">
        <f t="shared" si="12"/>
        <v>1.2729885057471264</v>
      </c>
      <c r="G424" t="s">
        <v>8</v>
      </c>
      <c r="H424">
        <v>205</v>
      </c>
      <c r="I424">
        <f t="shared" si="13"/>
        <v>54.024390243902438</v>
      </c>
      <c r="J424" t="s">
        <v>109</v>
      </c>
      <c r="K424" t="s">
        <v>110</v>
      </c>
      <c r="L424" s="4">
        <v>40285.208333333336</v>
      </c>
      <c r="M424" s="4" t="s">
        <v>50</v>
      </c>
      <c r="N424" s="4" t="s">
        <v>140</v>
      </c>
      <c r="O424" s="4">
        <v>40305.208333333336</v>
      </c>
      <c r="P424" t="b">
        <v>0</v>
      </c>
      <c r="Q424" t="b">
        <v>1</v>
      </c>
      <c r="R424" t="s">
        <v>124</v>
      </c>
      <c r="S424" t="str" cm="1">
        <f t="array" ref="S424:T424">_xlfn.TEXTSPLIT(R424, "/", , FALSE)</f>
        <v>theater</v>
      </c>
      <c r="T424" t="str">
        <v>plays</v>
      </c>
    </row>
    <row r="425" spans="1:20" ht="17" x14ac:dyDescent="0.2">
      <c r="A425">
        <v>423</v>
      </c>
      <c r="B425" t="s">
        <v>990</v>
      </c>
      <c r="C425" s="3" t="s">
        <v>991</v>
      </c>
      <c r="D425">
        <v>147800</v>
      </c>
      <c r="E425">
        <v>15723</v>
      </c>
      <c r="F425" s="5">
        <f t="shared" si="12"/>
        <v>0.10638024357239513</v>
      </c>
      <c r="G425" t="s">
        <v>6</v>
      </c>
      <c r="H425">
        <v>162</v>
      </c>
      <c r="I425">
        <f t="shared" si="13"/>
        <v>97.055555555555557</v>
      </c>
      <c r="J425" t="s">
        <v>109</v>
      </c>
      <c r="K425" t="s">
        <v>110</v>
      </c>
      <c r="L425" s="4">
        <v>40808.208333333336</v>
      </c>
      <c r="M425" s="4" t="s">
        <v>55</v>
      </c>
      <c r="N425" s="4" t="s">
        <v>165</v>
      </c>
      <c r="O425" s="4">
        <v>40810.208333333336</v>
      </c>
      <c r="P425" t="b">
        <v>0</v>
      </c>
      <c r="Q425" t="b">
        <v>1</v>
      </c>
      <c r="R425" t="s">
        <v>106</v>
      </c>
      <c r="S425" t="str" cm="1">
        <f t="array" ref="S425:T425">_xlfn.TEXTSPLIT(R425, "/", , FALSE)</f>
        <v>food</v>
      </c>
      <c r="T425" t="str">
        <v>food trucks</v>
      </c>
    </row>
    <row r="426" spans="1:20" ht="17" x14ac:dyDescent="0.2">
      <c r="A426">
        <v>424</v>
      </c>
      <c r="B426" t="s">
        <v>992</v>
      </c>
      <c r="C426" s="3" t="s">
        <v>993</v>
      </c>
      <c r="D426">
        <v>5100</v>
      </c>
      <c r="E426">
        <v>2064</v>
      </c>
      <c r="F426" s="5">
        <f t="shared" si="12"/>
        <v>0.40470588235294119</v>
      </c>
      <c r="G426" t="s">
        <v>6</v>
      </c>
      <c r="H426">
        <v>83</v>
      </c>
      <c r="I426">
        <f t="shared" si="13"/>
        <v>24.867469879518072</v>
      </c>
      <c r="J426" t="s">
        <v>109</v>
      </c>
      <c r="K426" t="s">
        <v>110</v>
      </c>
      <c r="L426" s="4">
        <v>43208.208333333328</v>
      </c>
      <c r="M426" s="4" t="s">
        <v>50</v>
      </c>
      <c r="N426" s="4" t="s">
        <v>169</v>
      </c>
      <c r="O426" s="4">
        <v>43214.208333333328</v>
      </c>
      <c r="P426" t="b">
        <v>0</v>
      </c>
      <c r="Q426" t="b">
        <v>0</v>
      </c>
      <c r="R426" t="s">
        <v>154</v>
      </c>
      <c r="S426" t="str" cm="1">
        <f t="array" ref="S426:T426">_xlfn.TEXTSPLIT(R426, "/", , FALSE)</f>
        <v>music</v>
      </c>
      <c r="T426" t="str">
        <v>indie rock</v>
      </c>
    </row>
    <row r="427" spans="1:20" ht="17" x14ac:dyDescent="0.2">
      <c r="A427">
        <v>425</v>
      </c>
      <c r="B427" t="s">
        <v>994</v>
      </c>
      <c r="C427" s="3" t="s">
        <v>995</v>
      </c>
      <c r="D427">
        <v>2700</v>
      </c>
      <c r="E427">
        <v>7767</v>
      </c>
      <c r="F427" s="5">
        <f t="shared" si="12"/>
        <v>2.8766666666666665</v>
      </c>
      <c r="G427" t="s">
        <v>8</v>
      </c>
      <c r="H427">
        <v>92</v>
      </c>
      <c r="I427">
        <f t="shared" si="13"/>
        <v>84.423913043478265</v>
      </c>
      <c r="J427" t="s">
        <v>109</v>
      </c>
      <c r="K427" t="s">
        <v>110</v>
      </c>
      <c r="L427" s="4">
        <v>42213.208333333328</v>
      </c>
      <c r="M427" s="4" t="s">
        <v>53</v>
      </c>
      <c r="N427" s="4" t="s">
        <v>105</v>
      </c>
      <c r="O427" s="4">
        <v>42219.208333333328</v>
      </c>
      <c r="P427" t="b">
        <v>0</v>
      </c>
      <c r="Q427" t="b">
        <v>0</v>
      </c>
      <c r="R427" t="s">
        <v>217</v>
      </c>
      <c r="S427" t="str" cm="1">
        <f t="array" ref="S427:T427">_xlfn.TEXTSPLIT(R427, "/", , FALSE)</f>
        <v>photography</v>
      </c>
      <c r="T427" t="str">
        <v>photography books</v>
      </c>
    </row>
    <row r="428" spans="1:20" ht="17" x14ac:dyDescent="0.2">
      <c r="A428">
        <v>426</v>
      </c>
      <c r="B428" t="s">
        <v>996</v>
      </c>
      <c r="C428" s="3" t="s">
        <v>997</v>
      </c>
      <c r="D428">
        <v>1800</v>
      </c>
      <c r="E428">
        <v>10313</v>
      </c>
      <c r="F428" s="5">
        <f t="shared" si="12"/>
        <v>5.7294444444444448</v>
      </c>
      <c r="G428" t="s">
        <v>8</v>
      </c>
      <c r="H428">
        <v>219</v>
      </c>
      <c r="I428">
        <f t="shared" si="13"/>
        <v>47.091324200913242</v>
      </c>
      <c r="J428" t="s">
        <v>109</v>
      </c>
      <c r="K428" t="s">
        <v>110</v>
      </c>
      <c r="L428" s="4">
        <v>41332.25</v>
      </c>
      <c r="M428" s="4" t="s">
        <v>48</v>
      </c>
      <c r="N428" s="4" t="s">
        <v>117</v>
      </c>
      <c r="O428" s="4">
        <v>41339.25</v>
      </c>
      <c r="P428" t="b">
        <v>0</v>
      </c>
      <c r="Q428" t="b">
        <v>0</v>
      </c>
      <c r="R428" t="s">
        <v>124</v>
      </c>
      <c r="S428" t="str" cm="1">
        <f t="array" ref="S428:T428">_xlfn.TEXTSPLIT(R428, "/", , FALSE)</f>
        <v>theater</v>
      </c>
      <c r="T428" t="str">
        <v>plays</v>
      </c>
    </row>
    <row r="429" spans="1:20" ht="17" x14ac:dyDescent="0.2">
      <c r="A429">
        <v>427</v>
      </c>
      <c r="B429" t="s">
        <v>998</v>
      </c>
      <c r="C429" s="3" t="s">
        <v>999</v>
      </c>
      <c r="D429">
        <v>174500</v>
      </c>
      <c r="E429">
        <v>197018</v>
      </c>
      <c r="F429" s="5">
        <f t="shared" si="12"/>
        <v>1.1290429799426933</v>
      </c>
      <c r="G429" t="s">
        <v>8</v>
      </c>
      <c r="H429">
        <v>2526</v>
      </c>
      <c r="I429">
        <f t="shared" si="13"/>
        <v>77.996041171813147</v>
      </c>
      <c r="J429" t="s">
        <v>109</v>
      </c>
      <c r="K429" t="s">
        <v>110</v>
      </c>
      <c r="L429" s="4">
        <v>41895.208333333336</v>
      </c>
      <c r="M429" s="4" t="s">
        <v>55</v>
      </c>
      <c r="N429" s="4" t="s">
        <v>111</v>
      </c>
      <c r="O429" s="4">
        <v>41927.208333333336</v>
      </c>
      <c r="P429" t="b">
        <v>0</v>
      </c>
      <c r="Q429" t="b">
        <v>1</v>
      </c>
      <c r="R429" t="s">
        <v>124</v>
      </c>
      <c r="S429" t="str" cm="1">
        <f t="array" ref="S429:T429">_xlfn.TEXTSPLIT(R429, "/", , FALSE)</f>
        <v>theater</v>
      </c>
      <c r="T429" t="str">
        <v>plays</v>
      </c>
    </row>
    <row r="430" spans="1:20" ht="17" x14ac:dyDescent="0.2">
      <c r="A430">
        <v>428</v>
      </c>
      <c r="B430" t="s">
        <v>1000</v>
      </c>
      <c r="C430" s="3" t="s">
        <v>1001</v>
      </c>
      <c r="D430">
        <v>101400</v>
      </c>
      <c r="E430">
        <v>47037</v>
      </c>
      <c r="F430" s="5">
        <f t="shared" si="12"/>
        <v>0.46387573964497042</v>
      </c>
      <c r="G430" t="s">
        <v>6</v>
      </c>
      <c r="H430">
        <v>747</v>
      </c>
      <c r="I430">
        <f t="shared" si="13"/>
        <v>62.967871485943775</v>
      </c>
      <c r="J430" t="s">
        <v>109</v>
      </c>
      <c r="K430" t="s">
        <v>110</v>
      </c>
      <c r="L430" s="4">
        <v>40585.25</v>
      </c>
      <c r="M430" s="4" t="s">
        <v>48</v>
      </c>
      <c r="N430" s="4" t="s">
        <v>165</v>
      </c>
      <c r="O430" s="4">
        <v>40592.25</v>
      </c>
      <c r="P430" t="b">
        <v>0</v>
      </c>
      <c r="Q430" t="b">
        <v>0</v>
      </c>
      <c r="R430" t="s">
        <v>166</v>
      </c>
      <c r="S430" t="str" cm="1">
        <f t="array" ref="S430:T430">_xlfn.TEXTSPLIT(R430, "/", , FALSE)</f>
        <v>film &amp; video</v>
      </c>
      <c r="T430" t="str">
        <v>animation</v>
      </c>
    </row>
    <row r="431" spans="1:20" ht="17" x14ac:dyDescent="0.2">
      <c r="A431">
        <v>429</v>
      </c>
      <c r="B431" t="s">
        <v>1002</v>
      </c>
      <c r="C431" s="3" t="s">
        <v>1003</v>
      </c>
      <c r="D431">
        <v>191000</v>
      </c>
      <c r="E431">
        <v>173191</v>
      </c>
      <c r="F431" s="5">
        <f t="shared" si="12"/>
        <v>0.90675916230366493</v>
      </c>
      <c r="G431" t="s">
        <v>5</v>
      </c>
      <c r="H431">
        <v>2138</v>
      </c>
      <c r="I431">
        <f t="shared" si="13"/>
        <v>81.006080449017773</v>
      </c>
      <c r="J431" t="s">
        <v>109</v>
      </c>
      <c r="K431" t="s">
        <v>110</v>
      </c>
      <c r="L431" s="4">
        <v>41680.25</v>
      </c>
      <c r="M431" s="4" t="s">
        <v>48</v>
      </c>
      <c r="N431" s="4" t="s">
        <v>111</v>
      </c>
      <c r="O431" s="4">
        <v>41708.208333333336</v>
      </c>
      <c r="P431" t="b">
        <v>0</v>
      </c>
      <c r="Q431" t="b">
        <v>1</v>
      </c>
      <c r="R431" t="s">
        <v>217</v>
      </c>
      <c r="S431" t="str" cm="1">
        <f t="array" ref="S431:T431">_xlfn.TEXTSPLIT(R431, "/", , FALSE)</f>
        <v>photography</v>
      </c>
      <c r="T431" t="str">
        <v>photography books</v>
      </c>
    </row>
    <row r="432" spans="1:20" ht="34" x14ac:dyDescent="0.2">
      <c r="A432">
        <v>430</v>
      </c>
      <c r="B432" t="s">
        <v>1004</v>
      </c>
      <c r="C432" s="3" t="s">
        <v>1005</v>
      </c>
      <c r="D432">
        <v>8100</v>
      </c>
      <c r="E432">
        <v>5487</v>
      </c>
      <c r="F432" s="5">
        <f t="shared" si="12"/>
        <v>0.67740740740740746</v>
      </c>
      <c r="G432" t="s">
        <v>6</v>
      </c>
      <c r="H432">
        <v>84</v>
      </c>
      <c r="I432">
        <f t="shared" si="13"/>
        <v>65.321428571428569</v>
      </c>
      <c r="J432" t="s">
        <v>109</v>
      </c>
      <c r="K432" t="s">
        <v>110</v>
      </c>
      <c r="L432" s="4">
        <v>43737.208333333328</v>
      </c>
      <c r="M432" s="4" t="s">
        <v>55</v>
      </c>
      <c r="N432" s="4" t="s">
        <v>121</v>
      </c>
      <c r="O432" s="4">
        <v>43771.208333333328</v>
      </c>
      <c r="P432" t="b">
        <v>0</v>
      </c>
      <c r="Q432" t="b">
        <v>0</v>
      </c>
      <c r="R432" t="s">
        <v>124</v>
      </c>
      <c r="S432" t="str" cm="1">
        <f t="array" ref="S432:T432">_xlfn.TEXTSPLIT(R432, "/", , FALSE)</f>
        <v>theater</v>
      </c>
      <c r="T432" t="str">
        <v>plays</v>
      </c>
    </row>
    <row r="433" spans="1:20" ht="17" x14ac:dyDescent="0.2">
      <c r="A433">
        <v>431</v>
      </c>
      <c r="B433" t="s">
        <v>1006</v>
      </c>
      <c r="C433" s="3" t="s">
        <v>1007</v>
      </c>
      <c r="D433">
        <v>5100</v>
      </c>
      <c r="E433">
        <v>9817</v>
      </c>
      <c r="F433" s="5">
        <f t="shared" si="12"/>
        <v>1.9249019607843136</v>
      </c>
      <c r="G433" t="s">
        <v>8</v>
      </c>
      <c r="H433">
        <v>94</v>
      </c>
      <c r="I433">
        <f t="shared" si="13"/>
        <v>104.43617021276596</v>
      </c>
      <c r="J433" t="s">
        <v>109</v>
      </c>
      <c r="K433" t="s">
        <v>110</v>
      </c>
      <c r="L433" s="4">
        <v>43273.208333333328</v>
      </c>
      <c r="M433" s="4" t="s">
        <v>52</v>
      </c>
      <c r="N433" s="4" t="s">
        <v>169</v>
      </c>
      <c r="O433" s="4">
        <v>43290.208333333328</v>
      </c>
      <c r="P433" t="b">
        <v>1</v>
      </c>
      <c r="Q433" t="b">
        <v>0</v>
      </c>
      <c r="R433" t="s">
        <v>124</v>
      </c>
      <c r="S433" t="str" cm="1">
        <f t="array" ref="S433:T433">_xlfn.TEXTSPLIT(R433, "/", , FALSE)</f>
        <v>theater</v>
      </c>
      <c r="T433" t="str">
        <v>plays</v>
      </c>
    </row>
    <row r="434" spans="1:20" ht="17" x14ac:dyDescent="0.2">
      <c r="A434">
        <v>432</v>
      </c>
      <c r="B434" t="s">
        <v>1008</v>
      </c>
      <c r="C434" s="3" t="s">
        <v>1009</v>
      </c>
      <c r="D434">
        <v>7700</v>
      </c>
      <c r="E434">
        <v>6369</v>
      </c>
      <c r="F434" s="5">
        <f t="shared" si="12"/>
        <v>0.82714285714285718</v>
      </c>
      <c r="G434" t="s">
        <v>6</v>
      </c>
      <c r="H434">
        <v>91</v>
      </c>
      <c r="I434">
        <f t="shared" si="13"/>
        <v>69.989010989010993</v>
      </c>
      <c r="J434" t="s">
        <v>109</v>
      </c>
      <c r="K434" t="s">
        <v>110</v>
      </c>
      <c r="L434" s="4">
        <v>41761.208333333336</v>
      </c>
      <c r="M434" s="4" t="s">
        <v>51</v>
      </c>
      <c r="N434" s="4" t="s">
        <v>111</v>
      </c>
      <c r="O434" s="4">
        <v>41781.208333333336</v>
      </c>
      <c r="P434" t="b">
        <v>0</v>
      </c>
      <c r="Q434" t="b">
        <v>0</v>
      </c>
      <c r="R434" t="s">
        <v>124</v>
      </c>
      <c r="S434" t="str" cm="1">
        <f t="array" ref="S434:T434">_xlfn.TEXTSPLIT(R434, "/", , FALSE)</f>
        <v>theater</v>
      </c>
      <c r="T434" t="str">
        <v>plays</v>
      </c>
    </row>
    <row r="435" spans="1:20" ht="17" x14ac:dyDescent="0.2">
      <c r="A435">
        <v>433</v>
      </c>
      <c r="B435" t="s">
        <v>1010</v>
      </c>
      <c r="C435" s="3" t="s">
        <v>1011</v>
      </c>
      <c r="D435">
        <v>121400</v>
      </c>
      <c r="E435">
        <v>65755</v>
      </c>
      <c r="F435" s="5">
        <f t="shared" si="12"/>
        <v>0.54163920922570019</v>
      </c>
      <c r="G435" t="s">
        <v>6</v>
      </c>
      <c r="H435">
        <v>792</v>
      </c>
      <c r="I435">
        <f t="shared" si="13"/>
        <v>83.023989898989896</v>
      </c>
      <c r="J435" t="s">
        <v>109</v>
      </c>
      <c r="K435" t="s">
        <v>110</v>
      </c>
      <c r="L435" s="4">
        <v>41603.25</v>
      </c>
      <c r="M435" s="4" t="s">
        <v>57</v>
      </c>
      <c r="N435" s="4" t="s">
        <v>117</v>
      </c>
      <c r="O435" s="4">
        <v>41619.25</v>
      </c>
      <c r="P435" t="b">
        <v>0</v>
      </c>
      <c r="Q435" t="b">
        <v>1</v>
      </c>
      <c r="R435" t="s">
        <v>135</v>
      </c>
      <c r="S435" t="str" cm="1">
        <f t="array" ref="S435:T435">_xlfn.TEXTSPLIT(R435, "/", , FALSE)</f>
        <v>film &amp; video</v>
      </c>
      <c r="T435" t="str">
        <v>documentary</v>
      </c>
    </row>
    <row r="436" spans="1:20" ht="17" x14ac:dyDescent="0.2">
      <c r="A436">
        <v>434</v>
      </c>
      <c r="B436" t="s">
        <v>1012</v>
      </c>
      <c r="C436" s="3" t="s">
        <v>1013</v>
      </c>
      <c r="D436">
        <v>5400</v>
      </c>
      <c r="E436">
        <v>903</v>
      </c>
      <c r="F436" s="5">
        <f t="shared" si="12"/>
        <v>0.16722222222222222</v>
      </c>
      <c r="G436" t="s">
        <v>5</v>
      </c>
      <c r="H436">
        <v>10</v>
      </c>
      <c r="I436">
        <f t="shared" si="13"/>
        <v>90.3</v>
      </c>
      <c r="J436" t="s">
        <v>103</v>
      </c>
      <c r="K436" t="s">
        <v>104</v>
      </c>
      <c r="L436" s="4">
        <v>42705.25</v>
      </c>
      <c r="M436" s="4" t="s">
        <v>58</v>
      </c>
      <c r="N436" s="4" t="s">
        <v>153</v>
      </c>
      <c r="O436" s="4">
        <v>42719.25</v>
      </c>
      <c r="P436" t="b">
        <v>1</v>
      </c>
      <c r="Q436" t="b">
        <v>0</v>
      </c>
      <c r="R436" t="s">
        <v>124</v>
      </c>
      <c r="S436" t="str" cm="1">
        <f t="array" ref="S436:T436">_xlfn.TEXTSPLIT(R436, "/", , FALSE)</f>
        <v>theater</v>
      </c>
      <c r="T436" t="str">
        <v>plays</v>
      </c>
    </row>
    <row r="437" spans="1:20" ht="17" x14ac:dyDescent="0.2">
      <c r="A437">
        <v>435</v>
      </c>
      <c r="B437" t="s">
        <v>1014</v>
      </c>
      <c r="C437" s="3" t="s">
        <v>1015</v>
      </c>
      <c r="D437">
        <v>152400</v>
      </c>
      <c r="E437">
        <v>178120</v>
      </c>
      <c r="F437" s="5">
        <f t="shared" si="12"/>
        <v>1.168766404199475</v>
      </c>
      <c r="G437" t="s">
        <v>8</v>
      </c>
      <c r="H437">
        <v>1713</v>
      </c>
      <c r="I437">
        <f t="shared" si="13"/>
        <v>103.98131932282546</v>
      </c>
      <c r="J437" t="s">
        <v>202</v>
      </c>
      <c r="K437" t="s">
        <v>203</v>
      </c>
      <c r="L437" s="4">
        <v>41988.25</v>
      </c>
      <c r="M437" s="4" t="s">
        <v>58</v>
      </c>
      <c r="N437" s="4" t="s">
        <v>111</v>
      </c>
      <c r="O437" s="4">
        <v>42000.25</v>
      </c>
      <c r="P437" t="b">
        <v>0</v>
      </c>
      <c r="Q437" t="b">
        <v>1</v>
      </c>
      <c r="R437" t="s">
        <v>124</v>
      </c>
      <c r="S437" t="str" cm="1">
        <f t="array" ref="S437:T437">_xlfn.TEXTSPLIT(R437, "/", , FALSE)</f>
        <v>theater</v>
      </c>
      <c r="T437" t="str">
        <v>plays</v>
      </c>
    </row>
    <row r="438" spans="1:20" ht="17" x14ac:dyDescent="0.2">
      <c r="A438">
        <v>436</v>
      </c>
      <c r="B438" t="s">
        <v>1016</v>
      </c>
      <c r="C438" s="3" t="s">
        <v>1017</v>
      </c>
      <c r="D438">
        <v>1300</v>
      </c>
      <c r="E438">
        <v>13678</v>
      </c>
      <c r="F438" s="5">
        <f t="shared" si="12"/>
        <v>10.521538461538462</v>
      </c>
      <c r="G438" t="s">
        <v>8</v>
      </c>
      <c r="H438">
        <v>249</v>
      </c>
      <c r="I438">
        <f t="shared" si="13"/>
        <v>54.931726907630519</v>
      </c>
      <c r="J438" t="s">
        <v>109</v>
      </c>
      <c r="K438" t="s">
        <v>110</v>
      </c>
      <c r="L438" s="4">
        <v>43575.208333333328</v>
      </c>
      <c r="M438" s="4" t="s">
        <v>50</v>
      </c>
      <c r="N438" s="4" t="s">
        <v>121</v>
      </c>
      <c r="O438" s="4">
        <v>43576.208333333328</v>
      </c>
      <c r="P438" t="b">
        <v>0</v>
      </c>
      <c r="Q438" t="b">
        <v>0</v>
      </c>
      <c r="R438" t="s">
        <v>254</v>
      </c>
      <c r="S438" t="str" cm="1">
        <f t="array" ref="S438:T438">_xlfn.TEXTSPLIT(R438, "/", , FALSE)</f>
        <v>music</v>
      </c>
      <c r="T438" t="str">
        <v>jazz</v>
      </c>
    </row>
    <row r="439" spans="1:20" ht="17" x14ac:dyDescent="0.2">
      <c r="A439">
        <v>437</v>
      </c>
      <c r="B439" t="s">
        <v>1018</v>
      </c>
      <c r="C439" s="3" t="s">
        <v>1019</v>
      </c>
      <c r="D439">
        <v>8100</v>
      </c>
      <c r="E439">
        <v>9969</v>
      </c>
      <c r="F439" s="5">
        <f t="shared" si="12"/>
        <v>1.2307407407407407</v>
      </c>
      <c r="G439" t="s">
        <v>8</v>
      </c>
      <c r="H439">
        <v>192</v>
      </c>
      <c r="I439">
        <f t="shared" si="13"/>
        <v>51.921875</v>
      </c>
      <c r="J439" t="s">
        <v>109</v>
      </c>
      <c r="K439" t="s">
        <v>110</v>
      </c>
      <c r="L439" s="4">
        <v>42260.208333333328</v>
      </c>
      <c r="M439" s="4" t="s">
        <v>55</v>
      </c>
      <c r="N439" s="4" t="s">
        <v>105</v>
      </c>
      <c r="O439" s="4">
        <v>42263.208333333328</v>
      </c>
      <c r="P439" t="b">
        <v>0</v>
      </c>
      <c r="Q439" t="b">
        <v>1</v>
      </c>
      <c r="R439" t="s">
        <v>166</v>
      </c>
      <c r="S439" t="str" cm="1">
        <f t="array" ref="S439:T439">_xlfn.TEXTSPLIT(R439, "/", , FALSE)</f>
        <v>film &amp; video</v>
      </c>
      <c r="T439" t="str">
        <v>animation</v>
      </c>
    </row>
    <row r="440" spans="1:20" ht="34" x14ac:dyDescent="0.2">
      <c r="A440">
        <v>438</v>
      </c>
      <c r="B440" t="s">
        <v>1020</v>
      </c>
      <c r="C440" s="3" t="s">
        <v>1021</v>
      </c>
      <c r="D440">
        <v>8300</v>
      </c>
      <c r="E440">
        <v>14827</v>
      </c>
      <c r="F440" s="5">
        <f t="shared" si="12"/>
        <v>1.7863855421686747</v>
      </c>
      <c r="G440" t="s">
        <v>8</v>
      </c>
      <c r="H440">
        <v>247</v>
      </c>
      <c r="I440">
        <f t="shared" si="13"/>
        <v>60.02834008097166</v>
      </c>
      <c r="J440" t="s">
        <v>109</v>
      </c>
      <c r="K440" t="s">
        <v>110</v>
      </c>
      <c r="L440" s="4">
        <v>41337.25</v>
      </c>
      <c r="M440" s="4" t="s">
        <v>49</v>
      </c>
      <c r="N440" s="4" t="s">
        <v>117</v>
      </c>
      <c r="O440" s="4">
        <v>41367.208333333336</v>
      </c>
      <c r="P440" t="b">
        <v>0</v>
      </c>
      <c r="Q440" t="b">
        <v>0</v>
      </c>
      <c r="R440" t="s">
        <v>124</v>
      </c>
      <c r="S440" t="str" cm="1">
        <f t="array" ref="S440:T440">_xlfn.TEXTSPLIT(R440, "/", , FALSE)</f>
        <v>theater</v>
      </c>
      <c r="T440" t="str">
        <v>plays</v>
      </c>
    </row>
    <row r="441" spans="1:20" ht="17" x14ac:dyDescent="0.2">
      <c r="A441">
        <v>439</v>
      </c>
      <c r="B441" t="s">
        <v>1022</v>
      </c>
      <c r="C441" s="3" t="s">
        <v>1023</v>
      </c>
      <c r="D441">
        <v>28400</v>
      </c>
      <c r="E441">
        <v>100900</v>
      </c>
      <c r="F441" s="5">
        <f t="shared" si="12"/>
        <v>3.5528169014084505</v>
      </c>
      <c r="G441" t="s">
        <v>8</v>
      </c>
      <c r="H441">
        <v>2293</v>
      </c>
      <c r="I441">
        <f t="shared" si="13"/>
        <v>44.003488879197555</v>
      </c>
      <c r="J441" t="s">
        <v>109</v>
      </c>
      <c r="K441" t="s">
        <v>110</v>
      </c>
      <c r="L441" s="4">
        <v>42680.208333333328</v>
      </c>
      <c r="M441" s="4" t="s">
        <v>57</v>
      </c>
      <c r="N441" s="4" t="s">
        <v>153</v>
      </c>
      <c r="O441" s="4">
        <v>42687.25</v>
      </c>
      <c r="P441" t="b">
        <v>0</v>
      </c>
      <c r="Q441" t="b">
        <v>0</v>
      </c>
      <c r="R441" t="s">
        <v>569</v>
      </c>
      <c r="S441" t="str" cm="1">
        <f t="array" ref="S441:T441">_xlfn.TEXTSPLIT(R441, "/", , FALSE)</f>
        <v>film &amp; video</v>
      </c>
      <c r="T441" t="str">
        <v>science fiction</v>
      </c>
    </row>
    <row r="442" spans="1:20" ht="17" x14ac:dyDescent="0.2">
      <c r="A442">
        <v>440</v>
      </c>
      <c r="B442" t="s">
        <v>1024</v>
      </c>
      <c r="C442" s="3" t="s">
        <v>1025</v>
      </c>
      <c r="D442">
        <v>102500</v>
      </c>
      <c r="E442">
        <v>165954</v>
      </c>
      <c r="F442" s="5">
        <f t="shared" si="12"/>
        <v>1.6190634146341463</v>
      </c>
      <c r="G442" t="s">
        <v>8</v>
      </c>
      <c r="H442">
        <v>3131</v>
      </c>
      <c r="I442">
        <f t="shared" si="13"/>
        <v>53.003513254551258</v>
      </c>
      <c r="J442" t="s">
        <v>109</v>
      </c>
      <c r="K442" t="s">
        <v>110</v>
      </c>
      <c r="L442" s="4">
        <v>42916.208333333328</v>
      </c>
      <c r="M442" s="4" t="s">
        <v>52</v>
      </c>
      <c r="N442" s="4" t="s">
        <v>134</v>
      </c>
      <c r="O442" s="4">
        <v>42926.208333333328</v>
      </c>
      <c r="P442" t="b">
        <v>0</v>
      </c>
      <c r="Q442" t="b">
        <v>0</v>
      </c>
      <c r="R442" t="s">
        <v>364</v>
      </c>
      <c r="S442" t="str" cm="1">
        <f t="array" ref="S442:T442">_xlfn.TEXTSPLIT(R442, "/", , FALSE)</f>
        <v>film &amp; video</v>
      </c>
      <c r="T442" t="str">
        <v>television</v>
      </c>
    </row>
    <row r="443" spans="1:20" ht="17" x14ac:dyDescent="0.2">
      <c r="A443">
        <v>441</v>
      </c>
      <c r="B443" t="s">
        <v>1026</v>
      </c>
      <c r="C443" s="3" t="s">
        <v>1027</v>
      </c>
      <c r="D443">
        <v>7000</v>
      </c>
      <c r="E443">
        <v>1744</v>
      </c>
      <c r="F443" s="5">
        <f t="shared" si="12"/>
        <v>0.24914285714285714</v>
      </c>
      <c r="G443" t="s">
        <v>6</v>
      </c>
      <c r="H443">
        <v>32</v>
      </c>
      <c r="I443">
        <f t="shared" si="13"/>
        <v>54.5</v>
      </c>
      <c r="J443" t="s">
        <v>109</v>
      </c>
      <c r="K443" t="s">
        <v>110</v>
      </c>
      <c r="L443" s="4">
        <v>41025.208333333336</v>
      </c>
      <c r="M443" s="4" t="s">
        <v>50</v>
      </c>
      <c r="N443" s="4" t="s">
        <v>129</v>
      </c>
      <c r="O443" s="4">
        <v>41053.208333333336</v>
      </c>
      <c r="P443" t="b">
        <v>0</v>
      </c>
      <c r="Q443" t="b">
        <v>0</v>
      </c>
      <c r="R443" t="s">
        <v>159</v>
      </c>
      <c r="S443" t="str" cm="1">
        <f t="array" ref="S443:T443">_xlfn.TEXTSPLIT(R443, "/", , FALSE)</f>
        <v>technology</v>
      </c>
      <c r="T443" t="str">
        <v>wearables</v>
      </c>
    </row>
    <row r="444" spans="1:20" ht="17" x14ac:dyDescent="0.2">
      <c r="A444">
        <v>442</v>
      </c>
      <c r="B444" t="s">
        <v>1028</v>
      </c>
      <c r="C444" s="3" t="s">
        <v>1029</v>
      </c>
      <c r="D444">
        <v>5400</v>
      </c>
      <c r="E444">
        <v>10731</v>
      </c>
      <c r="F444" s="5">
        <f t="shared" si="12"/>
        <v>1.9872222222222222</v>
      </c>
      <c r="G444" t="s">
        <v>8</v>
      </c>
      <c r="H444">
        <v>143</v>
      </c>
      <c r="I444">
        <f t="shared" si="13"/>
        <v>75.04195804195804</v>
      </c>
      <c r="J444" t="s">
        <v>202</v>
      </c>
      <c r="K444" t="s">
        <v>203</v>
      </c>
      <c r="L444" s="4">
        <v>42980.208333333328</v>
      </c>
      <c r="M444" s="4" t="s">
        <v>55</v>
      </c>
      <c r="N444" s="4" t="s">
        <v>134</v>
      </c>
      <c r="O444" s="4">
        <v>42996.208333333328</v>
      </c>
      <c r="P444" t="b">
        <v>0</v>
      </c>
      <c r="Q444" t="b">
        <v>0</v>
      </c>
      <c r="R444" t="s">
        <v>124</v>
      </c>
      <c r="S444" t="str" cm="1">
        <f t="array" ref="S444:T444">_xlfn.TEXTSPLIT(R444, "/", , FALSE)</f>
        <v>theater</v>
      </c>
      <c r="T444" t="str">
        <v>plays</v>
      </c>
    </row>
    <row r="445" spans="1:20" ht="17" x14ac:dyDescent="0.2">
      <c r="A445">
        <v>443</v>
      </c>
      <c r="B445" t="s">
        <v>1030</v>
      </c>
      <c r="C445" s="3" t="s">
        <v>1031</v>
      </c>
      <c r="D445">
        <v>9300</v>
      </c>
      <c r="E445">
        <v>3232</v>
      </c>
      <c r="F445" s="5">
        <f t="shared" si="12"/>
        <v>0.34752688172043011</v>
      </c>
      <c r="G445" t="s">
        <v>5</v>
      </c>
      <c r="H445">
        <v>90</v>
      </c>
      <c r="I445">
        <f t="shared" si="13"/>
        <v>35.911111111111111</v>
      </c>
      <c r="J445" t="s">
        <v>109</v>
      </c>
      <c r="K445" t="s">
        <v>110</v>
      </c>
      <c r="L445" s="4">
        <v>40451.208333333336</v>
      </c>
      <c r="M445" s="4" t="s">
        <v>55</v>
      </c>
      <c r="N445" s="4" t="s">
        <v>140</v>
      </c>
      <c r="O445" s="4">
        <v>40470.208333333336</v>
      </c>
      <c r="P445" t="b">
        <v>0</v>
      </c>
      <c r="Q445" t="b">
        <v>0</v>
      </c>
      <c r="R445" t="s">
        <v>124</v>
      </c>
      <c r="S445" t="str" cm="1">
        <f t="array" ref="S445:T445">_xlfn.TEXTSPLIT(R445, "/", , FALSE)</f>
        <v>theater</v>
      </c>
      <c r="T445" t="str">
        <v>plays</v>
      </c>
    </row>
    <row r="446" spans="1:20" ht="17" x14ac:dyDescent="0.2">
      <c r="A446">
        <v>444</v>
      </c>
      <c r="B446" t="s">
        <v>843</v>
      </c>
      <c r="C446" s="3" t="s">
        <v>1032</v>
      </c>
      <c r="D446">
        <v>6200</v>
      </c>
      <c r="E446">
        <v>10938</v>
      </c>
      <c r="F446" s="5">
        <f t="shared" si="12"/>
        <v>1.7641935483870967</v>
      </c>
      <c r="G446" t="s">
        <v>8</v>
      </c>
      <c r="H446">
        <v>296</v>
      </c>
      <c r="I446">
        <f t="shared" si="13"/>
        <v>36.952702702702702</v>
      </c>
      <c r="J446" t="s">
        <v>109</v>
      </c>
      <c r="K446" t="s">
        <v>110</v>
      </c>
      <c r="L446" s="4">
        <v>40748.208333333336</v>
      </c>
      <c r="M446" s="4" t="s">
        <v>53</v>
      </c>
      <c r="N446" s="4" t="s">
        <v>165</v>
      </c>
      <c r="O446" s="4">
        <v>40750.208333333336</v>
      </c>
      <c r="P446" t="b">
        <v>0</v>
      </c>
      <c r="Q446" t="b">
        <v>1</v>
      </c>
      <c r="R446" t="s">
        <v>154</v>
      </c>
      <c r="S446" t="str" cm="1">
        <f t="array" ref="S446:T446">_xlfn.TEXTSPLIT(R446, "/", , FALSE)</f>
        <v>music</v>
      </c>
      <c r="T446" t="str">
        <v>indie rock</v>
      </c>
    </row>
    <row r="447" spans="1:20" ht="34" x14ac:dyDescent="0.2">
      <c r="A447">
        <v>445</v>
      </c>
      <c r="B447" t="s">
        <v>1033</v>
      </c>
      <c r="C447" s="3" t="s">
        <v>1034</v>
      </c>
      <c r="D447">
        <v>2100</v>
      </c>
      <c r="E447">
        <v>10739</v>
      </c>
      <c r="F447" s="5">
        <f t="shared" si="12"/>
        <v>5.1138095238095236</v>
      </c>
      <c r="G447" t="s">
        <v>8</v>
      </c>
      <c r="H447">
        <v>170</v>
      </c>
      <c r="I447">
        <f t="shared" si="13"/>
        <v>63.170588235294119</v>
      </c>
      <c r="J447" t="s">
        <v>109</v>
      </c>
      <c r="K447" t="s">
        <v>110</v>
      </c>
      <c r="L447" s="4">
        <v>40515.25</v>
      </c>
      <c r="M447" s="4" t="s">
        <v>58</v>
      </c>
      <c r="N447" s="4" t="s">
        <v>140</v>
      </c>
      <c r="O447" s="4">
        <v>40536.25</v>
      </c>
      <c r="P447" t="b">
        <v>0</v>
      </c>
      <c r="Q447" t="b">
        <v>1</v>
      </c>
      <c r="R447" t="s">
        <v>124</v>
      </c>
      <c r="S447" t="str" cm="1">
        <f t="array" ref="S447:T447">_xlfn.TEXTSPLIT(R447, "/", , FALSE)</f>
        <v>theater</v>
      </c>
      <c r="T447" t="str">
        <v>plays</v>
      </c>
    </row>
    <row r="448" spans="1:20" ht="17" x14ac:dyDescent="0.2">
      <c r="A448">
        <v>446</v>
      </c>
      <c r="B448" t="s">
        <v>1035</v>
      </c>
      <c r="C448" s="3" t="s">
        <v>1036</v>
      </c>
      <c r="D448">
        <v>6800</v>
      </c>
      <c r="E448">
        <v>5579</v>
      </c>
      <c r="F448" s="5">
        <f t="shared" si="12"/>
        <v>0.82044117647058823</v>
      </c>
      <c r="G448" t="s">
        <v>6</v>
      </c>
      <c r="H448">
        <v>186</v>
      </c>
      <c r="I448">
        <f t="shared" si="13"/>
        <v>29.99462365591398</v>
      </c>
      <c r="J448" t="s">
        <v>109</v>
      </c>
      <c r="K448" t="s">
        <v>110</v>
      </c>
      <c r="L448" s="4">
        <v>41261.25</v>
      </c>
      <c r="M448" s="4" t="s">
        <v>58</v>
      </c>
      <c r="N448" s="4" t="s">
        <v>129</v>
      </c>
      <c r="O448" s="4">
        <v>41263.25</v>
      </c>
      <c r="P448" t="b">
        <v>0</v>
      </c>
      <c r="Q448" t="b">
        <v>0</v>
      </c>
      <c r="R448" t="s">
        <v>159</v>
      </c>
      <c r="S448" t="str" cm="1">
        <f t="array" ref="S448:T448">_xlfn.TEXTSPLIT(R448, "/", , FALSE)</f>
        <v>technology</v>
      </c>
      <c r="T448" t="str">
        <v>wearables</v>
      </c>
    </row>
    <row r="449" spans="1:20" ht="34" x14ac:dyDescent="0.2">
      <c r="A449">
        <v>447</v>
      </c>
      <c r="B449" t="s">
        <v>1037</v>
      </c>
      <c r="C449" s="3" t="s">
        <v>1038</v>
      </c>
      <c r="D449">
        <v>155200</v>
      </c>
      <c r="E449">
        <v>37754</v>
      </c>
      <c r="F449" s="5">
        <f t="shared" si="12"/>
        <v>0.24326030927835052</v>
      </c>
      <c r="G449" t="s">
        <v>5</v>
      </c>
      <c r="H449">
        <v>439</v>
      </c>
      <c r="I449">
        <f t="shared" si="13"/>
        <v>86</v>
      </c>
      <c r="J449" t="s">
        <v>132</v>
      </c>
      <c r="K449" t="s">
        <v>133</v>
      </c>
      <c r="L449" s="4">
        <v>43088.25</v>
      </c>
      <c r="M449" s="4" t="s">
        <v>58</v>
      </c>
      <c r="N449" s="4" t="s">
        <v>134</v>
      </c>
      <c r="O449" s="4">
        <v>43104.25</v>
      </c>
      <c r="P449" t="b">
        <v>0</v>
      </c>
      <c r="Q449" t="b">
        <v>0</v>
      </c>
      <c r="R449" t="s">
        <v>364</v>
      </c>
      <c r="S449" t="str" cm="1">
        <f t="array" ref="S449:T449">_xlfn.TEXTSPLIT(R449, "/", , FALSE)</f>
        <v>film &amp; video</v>
      </c>
      <c r="T449" t="str">
        <v>television</v>
      </c>
    </row>
    <row r="450" spans="1:20" ht="17" x14ac:dyDescent="0.2">
      <c r="A450">
        <v>448</v>
      </c>
      <c r="B450" t="s">
        <v>1039</v>
      </c>
      <c r="C450" s="3" t="s">
        <v>1040</v>
      </c>
      <c r="D450">
        <v>89900</v>
      </c>
      <c r="E450">
        <v>45384</v>
      </c>
      <c r="F450" s="5">
        <f t="shared" si="12"/>
        <v>0.50482758620689661</v>
      </c>
      <c r="G450" t="s">
        <v>6</v>
      </c>
      <c r="H450">
        <v>605</v>
      </c>
      <c r="I450">
        <f t="shared" si="13"/>
        <v>75.014876033057845</v>
      </c>
      <c r="J450" t="s">
        <v>109</v>
      </c>
      <c r="K450" t="s">
        <v>110</v>
      </c>
      <c r="L450" s="4">
        <v>41378.208333333336</v>
      </c>
      <c r="M450" s="4" t="s">
        <v>50</v>
      </c>
      <c r="N450" s="4" t="s">
        <v>117</v>
      </c>
      <c r="O450" s="4">
        <v>41380.208333333336</v>
      </c>
      <c r="P450" t="b">
        <v>0</v>
      </c>
      <c r="Q450" t="b">
        <v>1</v>
      </c>
      <c r="R450" t="s">
        <v>184</v>
      </c>
      <c r="S450" t="str" cm="1">
        <f t="array" ref="S450:T450">_xlfn.TEXTSPLIT(R450, "/", , FALSE)</f>
        <v>games</v>
      </c>
      <c r="T450" t="str">
        <v>video games</v>
      </c>
    </row>
    <row r="451" spans="1:20" ht="17" x14ac:dyDescent="0.2">
      <c r="A451">
        <v>449</v>
      </c>
      <c r="B451" t="s">
        <v>1041</v>
      </c>
      <c r="C451" s="3" t="s">
        <v>1042</v>
      </c>
      <c r="D451">
        <v>900</v>
      </c>
      <c r="E451">
        <v>8703</v>
      </c>
      <c r="F451" s="5">
        <f t="shared" ref="F451:F514" si="14">E451/D451</f>
        <v>9.67</v>
      </c>
      <c r="G451" t="s">
        <v>8</v>
      </c>
      <c r="H451">
        <v>86</v>
      </c>
      <c r="I451">
        <f t="shared" ref="I451:I514" si="15">E451/H451</f>
        <v>101.19767441860465</v>
      </c>
      <c r="J451" t="s">
        <v>127</v>
      </c>
      <c r="K451" t="s">
        <v>128</v>
      </c>
      <c r="L451" s="4">
        <v>43530.25</v>
      </c>
      <c r="M451" s="4" t="s">
        <v>49</v>
      </c>
      <c r="N451" s="4" t="s">
        <v>121</v>
      </c>
      <c r="O451" s="4">
        <v>43547.208333333328</v>
      </c>
      <c r="P451" t="b">
        <v>0</v>
      </c>
      <c r="Q451" t="b">
        <v>0</v>
      </c>
      <c r="R451" t="s">
        <v>184</v>
      </c>
      <c r="S451" t="str" cm="1">
        <f t="array" ref="S451:T451">_xlfn.TEXTSPLIT(R451, "/", , FALSE)</f>
        <v>games</v>
      </c>
      <c r="T451" t="str">
        <v>video games</v>
      </c>
    </row>
    <row r="452" spans="1:20" ht="17" x14ac:dyDescent="0.2">
      <c r="A452">
        <v>450</v>
      </c>
      <c r="B452" t="s">
        <v>1043</v>
      </c>
      <c r="C452" s="3" t="s">
        <v>1044</v>
      </c>
      <c r="D452">
        <v>100</v>
      </c>
      <c r="E452">
        <v>4</v>
      </c>
      <c r="F452" s="5">
        <f t="shared" si="14"/>
        <v>0.04</v>
      </c>
      <c r="G452" t="s">
        <v>6</v>
      </c>
      <c r="H452">
        <v>1</v>
      </c>
      <c r="I452">
        <f t="shared" si="15"/>
        <v>4</v>
      </c>
      <c r="J452" t="s">
        <v>103</v>
      </c>
      <c r="K452" t="s">
        <v>104</v>
      </c>
      <c r="L452" s="4">
        <v>43394.208333333328</v>
      </c>
      <c r="M452" s="4" t="s">
        <v>56</v>
      </c>
      <c r="N452" s="4" t="s">
        <v>169</v>
      </c>
      <c r="O452" s="4">
        <v>43417.25</v>
      </c>
      <c r="P452" t="b">
        <v>0</v>
      </c>
      <c r="Q452" t="b">
        <v>0</v>
      </c>
      <c r="R452" t="s">
        <v>166</v>
      </c>
      <c r="S452" t="str" cm="1">
        <f t="array" ref="S452:T452">_xlfn.TEXTSPLIT(R452, "/", , FALSE)</f>
        <v>film &amp; video</v>
      </c>
      <c r="T452" t="str">
        <v>animation</v>
      </c>
    </row>
    <row r="453" spans="1:20" ht="17" x14ac:dyDescent="0.2">
      <c r="A453">
        <v>451</v>
      </c>
      <c r="B453" t="s">
        <v>1045</v>
      </c>
      <c r="C453" s="3" t="s">
        <v>1046</v>
      </c>
      <c r="D453">
        <v>148400</v>
      </c>
      <c r="E453">
        <v>182302</v>
      </c>
      <c r="F453" s="5">
        <f t="shared" si="14"/>
        <v>1.2284501347708894</v>
      </c>
      <c r="G453" t="s">
        <v>8</v>
      </c>
      <c r="H453">
        <v>6286</v>
      </c>
      <c r="I453">
        <f t="shared" si="15"/>
        <v>29.001272669424118</v>
      </c>
      <c r="J453" t="s">
        <v>109</v>
      </c>
      <c r="K453" t="s">
        <v>110</v>
      </c>
      <c r="L453" s="4">
        <v>42935.208333333328</v>
      </c>
      <c r="M453" s="4" t="s">
        <v>53</v>
      </c>
      <c r="N453" s="4" t="s">
        <v>134</v>
      </c>
      <c r="O453" s="4">
        <v>42966.208333333328</v>
      </c>
      <c r="P453" t="b">
        <v>0</v>
      </c>
      <c r="Q453" t="b">
        <v>0</v>
      </c>
      <c r="R453" t="s">
        <v>112</v>
      </c>
      <c r="S453" t="str" cm="1">
        <f t="array" ref="S453:T453">_xlfn.TEXTSPLIT(R453, "/", , FALSE)</f>
        <v>music</v>
      </c>
      <c r="T453" t="str">
        <v>rock</v>
      </c>
    </row>
    <row r="454" spans="1:20" ht="34" x14ac:dyDescent="0.2">
      <c r="A454">
        <v>452</v>
      </c>
      <c r="B454" t="s">
        <v>1047</v>
      </c>
      <c r="C454" s="3" t="s">
        <v>1048</v>
      </c>
      <c r="D454">
        <v>4800</v>
      </c>
      <c r="E454">
        <v>3045</v>
      </c>
      <c r="F454" s="5">
        <f t="shared" si="14"/>
        <v>0.63437500000000002</v>
      </c>
      <c r="G454" t="s">
        <v>6</v>
      </c>
      <c r="H454">
        <v>31</v>
      </c>
      <c r="I454">
        <f t="shared" si="15"/>
        <v>98.225806451612897</v>
      </c>
      <c r="J454" t="s">
        <v>109</v>
      </c>
      <c r="K454" t="s">
        <v>110</v>
      </c>
      <c r="L454" s="4">
        <v>40365.208333333336</v>
      </c>
      <c r="M454" s="4" t="s">
        <v>53</v>
      </c>
      <c r="N454" s="4" t="s">
        <v>140</v>
      </c>
      <c r="O454" s="4">
        <v>40366.208333333336</v>
      </c>
      <c r="P454" t="b">
        <v>0</v>
      </c>
      <c r="Q454" t="b">
        <v>0</v>
      </c>
      <c r="R454" t="s">
        <v>146</v>
      </c>
      <c r="S454" t="str" cm="1">
        <f t="array" ref="S454:T454">_xlfn.TEXTSPLIT(R454, "/", , FALSE)</f>
        <v>film &amp; video</v>
      </c>
      <c r="T454" t="str">
        <v>drama</v>
      </c>
    </row>
    <row r="455" spans="1:20" ht="34" x14ac:dyDescent="0.2">
      <c r="A455">
        <v>453</v>
      </c>
      <c r="B455" t="s">
        <v>1049</v>
      </c>
      <c r="C455" s="3" t="s">
        <v>1050</v>
      </c>
      <c r="D455">
        <v>182400</v>
      </c>
      <c r="E455">
        <v>102749</v>
      </c>
      <c r="F455" s="5">
        <f t="shared" si="14"/>
        <v>0.56331688596491225</v>
      </c>
      <c r="G455" t="s">
        <v>6</v>
      </c>
      <c r="H455">
        <v>1181</v>
      </c>
      <c r="I455">
        <f t="shared" si="15"/>
        <v>87.001693480101608</v>
      </c>
      <c r="J455" t="s">
        <v>109</v>
      </c>
      <c r="K455" t="s">
        <v>110</v>
      </c>
      <c r="L455" s="4">
        <v>42705.25</v>
      </c>
      <c r="M455" s="4" t="s">
        <v>58</v>
      </c>
      <c r="N455" s="4" t="s">
        <v>153</v>
      </c>
      <c r="O455" s="4">
        <v>42746.25</v>
      </c>
      <c r="P455" t="b">
        <v>0</v>
      </c>
      <c r="Q455" t="b">
        <v>0</v>
      </c>
      <c r="R455" t="s">
        <v>569</v>
      </c>
      <c r="S455" t="str" cm="1">
        <f t="array" ref="S455:T455">_xlfn.TEXTSPLIT(R455, "/", , FALSE)</f>
        <v>film &amp; video</v>
      </c>
      <c r="T455" t="str">
        <v>science fiction</v>
      </c>
    </row>
    <row r="456" spans="1:20" ht="17" x14ac:dyDescent="0.2">
      <c r="A456">
        <v>454</v>
      </c>
      <c r="B456" t="s">
        <v>1051</v>
      </c>
      <c r="C456" s="3" t="s">
        <v>1052</v>
      </c>
      <c r="D456">
        <v>4000</v>
      </c>
      <c r="E456">
        <v>1763</v>
      </c>
      <c r="F456" s="5">
        <f t="shared" si="14"/>
        <v>0.44074999999999998</v>
      </c>
      <c r="G456" t="s">
        <v>6</v>
      </c>
      <c r="H456">
        <v>39</v>
      </c>
      <c r="I456">
        <f t="shared" si="15"/>
        <v>45.205128205128204</v>
      </c>
      <c r="J456" t="s">
        <v>109</v>
      </c>
      <c r="K456" t="s">
        <v>110</v>
      </c>
      <c r="L456" s="4">
        <v>41568.208333333336</v>
      </c>
      <c r="M456" s="4" t="s">
        <v>56</v>
      </c>
      <c r="N456" s="4" t="s">
        <v>117</v>
      </c>
      <c r="O456" s="4">
        <v>41604.25</v>
      </c>
      <c r="P456" t="b">
        <v>0</v>
      </c>
      <c r="Q456" t="b">
        <v>1</v>
      </c>
      <c r="R456" t="s">
        <v>146</v>
      </c>
      <c r="S456" t="str" cm="1">
        <f t="array" ref="S456:T456">_xlfn.TEXTSPLIT(R456, "/", , FALSE)</f>
        <v>film &amp; video</v>
      </c>
      <c r="T456" t="str">
        <v>drama</v>
      </c>
    </row>
    <row r="457" spans="1:20" ht="17" x14ac:dyDescent="0.2">
      <c r="A457">
        <v>455</v>
      </c>
      <c r="B457" t="s">
        <v>1053</v>
      </c>
      <c r="C457" s="3" t="s">
        <v>1054</v>
      </c>
      <c r="D457">
        <v>116500</v>
      </c>
      <c r="E457">
        <v>137904</v>
      </c>
      <c r="F457" s="5">
        <f t="shared" si="14"/>
        <v>1.1837253218884121</v>
      </c>
      <c r="G457" t="s">
        <v>8</v>
      </c>
      <c r="H457">
        <v>3727</v>
      </c>
      <c r="I457">
        <f t="shared" si="15"/>
        <v>37.001341561577675</v>
      </c>
      <c r="J457" t="s">
        <v>109</v>
      </c>
      <c r="K457" t="s">
        <v>110</v>
      </c>
      <c r="L457" s="4">
        <v>40809.208333333336</v>
      </c>
      <c r="M457" s="4" t="s">
        <v>55</v>
      </c>
      <c r="N457" s="4" t="s">
        <v>165</v>
      </c>
      <c r="O457" s="4">
        <v>40832.208333333336</v>
      </c>
      <c r="P457" t="b">
        <v>0</v>
      </c>
      <c r="Q457" t="b">
        <v>0</v>
      </c>
      <c r="R457" t="s">
        <v>124</v>
      </c>
      <c r="S457" t="str" cm="1">
        <f t="array" ref="S457:T457">_xlfn.TEXTSPLIT(R457, "/", , FALSE)</f>
        <v>theater</v>
      </c>
      <c r="T457" t="str">
        <v>plays</v>
      </c>
    </row>
    <row r="458" spans="1:20" ht="34" x14ac:dyDescent="0.2">
      <c r="A458">
        <v>456</v>
      </c>
      <c r="B458" t="s">
        <v>1055</v>
      </c>
      <c r="C458" s="3" t="s">
        <v>1056</v>
      </c>
      <c r="D458">
        <v>146400</v>
      </c>
      <c r="E458">
        <v>152438</v>
      </c>
      <c r="F458" s="5">
        <f t="shared" si="14"/>
        <v>1.041243169398907</v>
      </c>
      <c r="G458" t="s">
        <v>8</v>
      </c>
      <c r="H458">
        <v>1605</v>
      </c>
      <c r="I458">
        <f t="shared" si="15"/>
        <v>94.976947040498445</v>
      </c>
      <c r="J458" t="s">
        <v>109</v>
      </c>
      <c r="K458" t="s">
        <v>110</v>
      </c>
      <c r="L458" s="4">
        <v>43141.25</v>
      </c>
      <c r="M458" s="4" t="s">
        <v>48</v>
      </c>
      <c r="N458" s="4" t="s">
        <v>169</v>
      </c>
      <c r="O458" s="4">
        <v>43141.25</v>
      </c>
      <c r="P458" t="b">
        <v>0</v>
      </c>
      <c r="Q458" t="b">
        <v>1</v>
      </c>
      <c r="R458" t="s">
        <v>154</v>
      </c>
      <c r="S458" t="str" cm="1">
        <f t="array" ref="S458:T458">_xlfn.TEXTSPLIT(R458, "/", , FALSE)</f>
        <v>music</v>
      </c>
      <c r="T458" t="str">
        <v>indie rock</v>
      </c>
    </row>
    <row r="459" spans="1:20" ht="17" x14ac:dyDescent="0.2">
      <c r="A459">
        <v>457</v>
      </c>
      <c r="B459" t="s">
        <v>1057</v>
      </c>
      <c r="C459" s="3" t="s">
        <v>1058</v>
      </c>
      <c r="D459">
        <v>5000</v>
      </c>
      <c r="E459">
        <v>1332</v>
      </c>
      <c r="F459" s="5">
        <f t="shared" si="14"/>
        <v>0.26640000000000003</v>
      </c>
      <c r="G459" t="s">
        <v>6</v>
      </c>
      <c r="H459">
        <v>46</v>
      </c>
      <c r="I459">
        <f t="shared" si="15"/>
        <v>28.956521739130434</v>
      </c>
      <c r="J459" t="s">
        <v>109</v>
      </c>
      <c r="K459" t="s">
        <v>110</v>
      </c>
      <c r="L459" s="4">
        <v>42657.208333333328</v>
      </c>
      <c r="M459" s="4" t="s">
        <v>56</v>
      </c>
      <c r="N459" s="4" t="s">
        <v>153</v>
      </c>
      <c r="O459" s="4">
        <v>42659.208333333328</v>
      </c>
      <c r="P459" t="b">
        <v>0</v>
      </c>
      <c r="Q459" t="b">
        <v>0</v>
      </c>
      <c r="R459" t="s">
        <v>124</v>
      </c>
      <c r="S459" t="str" cm="1">
        <f t="array" ref="S459:T459">_xlfn.TEXTSPLIT(R459, "/", , FALSE)</f>
        <v>theater</v>
      </c>
      <c r="T459" t="str">
        <v>plays</v>
      </c>
    </row>
    <row r="460" spans="1:20" ht="17" x14ac:dyDescent="0.2">
      <c r="A460">
        <v>458</v>
      </c>
      <c r="B460" t="s">
        <v>1059</v>
      </c>
      <c r="C460" s="3" t="s">
        <v>1060</v>
      </c>
      <c r="D460">
        <v>33800</v>
      </c>
      <c r="E460">
        <v>118706</v>
      </c>
      <c r="F460" s="5">
        <f t="shared" si="14"/>
        <v>3.5120118343195266</v>
      </c>
      <c r="G460" t="s">
        <v>8</v>
      </c>
      <c r="H460">
        <v>2120</v>
      </c>
      <c r="I460">
        <f t="shared" si="15"/>
        <v>55.993396226415094</v>
      </c>
      <c r="J460" t="s">
        <v>109</v>
      </c>
      <c r="K460" t="s">
        <v>110</v>
      </c>
      <c r="L460" s="4">
        <v>40265.208333333336</v>
      </c>
      <c r="M460" s="4" t="s">
        <v>49</v>
      </c>
      <c r="N460" s="4" t="s">
        <v>140</v>
      </c>
      <c r="O460" s="4">
        <v>40309.208333333336</v>
      </c>
      <c r="P460" t="b">
        <v>0</v>
      </c>
      <c r="Q460" t="b">
        <v>0</v>
      </c>
      <c r="R460" t="s">
        <v>124</v>
      </c>
      <c r="S460" t="str" cm="1">
        <f t="array" ref="S460:T460">_xlfn.TEXTSPLIT(R460, "/", , FALSE)</f>
        <v>theater</v>
      </c>
      <c r="T460" t="str">
        <v>plays</v>
      </c>
    </row>
    <row r="461" spans="1:20" ht="17" x14ac:dyDescent="0.2">
      <c r="A461">
        <v>459</v>
      </c>
      <c r="B461" t="s">
        <v>1061</v>
      </c>
      <c r="C461" s="3" t="s">
        <v>1062</v>
      </c>
      <c r="D461">
        <v>6300</v>
      </c>
      <c r="E461">
        <v>5674</v>
      </c>
      <c r="F461" s="5">
        <f t="shared" si="14"/>
        <v>0.90063492063492068</v>
      </c>
      <c r="G461" t="s">
        <v>6</v>
      </c>
      <c r="H461">
        <v>105</v>
      </c>
      <c r="I461">
        <f t="shared" si="15"/>
        <v>54.038095238095238</v>
      </c>
      <c r="J461" t="s">
        <v>109</v>
      </c>
      <c r="K461" t="s">
        <v>110</v>
      </c>
      <c r="L461" s="4">
        <v>42001.25</v>
      </c>
      <c r="M461" s="4" t="s">
        <v>58</v>
      </c>
      <c r="N461" s="4" t="s">
        <v>111</v>
      </c>
      <c r="O461" s="4">
        <v>42026.25</v>
      </c>
      <c r="P461" t="b">
        <v>0</v>
      </c>
      <c r="Q461" t="b">
        <v>0</v>
      </c>
      <c r="R461" t="s">
        <v>135</v>
      </c>
      <c r="S461" t="str" cm="1">
        <f t="array" ref="S461:T461">_xlfn.TEXTSPLIT(R461, "/", , FALSE)</f>
        <v>film &amp; video</v>
      </c>
      <c r="T461" t="str">
        <v>documentary</v>
      </c>
    </row>
    <row r="462" spans="1:20" ht="17" x14ac:dyDescent="0.2">
      <c r="A462">
        <v>460</v>
      </c>
      <c r="B462" t="s">
        <v>1063</v>
      </c>
      <c r="C462" s="3" t="s">
        <v>1064</v>
      </c>
      <c r="D462">
        <v>2400</v>
      </c>
      <c r="E462">
        <v>4119</v>
      </c>
      <c r="F462" s="5">
        <f t="shared" si="14"/>
        <v>1.7162500000000001</v>
      </c>
      <c r="G462" t="s">
        <v>8</v>
      </c>
      <c r="H462">
        <v>50</v>
      </c>
      <c r="I462">
        <f t="shared" si="15"/>
        <v>82.38</v>
      </c>
      <c r="J462" t="s">
        <v>109</v>
      </c>
      <c r="K462" t="s">
        <v>110</v>
      </c>
      <c r="L462" s="4">
        <v>40399.208333333336</v>
      </c>
      <c r="M462" s="4" t="s">
        <v>54</v>
      </c>
      <c r="N462" s="4" t="s">
        <v>140</v>
      </c>
      <c r="O462" s="4">
        <v>40402.208333333336</v>
      </c>
      <c r="P462" t="b">
        <v>0</v>
      </c>
      <c r="Q462" t="b">
        <v>0</v>
      </c>
      <c r="R462" t="s">
        <v>124</v>
      </c>
      <c r="S462" t="str" cm="1">
        <f t="array" ref="S462:T462">_xlfn.TEXTSPLIT(R462, "/", , FALSE)</f>
        <v>theater</v>
      </c>
      <c r="T462" t="str">
        <v>plays</v>
      </c>
    </row>
    <row r="463" spans="1:20" ht="17" x14ac:dyDescent="0.2">
      <c r="A463">
        <v>461</v>
      </c>
      <c r="B463" t="s">
        <v>1065</v>
      </c>
      <c r="C463" s="3" t="s">
        <v>1066</v>
      </c>
      <c r="D463">
        <v>98800</v>
      </c>
      <c r="E463">
        <v>139354</v>
      </c>
      <c r="F463" s="5">
        <f t="shared" si="14"/>
        <v>1.4104655870445344</v>
      </c>
      <c r="G463" t="s">
        <v>8</v>
      </c>
      <c r="H463">
        <v>2080</v>
      </c>
      <c r="I463">
        <f t="shared" si="15"/>
        <v>66.997115384615384</v>
      </c>
      <c r="J463" t="s">
        <v>109</v>
      </c>
      <c r="K463" t="s">
        <v>110</v>
      </c>
      <c r="L463" s="4">
        <v>41757.208333333336</v>
      </c>
      <c r="M463" s="4" t="s">
        <v>50</v>
      </c>
      <c r="N463" s="4" t="s">
        <v>111</v>
      </c>
      <c r="O463" s="4">
        <v>41777.208333333336</v>
      </c>
      <c r="P463" t="b">
        <v>0</v>
      </c>
      <c r="Q463" t="b">
        <v>0</v>
      </c>
      <c r="R463" t="s">
        <v>146</v>
      </c>
      <c r="S463" t="str" cm="1">
        <f t="array" ref="S463:T463">_xlfn.TEXTSPLIT(R463, "/", , FALSE)</f>
        <v>film &amp; video</v>
      </c>
      <c r="T463" t="str">
        <v>drama</v>
      </c>
    </row>
    <row r="464" spans="1:20" ht="17" x14ac:dyDescent="0.2">
      <c r="A464">
        <v>462</v>
      </c>
      <c r="B464" t="s">
        <v>1067</v>
      </c>
      <c r="C464" s="3" t="s">
        <v>1068</v>
      </c>
      <c r="D464">
        <v>188800</v>
      </c>
      <c r="E464">
        <v>57734</v>
      </c>
      <c r="F464" s="5">
        <f t="shared" si="14"/>
        <v>0.30579449152542371</v>
      </c>
      <c r="G464" t="s">
        <v>6</v>
      </c>
      <c r="H464">
        <v>535</v>
      </c>
      <c r="I464">
        <f t="shared" si="15"/>
        <v>107.91401869158878</v>
      </c>
      <c r="J464" t="s">
        <v>109</v>
      </c>
      <c r="K464" t="s">
        <v>110</v>
      </c>
      <c r="L464" s="4">
        <v>41304.25</v>
      </c>
      <c r="M464" s="4" t="s">
        <v>47</v>
      </c>
      <c r="N464" s="4" t="s">
        <v>117</v>
      </c>
      <c r="O464" s="4">
        <v>41342.25</v>
      </c>
      <c r="P464" t="b">
        <v>0</v>
      </c>
      <c r="Q464" t="b">
        <v>0</v>
      </c>
      <c r="R464" t="s">
        <v>387</v>
      </c>
      <c r="S464" t="str" cm="1">
        <f t="array" ref="S464:T464">_xlfn.TEXTSPLIT(R464, "/", , FALSE)</f>
        <v>games</v>
      </c>
      <c r="T464" t="str">
        <v>mobile games</v>
      </c>
    </row>
    <row r="465" spans="1:20" ht="34" x14ac:dyDescent="0.2">
      <c r="A465">
        <v>463</v>
      </c>
      <c r="B465" t="s">
        <v>1069</v>
      </c>
      <c r="C465" s="3" t="s">
        <v>1070</v>
      </c>
      <c r="D465">
        <v>134300</v>
      </c>
      <c r="E465">
        <v>145265</v>
      </c>
      <c r="F465" s="5">
        <f t="shared" si="14"/>
        <v>1.0816455696202532</v>
      </c>
      <c r="G465" t="s">
        <v>8</v>
      </c>
      <c r="H465">
        <v>2105</v>
      </c>
      <c r="I465">
        <f t="shared" si="15"/>
        <v>69.009501187648453</v>
      </c>
      <c r="J465" t="s">
        <v>109</v>
      </c>
      <c r="K465" t="s">
        <v>110</v>
      </c>
      <c r="L465" s="4">
        <v>41639.25</v>
      </c>
      <c r="M465" s="4" t="s">
        <v>58</v>
      </c>
      <c r="N465" s="4" t="s">
        <v>117</v>
      </c>
      <c r="O465" s="4">
        <v>41643.25</v>
      </c>
      <c r="P465" t="b">
        <v>0</v>
      </c>
      <c r="Q465" t="b">
        <v>0</v>
      </c>
      <c r="R465" t="s">
        <v>166</v>
      </c>
      <c r="S465" t="str" cm="1">
        <f t="array" ref="S465:T465">_xlfn.TEXTSPLIT(R465, "/", , FALSE)</f>
        <v>film &amp; video</v>
      </c>
      <c r="T465" t="str">
        <v>animation</v>
      </c>
    </row>
    <row r="466" spans="1:20" ht="17" x14ac:dyDescent="0.2">
      <c r="A466">
        <v>464</v>
      </c>
      <c r="B466" t="s">
        <v>1071</v>
      </c>
      <c r="C466" s="3" t="s">
        <v>1072</v>
      </c>
      <c r="D466">
        <v>71200</v>
      </c>
      <c r="E466">
        <v>95020</v>
      </c>
      <c r="F466" s="5">
        <f t="shared" si="14"/>
        <v>1.3345505617977529</v>
      </c>
      <c r="G466" t="s">
        <v>8</v>
      </c>
      <c r="H466">
        <v>2436</v>
      </c>
      <c r="I466">
        <f t="shared" si="15"/>
        <v>39.006568144499177</v>
      </c>
      <c r="J466" t="s">
        <v>109</v>
      </c>
      <c r="K466" t="s">
        <v>110</v>
      </c>
      <c r="L466" s="4">
        <v>43142.25</v>
      </c>
      <c r="M466" s="4" t="s">
        <v>48</v>
      </c>
      <c r="N466" s="4" t="s">
        <v>169</v>
      </c>
      <c r="O466" s="4">
        <v>43156.25</v>
      </c>
      <c r="P466" t="b">
        <v>0</v>
      </c>
      <c r="Q466" t="b">
        <v>0</v>
      </c>
      <c r="R466" t="s">
        <v>124</v>
      </c>
      <c r="S466" t="str" cm="1">
        <f t="array" ref="S466:T466">_xlfn.TEXTSPLIT(R466, "/", , FALSE)</f>
        <v>theater</v>
      </c>
      <c r="T466" t="str">
        <v>plays</v>
      </c>
    </row>
    <row r="467" spans="1:20" ht="17" x14ac:dyDescent="0.2">
      <c r="A467">
        <v>465</v>
      </c>
      <c r="B467" t="s">
        <v>1073</v>
      </c>
      <c r="C467" s="3" t="s">
        <v>1074</v>
      </c>
      <c r="D467">
        <v>4700</v>
      </c>
      <c r="E467">
        <v>8829</v>
      </c>
      <c r="F467" s="5">
        <f t="shared" si="14"/>
        <v>1.8785106382978722</v>
      </c>
      <c r="G467" t="s">
        <v>8</v>
      </c>
      <c r="H467">
        <v>80</v>
      </c>
      <c r="I467">
        <f t="shared" si="15"/>
        <v>110.3625</v>
      </c>
      <c r="J467" t="s">
        <v>109</v>
      </c>
      <c r="K467" t="s">
        <v>110</v>
      </c>
      <c r="L467" s="4">
        <v>43127.25</v>
      </c>
      <c r="M467" s="4" t="s">
        <v>47</v>
      </c>
      <c r="N467" s="4" t="s">
        <v>169</v>
      </c>
      <c r="O467" s="4">
        <v>43136.25</v>
      </c>
      <c r="P467" t="b">
        <v>0</v>
      </c>
      <c r="Q467" t="b">
        <v>0</v>
      </c>
      <c r="R467" t="s">
        <v>301</v>
      </c>
      <c r="S467" t="str" cm="1">
        <f t="array" ref="S467:T467">_xlfn.TEXTSPLIT(R467, "/", , FALSE)</f>
        <v>publishing</v>
      </c>
      <c r="T467" t="str">
        <v>translations</v>
      </c>
    </row>
    <row r="468" spans="1:20" ht="17" x14ac:dyDescent="0.2">
      <c r="A468">
        <v>466</v>
      </c>
      <c r="B468" t="s">
        <v>1075</v>
      </c>
      <c r="C468" s="3" t="s">
        <v>1076</v>
      </c>
      <c r="D468">
        <v>1200</v>
      </c>
      <c r="E468">
        <v>3984</v>
      </c>
      <c r="F468" s="5">
        <f t="shared" si="14"/>
        <v>3.32</v>
      </c>
      <c r="G468" t="s">
        <v>8</v>
      </c>
      <c r="H468">
        <v>42</v>
      </c>
      <c r="I468">
        <f t="shared" si="15"/>
        <v>94.857142857142861</v>
      </c>
      <c r="J468" t="s">
        <v>109</v>
      </c>
      <c r="K468" t="s">
        <v>110</v>
      </c>
      <c r="L468" s="4">
        <v>41409.208333333336</v>
      </c>
      <c r="M468" s="4" t="s">
        <v>51</v>
      </c>
      <c r="N468" s="4" t="s">
        <v>117</v>
      </c>
      <c r="O468" s="4">
        <v>41432.208333333336</v>
      </c>
      <c r="P468" t="b">
        <v>0</v>
      </c>
      <c r="Q468" t="b">
        <v>1</v>
      </c>
      <c r="R468" t="s">
        <v>159</v>
      </c>
      <c r="S468" t="str" cm="1">
        <f t="array" ref="S468:T468">_xlfn.TEXTSPLIT(R468, "/", , FALSE)</f>
        <v>technology</v>
      </c>
      <c r="T468" t="str">
        <v>wearables</v>
      </c>
    </row>
    <row r="469" spans="1:20" ht="34" x14ac:dyDescent="0.2">
      <c r="A469">
        <v>467</v>
      </c>
      <c r="B469" t="s">
        <v>1077</v>
      </c>
      <c r="C469" s="3" t="s">
        <v>1078</v>
      </c>
      <c r="D469">
        <v>1400</v>
      </c>
      <c r="E469">
        <v>8053</v>
      </c>
      <c r="F469" s="5">
        <f t="shared" si="14"/>
        <v>5.7521428571428572</v>
      </c>
      <c r="G469" t="s">
        <v>8</v>
      </c>
      <c r="H469">
        <v>139</v>
      </c>
      <c r="I469">
        <f t="shared" si="15"/>
        <v>57.935251798561154</v>
      </c>
      <c r="J469" t="s">
        <v>103</v>
      </c>
      <c r="K469" t="s">
        <v>104</v>
      </c>
      <c r="L469" s="4">
        <v>42331.25</v>
      </c>
      <c r="M469" s="4" t="s">
        <v>57</v>
      </c>
      <c r="N469" s="4" t="s">
        <v>105</v>
      </c>
      <c r="O469" s="4">
        <v>42338.25</v>
      </c>
      <c r="P469" t="b">
        <v>0</v>
      </c>
      <c r="Q469" t="b">
        <v>1</v>
      </c>
      <c r="R469" t="s">
        <v>118</v>
      </c>
      <c r="S469" t="str" cm="1">
        <f t="array" ref="S469:T469">_xlfn.TEXTSPLIT(R469, "/", , FALSE)</f>
        <v>technology</v>
      </c>
      <c r="T469" t="str">
        <v>web</v>
      </c>
    </row>
    <row r="470" spans="1:20" ht="17" x14ac:dyDescent="0.2">
      <c r="A470">
        <v>468</v>
      </c>
      <c r="B470" t="s">
        <v>1079</v>
      </c>
      <c r="C470" s="3" t="s">
        <v>1080</v>
      </c>
      <c r="D470">
        <v>4000</v>
      </c>
      <c r="E470">
        <v>1620</v>
      </c>
      <c r="F470" s="5">
        <f t="shared" si="14"/>
        <v>0.40500000000000003</v>
      </c>
      <c r="G470" t="s">
        <v>6</v>
      </c>
      <c r="H470">
        <v>16</v>
      </c>
      <c r="I470">
        <f t="shared" si="15"/>
        <v>101.25</v>
      </c>
      <c r="J470" t="s">
        <v>109</v>
      </c>
      <c r="K470" t="s">
        <v>110</v>
      </c>
      <c r="L470" s="4">
        <v>43569.208333333328</v>
      </c>
      <c r="M470" s="4" t="s">
        <v>50</v>
      </c>
      <c r="N470" s="4" t="s">
        <v>121</v>
      </c>
      <c r="O470" s="4">
        <v>43585.208333333328</v>
      </c>
      <c r="P470" t="b">
        <v>0</v>
      </c>
      <c r="Q470" t="b">
        <v>0</v>
      </c>
      <c r="R470" t="s">
        <v>124</v>
      </c>
      <c r="S470" t="str" cm="1">
        <f t="array" ref="S470:T470">_xlfn.TEXTSPLIT(R470, "/", , FALSE)</f>
        <v>theater</v>
      </c>
      <c r="T470" t="str">
        <v>plays</v>
      </c>
    </row>
    <row r="471" spans="1:20" ht="17" x14ac:dyDescent="0.2">
      <c r="A471">
        <v>469</v>
      </c>
      <c r="B471" t="s">
        <v>1081</v>
      </c>
      <c r="C471" s="3" t="s">
        <v>1082</v>
      </c>
      <c r="D471">
        <v>5600</v>
      </c>
      <c r="E471">
        <v>10328</v>
      </c>
      <c r="F471" s="5">
        <f t="shared" si="14"/>
        <v>1.8442857142857143</v>
      </c>
      <c r="G471" t="s">
        <v>8</v>
      </c>
      <c r="H471">
        <v>159</v>
      </c>
      <c r="I471">
        <f t="shared" si="15"/>
        <v>64.95597484276729</v>
      </c>
      <c r="J471" t="s">
        <v>109</v>
      </c>
      <c r="K471" t="s">
        <v>110</v>
      </c>
      <c r="L471" s="4">
        <v>42142.208333333328</v>
      </c>
      <c r="M471" s="4" t="s">
        <v>51</v>
      </c>
      <c r="N471" s="4" t="s">
        <v>105</v>
      </c>
      <c r="O471" s="4">
        <v>42144.208333333328</v>
      </c>
      <c r="P471" t="b">
        <v>0</v>
      </c>
      <c r="Q471" t="b">
        <v>0</v>
      </c>
      <c r="R471" t="s">
        <v>146</v>
      </c>
      <c r="S471" t="str" cm="1">
        <f t="array" ref="S471:T471">_xlfn.TEXTSPLIT(R471, "/", , FALSE)</f>
        <v>film &amp; video</v>
      </c>
      <c r="T471" t="str">
        <v>drama</v>
      </c>
    </row>
    <row r="472" spans="1:20" ht="17" x14ac:dyDescent="0.2">
      <c r="A472">
        <v>470</v>
      </c>
      <c r="B472" t="s">
        <v>1083</v>
      </c>
      <c r="C472" s="3" t="s">
        <v>1084</v>
      </c>
      <c r="D472">
        <v>3600</v>
      </c>
      <c r="E472">
        <v>10289</v>
      </c>
      <c r="F472" s="5">
        <f t="shared" si="14"/>
        <v>2.8580555555555556</v>
      </c>
      <c r="G472" t="s">
        <v>8</v>
      </c>
      <c r="H472">
        <v>381</v>
      </c>
      <c r="I472">
        <f t="shared" si="15"/>
        <v>27.00524934383202</v>
      </c>
      <c r="J472" t="s">
        <v>109</v>
      </c>
      <c r="K472" t="s">
        <v>110</v>
      </c>
      <c r="L472" s="4">
        <v>42716.25</v>
      </c>
      <c r="M472" s="4" t="s">
        <v>58</v>
      </c>
      <c r="N472" s="4" t="s">
        <v>153</v>
      </c>
      <c r="O472" s="4">
        <v>42723.25</v>
      </c>
      <c r="P472" t="b">
        <v>0</v>
      </c>
      <c r="Q472" t="b">
        <v>0</v>
      </c>
      <c r="R472" t="s">
        <v>159</v>
      </c>
      <c r="S472" t="str" cm="1">
        <f t="array" ref="S472:T472">_xlfn.TEXTSPLIT(R472, "/", , FALSE)</f>
        <v>technology</v>
      </c>
      <c r="T472" t="str">
        <v>wearables</v>
      </c>
    </row>
    <row r="473" spans="1:20" ht="17" x14ac:dyDescent="0.2">
      <c r="A473">
        <v>471</v>
      </c>
      <c r="B473" t="s">
        <v>541</v>
      </c>
      <c r="C473" s="3" t="s">
        <v>1085</v>
      </c>
      <c r="D473">
        <v>3100</v>
      </c>
      <c r="E473">
        <v>9889</v>
      </c>
      <c r="F473" s="5">
        <f t="shared" si="14"/>
        <v>3.19</v>
      </c>
      <c r="G473" t="s">
        <v>8</v>
      </c>
      <c r="H473">
        <v>194</v>
      </c>
      <c r="I473">
        <f t="shared" si="15"/>
        <v>50.97422680412371</v>
      </c>
      <c r="J473" t="s">
        <v>132</v>
      </c>
      <c r="K473" t="s">
        <v>133</v>
      </c>
      <c r="L473" s="4">
        <v>41031.208333333336</v>
      </c>
      <c r="M473" s="4" t="s">
        <v>51</v>
      </c>
      <c r="N473" s="4" t="s">
        <v>129</v>
      </c>
      <c r="O473" s="4">
        <v>41031.208333333336</v>
      </c>
      <c r="P473" t="b">
        <v>0</v>
      </c>
      <c r="Q473" t="b">
        <v>1</v>
      </c>
      <c r="R473" t="s">
        <v>106</v>
      </c>
      <c r="S473" t="str" cm="1">
        <f t="array" ref="S473:T473">_xlfn.TEXTSPLIT(R473, "/", , FALSE)</f>
        <v>food</v>
      </c>
      <c r="T473" t="str">
        <v>food trucks</v>
      </c>
    </row>
    <row r="474" spans="1:20" ht="34" x14ac:dyDescent="0.2">
      <c r="A474">
        <v>472</v>
      </c>
      <c r="B474" t="s">
        <v>1086</v>
      </c>
      <c r="C474" s="3" t="s">
        <v>1087</v>
      </c>
      <c r="D474">
        <v>153800</v>
      </c>
      <c r="E474">
        <v>60342</v>
      </c>
      <c r="F474" s="5">
        <f t="shared" si="14"/>
        <v>0.39234070221066319</v>
      </c>
      <c r="G474" t="s">
        <v>6</v>
      </c>
      <c r="H474">
        <v>575</v>
      </c>
      <c r="I474">
        <f t="shared" si="15"/>
        <v>104.94260869565217</v>
      </c>
      <c r="J474" t="s">
        <v>109</v>
      </c>
      <c r="K474" t="s">
        <v>110</v>
      </c>
      <c r="L474" s="4">
        <v>43535.208333333328</v>
      </c>
      <c r="M474" s="4" t="s">
        <v>49</v>
      </c>
      <c r="N474" s="4" t="s">
        <v>121</v>
      </c>
      <c r="O474" s="4">
        <v>43589.208333333328</v>
      </c>
      <c r="P474" t="b">
        <v>0</v>
      </c>
      <c r="Q474" t="b">
        <v>0</v>
      </c>
      <c r="R474" t="s">
        <v>112</v>
      </c>
      <c r="S474" t="str" cm="1">
        <f t="array" ref="S474:T474">_xlfn.TEXTSPLIT(R474, "/", , FALSE)</f>
        <v>music</v>
      </c>
      <c r="T474" t="str">
        <v>rock</v>
      </c>
    </row>
    <row r="475" spans="1:20" ht="17" x14ac:dyDescent="0.2">
      <c r="A475">
        <v>473</v>
      </c>
      <c r="B475" t="s">
        <v>1088</v>
      </c>
      <c r="C475" s="3" t="s">
        <v>1089</v>
      </c>
      <c r="D475">
        <v>5000</v>
      </c>
      <c r="E475">
        <v>8907</v>
      </c>
      <c r="F475" s="5">
        <f t="shared" si="14"/>
        <v>1.7814000000000001</v>
      </c>
      <c r="G475" t="s">
        <v>8</v>
      </c>
      <c r="H475">
        <v>106</v>
      </c>
      <c r="I475">
        <f t="shared" si="15"/>
        <v>84.028301886792448</v>
      </c>
      <c r="J475" t="s">
        <v>109</v>
      </c>
      <c r="K475" t="s">
        <v>110</v>
      </c>
      <c r="L475" s="4">
        <v>43277.208333333328</v>
      </c>
      <c r="M475" s="4" t="s">
        <v>52</v>
      </c>
      <c r="N475" s="4" t="s">
        <v>169</v>
      </c>
      <c r="O475" s="4">
        <v>43278.208333333328</v>
      </c>
      <c r="P475" t="b">
        <v>0</v>
      </c>
      <c r="Q475" t="b">
        <v>0</v>
      </c>
      <c r="R475" t="s">
        <v>143</v>
      </c>
      <c r="S475" t="str" cm="1">
        <f t="array" ref="S475:T475">_xlfn.TEXTSPLIT(R475, "/", , FALSE)</f>
        <v>music</v>
      </c>
      <c r="T475" t="str">
        <v>electric music</v>
      </c>
    </row>
    <row r="476" spans="1:20" ht="17" x14ac:dyDescent="0.2">
      <c r="A476">
        <v>474</v>
      </c>
      <c r="B476" t="s">
        <v>1090</v>
      </c>
      <c r="C476" s="3" t="s">
        <v>1091</v>
      </c>
      <c r="D476">
        <v>4000</v>
      </c>
      <c r="E476">
        <v>14606</v>
      </c>
      <c r="F476" s="5">
        <f t="shared" si="14"/>
        <v>3.6515</v>
      </c>
      <c r="G476" t="s">
        <v>8</v>
      </c>
      <c r="H476">
        <v>142</v>
      </c>
      <c r="I476">
        <f t="shared" si="15"/>
        <v>102.85915492957747</v>
      </c>
      <c r="J476" t="s">
        <v>109</v>
      </c>
      <c r="K476" t="s">
        <v>110</v>
      </c>
      <c r="L476" s="4">
        <v>41989.25</v>
      </c>
      <c r="M476" s="4" t="s">
        <v>58</v>
      </c>
      <c r="N476" s="4" t="s">
        <v>111</v>
      </c>
      <c r="O476" s="4">
        <v>41990.25</v>
      </c>
      <c r="P476" t="b">
        <v>0</v>
      </c>
      <c r="Q476" t="b">
        <v>0</v>
      </c>
      <c r="R476" t="s">
        <v>364</v>
      </c>
      <c r="S476" t="str" cm="1">
        <f t="array" ref="S476:T476">_xlfn.TEXTSPLIT(R476, "/", , FALSE)</f>
        <v>film &amp; video</v>
      </c>
      <c r="T476" t="str">
        <v>television</v>
      </c>
    </row>
    <row r="477" spans="1:20" ht="34" x14ac:dyDescent="0.2">
      <c r="A477">
        <v>475</v>
      </c>
      <c r="B477" t="s">
        <v>1092</v>
      </c>
      <c r="C477" s="3" t="s">
        <v>1093</v>
      </c>
      <c r="D477">
        <v>7400</v>
      </c>
      <c r="E477">
        <v>8432</v>
      </c>
      <c r="F477" s="5">
        <f t="shared" si="14"/>
        <v>1.1394594594594594</v>
      </c>
      <c r="G477" t="s">
        <v>8</v>
      </c>
      <c r="H477">
        <v>211</v>
      </c>
      <c r="I477">
        <f t="shared" si="15"/>
        <v>39.962085308056871</v>
      </c>
      <c r="J477" t="s">
        <v>109</v>
      </c>
      <c r="K477" t="s">
        <v>110</v>
      </c>
      <c r="L477" s="4">
        <v>41450.208333333336</v>
      </c>
      <c r="M477" s="4" t="s">
        <v>52</v>
      </c>
      <c r="N477" s="4" t="s">
        <v>117</v>
      </c>
      <c r="O477" s="4">
        <v>41454.208333333336</v>
      </c>
      <c r="P477" t="b">
        <v>0</v>
      </c>
      <c r="Q477" t="b">
        <v>1</v>
      </c>
      <c r="R477" t="s">
        <v>301</v>
      </c>
      <c r="S477" t="str" cm="1">
        <f t="array" ref="S477:T477">_xlfn.TEXTSPLIT(R477, "/", , FALSE)</f>
        <v>publishing</v>
      </c>
      <c r="T477" t="str">
        <v>translations</v>
      </c>
    </row>
    <row r="478" spans="1:20" ht="34" x14ac:dyDescent="0.2">
      <c r="A478">
        <v>476</v>
      </c>
      <c r="B478" t="s">
        <v>1094</v>
      </c>
      <c r="C478" s="3" t="s">
        <v>1095</v>
      </c>
      <c r="D478">
        <v>191500</v>
      </c>
      <c r="E478">
        <v>57122</v>
      </c>
      <c r="F478" s="5">
        <f t="shared" si="14"/>
        <v>0.29828720626631855</v>
      </c>
      <c r="G478" t="s">
        <v>6</v>
      </c>
      <c r="H478">
        <v>1120</v>
      </c>
      <c r="I478">
        <f t="shared" si="15"/>
        <v>51.001785714285717</v>
      </c>
      <c r="J478" t="s">
        <v>109</v>
      </c>
      <c r="K478" t="s">
        <v>110</v>
      </c>
      <c r="L478" s="4">
        <v>43322.208333333328</v>
      </c>
      <c r="M478" s="4" t="s">
        <v>54</v>
      </c>
      <c r="N478" s="4" t="s">
        <v>169</v>
      </c>
      <c r="O478" s="4">
        <v>43328.208333333328</v>
      </c>
      <c r="P478" t="b">
        <v>0</v>
      </c>
      <c r="Q478" t="b">
        <v>0</v>
      </c>
      <c r="R478" t="s">
        <v>214</v>
      </c>
      <c r="S478" t="str" cm="1">
        <f t="array" ref="S478:T478">_xlfn.TEXTSPLIT(R478, "/", , FALSE)</f>
        <v>publishing</v>
      </c>
      <c r="T478" t="str">
        <v>fiction</v>
      </c>
    </row>
    <row r="479" spans="1:20" ht="17" x14ac:dyDescent="0.2">
      <c r="A479">
        <v>477</v>
      </c>
      <c r="B479" t="s">
        <v>1096</v>
      </c>
      <c r="C479" s="3" t="s">
        <v>1097</v>
      </c>
      <c r="D479">
        <v>8500</v>
      </c>
      <c r="E479">
        <v>4613</v>
      </c>
      <c r="F479" s="5">
        <f t="shared" si="14"/>
        <v>0.54270588235294115</v>
      </c>
      <c r="G479" t="s">
        <v>6</v>
      </c>
      <c r="H479">
        <v>113</v>
      </c>
      <c r="I479">
        <f t="shared" si="15"/>
        <v>40.823008849557525</v>
      </c>
      <c r="J479" t="s">
        <v>109</v>
      </c>
      <c r="K479" t="s">
        <v>110</v>
      </c>
      <c r="L479" s="4">
        <v>40720.208333333336</v>
      </c>
      <c r="M479" s="4" t="s">
        <v>52</v>
      </c>
      <c r="N479" s="4" t="s">
        <v>165</v>
      </c>
      <c r="O479" s="4">
        <v>40747.208333333336</v>
      </c>
      <c r="P479" t="b">
        <v>0</v>
      </c>
      <c r="Q479" t="b">
        <v>0</v>
      </c>
      <c r="R479" t="s">
        <v>569</v>
      </c>
      <c r="S479" t="str" cm="1">
        <f t="array" ref="S479:T479">_xlfn.TEXTSPLIT(R479, "/", , FALSE)</f>
        <v>film &amp; video</v>
      </c>
      <c r="T479" t="str">
        <v>science fiction</v>
      </c>
    </row>
    <row r="480" spans="1:20" ht="17" x14ac:dyDescent="0.2">
      <c r="A480">
        <v>478</v>
      </c>
      <c r="B480" t="s">
        <v>1098</v>
      </c>
      <c r="C480" s="3" t="s">
        <v>1099</v>
      </c>
      <c r="D480">
        <v>68800</v>
      </c>
      <c r="E480">
        <v>162603</v>
      </c>
      <c r="F480" s="5">
        <f t="shared" si="14"/>
        <v>2.3634156976744185</v>
      </c>
      <c r="G480" t="s">
        <v>8</v>
      </c>
      <c r="H480">
        <v>2756</v>
      </c>
      <c r="I480">
        <f t="shared" si="15"/>
        <v>58.999637155297535</v>
      </c>
      <c r="J480" t="s">
        <v>109</v>
      </c>
      <c r="K480" t="s">
        <v>110</v>
      </c>
      <c r="L480" s="4">
        <v>42072.208333333328</v>
      </c>
      <c r="M480" s="4" t="s">
        <v>49</v>
      </c>
      <c r="N480" s="4" t="s">
        <v>105</v>
      </c>
      <c r="O480" s="4">
        <v>42084.208333333328</v>
      </c>
      <c r="P480" t="b">
        <v>0</v>
      </c>
      <c r="Q480" t="b">
        <v>0</v>
      </c>
      <c r="R480" t="s">
        <v>159</v>
      </c>
      <c r="S480" t="str" cm="1">
        <f t="array" ref="S480:T480">_xlfn.TEXTSPLIT(R480, "/", , FALSE)</f>
        <v>technology</v>
      </c>
      <c r="T480" t="str">
        <v>wearables</v>
      </c>
    </row>
    <row r="481" spans="1:20" ht="17" x14ac:dyDescent="0.2">
      <c r="A481">
        <v>479</v>
      </c>
      <c r="B481" t="s">
        <v>1100</v>
      </c>
      <c r="C481" s="3" t="s">
        <v>1101</v>
      </c>
      <c r="D481">
        <v>2400</v>
      </c>
      <c r="E481">
        <v>12310</v>
      </c>
      <c r="F481" s="5">
        <f t="shared" si="14"/>
        <v>5.1291666666666664</v>
      </c>
      <c r="G481" t="s">
        <v>8</v>
      </c>
      <c r="H481">
        <v>173</v>
      </c>
      <c r="I481">
        <f t="shared" si="15"/>
        <v>71.156069364161851</v>
      </c>
      <c r="J481" t="s">
        <v>132</v>
      </c>
      <c r="K481" t="s">
        <v>133</v>
      </c>
      <c r="L481" s="4">
        <v>42945.208333333328</v>
      </c>
      <c r="M481" s="4" t="s">
        <v>53</v>
      </c>
      <c r="N481" s="4" t="s">
        <v>134</v>
      </c>
      <c r="O481" s="4">
        <v>42947.208333333328</v>
      </c>
      <c r="P481" t="b">
        <v>0</v>
      </c>
      <c r="Q481" t="b">
        <v>0</v>
      </c>
      <c r="R481" t="s">
        <v>106</v>
      </c>
      <c r="S481" t="str" cm="1">
        <f t="array" ref="S481:T481">_xlfn.TEXTSPLIT(R481, "/", , FALSE)</f>
        <v>food</v>
      </c>
      <c r="T481" t="str">
        <v>food trucks</v>
      </c>
    </row>
    <row r="482" spans="1:20" ht="17" x14ac:dyDescent="0.2">
      <c r="A482">
        <v>480</v>
      </c>
      <c r="B482" t="s">
        <v>1102</v>
      </c>
      <c r="C482" s="3" t="s">
        <v>1103</v>
      </c>
      <c r="D482">
        <v>8600</v>
      </c>
      <c r="E482">
        <v>8656</v>
      </c>
      <c r="F482" s="5">
        <f t="shared" si="14"/>
        <v>1.0065116279069768</v>
      </c>
      <c r="G482" t="s">
        <v>8</v>
      </c>
      <c r="H482">
        <v>87</v>
      </c>
      <c r="I482">
        <f t="shared" si="15"/>
        <v>99.494252873563212</v>
      </c>
      <c r="J482" t="s">
        <v>109</v>
      </c>
      <c r="K482" t="s">
        <v>110</v>
      </c>
      <c r="L482" s="4">
        <v>40248.25</v>
      </c>
      <c r="M482" s="4" t="s">
        <v>49</v>
      </c>
      <c r="N482" s="4" t="s">
        <v>140</v>
      </c>
      <c r="O482" s="4">
        <v>40257.208333333336</v>
      </c>
      <c r="P482" t="b">
        <v>0</v>
      </c>
      <c r="Q482" t="b">
        <v>1</v>
      </c>
      <c r="R482" t="s">
        <v>217</v>
      </c>
      <c r="S482" t="str" cm="1">
        <f t="array" ref="S482:T482">_xlfn.TEXTSPLIT(R482, "/", , FALSE)</f>
        <v>photography</v>
      </c>
      <c r="T482" t="str">
        <v>photography books</v>
      </c>
    </row>
    <row r="483" spans="1:20" ht="34" x14ac:dyDescent="0.2">
      <c r="A483">
        <v>481</v>
      </c>
      <c r="B483" t="s">
        <v>1104</v>
      </c>
      <c r="C483" s="3" t="s">
        <v>1105</v>
      </c>
      <c r="D483">
        <v>196600</v>
      </c>
      <c r="E483">
        <v>159931</v>
      </c>
      <c r="F483" s="5">
        <f t="shared" si="14"/>
        <v>0.81348423194303154</v>
      </c>
      <c r="G483" t="s">
        <v>6</v>
      </c>
      <c r="H483">
        <v>1538</v>
      </c>
      <c r="I483">
        <f t="shared" si="15"/>
        <v>103.98634590377114</v>
      </c>
      <c r="J483" t="s">
        <v>109</v>
      </c>
      <c r="K483" t="s">
        <v>110</v>
      </c>
      <c r="L483" s="4">
        <v>41913.208333333336</v>
      </c>
      <c r="M483" s="4" t="s">
        <v>56</v>
      </c>
      <c r="N483" s="4" t="s">
        <v>111</v>
      </c>
      <c r="O483" s="4">
        <v>41955.25</v>
      </c>
      <c r="P483" t="b">
        <v>0</v>
      </c>
      <c r="Q483" t="b">
        <v>1</v>
      </c>
      <c r="R483" t="s">
        <v>124</v>
      </c>
      <c r="S483" t="str" cm="1">
        <f t="array" ref="S483:T483">_xlfn.TEXTSPLIT(R483, "/", , FALSE)</f>
        <v>theater</v>
      </c>
      <c r="T483" t="str">
        <v>plays</v>
      </c>
    </row>
    <row r="484" spans="1:20" ht="34" x14ac:dyDescent="0.2">
      <c r="A484">
        <v>482</v>
      </c>
      <c r="B484" t="s">
        <v>1106</v>
      </c>
      <c r="C484" s="3" t="s">
        <v>1107</v>
      </c>
      <c r="D484">
        <v>4200</v>
      </c>
      <c r="E484">
        <v>689</v>
      </c>
      <c r="F484" s="5">
        <f t="shared" si="14"/>
        <v>0.16404761904761905</v>
      </c>
      <c r="G484" t="s">
        <v>6</v>
      </c>
      <c r="H484">
        <v>9</v>
      </c>
      <c r="I484">
        <f t="shared" si="15"/>
        <v>76.555555555555557</v>
      </c>
      <c r="J484" t="s">
        <v>109</v>
      </c>
      <c r="K484" t="s">
        <v>110</v>
      </c>
      <c r="L484" s="4">
        <v>40963.25</v>
      </c>
      <c r="M484" s="4" t="s">
        <v>48</v>
      </c>
      <c r="N484" s="4" t="s">
        <v>129</v>
      </c>
      <c r="O484" s="4">
        <v>40974.25</v>
      </c>
      <c r="P484" t="b">
        <v>0</v>
      </c>
      <c r="Q484" t="b">
        <v>1</v>
      </c>
      <c r="R484" t="s">
        <v>214</v>
      </c>
      <c r="S484" t="str" cm="1">
        <f t="array" ref="S484:T484">_xlfn.TEXTSPLIT(R484, "/", , FALSE)</f>
        <v>publishing</v>
      </c>
      <c r="T484" t="str">
        <v>fiction</v>
      </c>
    </row>
    <row r="485" spans="1:20" ht="17" x14ac:dyDescent="0.2">
      <c r="A485">
        <v>483</v>
      </c>
      <c r="B485" t="s">
        <v>1108</v>
      </c>
      <c r="C485" s="3" t="s">
        <v>1109</v>
      </c>
      <c r="D485">
        <v>91400</v>
      </c>
      <c r="E485">
        <v>48236</v>
      </c>
      <c r="F485" s="5">
        <f t="shared" si="14"/>
        <v>0.52774617067833696</v>
      </c>
      <c r="G485" t="s">
        <v>6</v>
      </c>
      <c r="H485">
        <v>554</v>
      </c>
      <c r="I485">
        <f t="shared" si="15"/>
        <v>87.068592057761734</v>
      </c>
      <c r="J485" t="s">
        <v>109</v>
      </c>
      <c r="K485" t="s">
        <v>110</v>
      </c>
      <c r="L485" s="4">
        <v>43811.25</v>
      </c>
      <c r="M485" s="4" t="s">
        <v>58</v>
      </c>
      <c r="N485" s="4" t="s">
        <v>121</v>
      </c>
      <c r="O485" s="4">
        <v>43818.25</v>
      </c>
      <c r="P485" t="b">
        <v>0</v>
      </c>
      <c r="Q485" t="b">
        <v>0</v>
      </c>
      <c r="R485" t="s">
        <v>124</v>
      </c>
      <c r="S485" t="str" cm="1">
        <f t="array" ref="S485:T485">_xlfn.TEXTSPLIT(R485, "/", , FALSE)</f>
        <v>theater</v>
      </c>
      <c r="T485" t="str">
        <v>plays</v>
      </c>
    </row>
    <row r="486" spans="1:20" ht="17" x14ac:dyDescent="0.2">
      <c r="A486">
        <v>484</v>
      </c>
      <c r="B486" t="s">
        <v>1110</v>
      </c>
      <c r="C486" s="3" t="s">
        <v>1111</v>
      </c>
      <c r="D486">
        <v>29600</v>
      </c>
      <c r="E486">
        <v>77021</v>
      </c>
      <c r="F486" s="5">
        <f t="shared" si="14"/>
        <v>2.6020608108108108</v>
      </c>
      <c r="G486" t="s">
        <v>8</v>
      </c>
      <c r="H486">
        <v>1572</v>
      </c>
      <c r="I486">
        <f t="shared" si="15"/>
        <v>48.99554707379135</v>
      </c>
      <c r="J486" t="s">
        <v>132</v>
      </c>
      <c r="K486" t="s">
        <v>133</v>
      </c>
      <c r="L486" s="4">
        <v>41855.208333333336</v>
      </c>
      <c r="M486" s="4" t="s">
        <v>54</v>
      </c>
      <c r="N486" s="4" t="s">
        <v>111</v>
      </c>
      <c r="O486" s="4">
        <v>41904.208333333336</v>
      </c>
      <c r="P486" t="b">
        <v>0</v>
      </c>
      <c r="Q486" t="b">
        <v>1</v>
      </c>
      <c r="R486" t="s">
        <v>106</v>
      </c>
      <c r="S486" t="str" cm="1">
        <f t="array" ref="S486:T486">_xlfn.TEXTSPLIT(R486, "/", , FALSE)</f>
        <v>food</v>
      </c>
      <c r="T486" t="str">
        <v>food trucks</v>
      </c>
    </row>
    <row r="487" spans="1:20" ht="34" x14ac:dyDescent="0.2">
      <c r="A487">
        <v>485</v>
      </c>
      <c r="B487" t="s">
        <v>1112</v>
      </c>
      <c r="C487" s="3" t="s">
        <v>1113</v>
      </c>
      <c r="D487">
        <v>90600</v>
      </c>
      <c r="E487">
        <v>27844</v>
      </c>
      <c r="F487" s="5">
        <f t="shared" si="14"/>
        <v>0.30732891832229581</v>
      </c>
      <c r="G487" t="s">
        <v>6</v>
      </c>
      <c r="H487">
        <v>648</v>
      </c>
      <c r="I487">
        <f t="shared" si="15"/>
        <v>42.969135802469133</v>
      </c>
      <c r="J487" t="s">
        <v>132</v>
      </c>
      <c r="K487" t="s">
        <v>133</v>
      </c>
      <c r="L487" s="4">
        <v>43626.208333333328</v>
      </c>
      <c r="M487" s="4" t="s">
        <v>52</v>
      </c>
      <c r="N487" s="4" t="s">
        <v>121</v>
      </c>
      <c r="O487" s="4">
        <v>43667.208333333328</v>
      </c>
      <c r="P487" t="b">
        <v>0</v>
      </c>
      <c r="Q487" t="b">
        <v>0</v>
      </c>
      <c r="R487" t="s">
        <v>124</v>
      </c>
      <c r="S487" t="str" cm="1">
        <f t="array" ref="S487:T487">_xlfn.TEXTSPLIT(R487, "/", , FALSE)</f>
        <v>theater</v>
      </c>
      <c r="T487" t="str">
        <v>plays</v>
      </c>
    </row>
    <row r="488" spans="1:20" ht="34" x14ac:dyDescent="0.2">
      <c r="A488">
        <v>486</v>
      </c>
      <c r="B488" t="s">
        <v>1114</v>
      </c>
      <c r="C488" s="3" t="s">
        <v>1115</v>
      </c>
      <c r="D488">
        <v>5200</v>
      </c>
      <c r="E488">
        <v>702</v>
      </c>
      <c r="F488" s="5">
        <f t="shared" si="14"/>
        <v>0.13500000000000001</v>
      </c>
      <c r="G488" t="s">
        <v>6</v>
      </c>
      <c r="H488">
        <v>21</v>
      </c>
      <c r="I488">
        <f t="shared" si="15"/>
        <v>33.428571428571431</v>
      </c>
      <c r="J488" t="s">
        <v>132</v>
      </c>
      <c r="K488" t="s">
        <v>133</v>
      </c>
      <c r="L488" s="4">
        <v>43168.25</v>
      </c>
      <c r="M488" s="4" t="s">
        <v>49</v>
      </c>
      <c r="N488" s="4" t="s">
        <v>169</v>
      </c>
      <c r="O488" s="4">
        <v>43183.208333333328</v>
      </c>
      <c r="P488" t="b">
        <v>0</v>
      </c>
      <c r="Q488" t="b">
        <v>1</v>
      </c>
      <c r="R488" t="s">
        <v>301</v>
      </c>
      <c r="S488" t="str" cm="1">
        <f t="array" ref="S488:T488">_xlfn.TEXTSPLIT(R488, "/", , FALSE)</f>
        <v>publishing</v>
      </c>
      <c r="T488" t="str">
        <v>translations</v>
      </c>
    </row>
    <row r="489" spans="1:20" ht="17" x14ac:dyDescent="0.2">
      <c r="A489">
        <v>487</v>
      </c>
      <c r="B489" t="s">
        <v>1116</v>
      </c>
      <c r="C489" s="3" t="s">
        <v>1117</v>
      </c>
      <c r="D489">
        <v>110300</v>
      </c>
      <c r="E489">
        <v>197024</v>
      </c>
      <c r="F489" s="5">
        <f t="shared" si="14"/>
        <v>1.7862556663644606</v>
      </c>
      <c r="G489" t="s">
        <v>8</v>
      </c>
      <c r="H489">
        <v>2346</v>
      </c>
      <c r="I489">
        <f t="shared" si="15"/>
        <v>83.982949701619773</v>
      </c>
      <c r="J489" t="s">
        <v>109</v>
      </c>
      <c r="K489" t="s">
        <v>110</v>
      </c>
      <c r="L489" s="4">
        <v>42845.208333333328</v>
      </c>
      <c r="M489" s="4" t="s">
        <v>50</v>
      </c>
      <c r="N489" s="4" t="s">
        <v>134</v>
      </c>
      <c r="O489" s="4">
        <v>42878.208333333328</v>
      </c>
      <c r="P489" t="b">
        <v>0</v>
      </c>
      <c r="Q489" t="b">
        <v>0</v>
      </c>
      <c r="R489" t="s">
        <v>124</v>
      </c>
      <c r="S489" t="str" cm="1">
        <f t="array" ref="S489:T489">_xlfn.TEXTSPLIT(R489, "/", , FALSE)</f>
        <v>theater</v>
      </c>
      <c r="T489" t="str">
        <v>plays</v>
      </c>
    </row>
    <row r="490" spans="1:20" ht="17" x14ac:dyDescent="0.2">
      <c r="A490">
        <v>488</v>
      </c>
      <c r="B490" t="s">
        <v>1118</v>
      </c>
      <c r="C490" s="3" t="s">
        <v>1119</v>
      </c>
      <c r="D490">
        <v>5300</v>
      </c>
      <c r="E490">
        <v>11663</v>
      </c>
      <c r="F490" s="5">
        <f t="shared" si="14"/>
        <v>2.2005660377358489</v>
      </c>
      <c r="G490" t="s">
        <v>8</v>
      </c>
      <c r="H490">
        <v>115</v>
      </c>
      <c r="I490">
        <f t="shared" si="15"/>
        <v>101.41739130434783</v>
      </c>
      <c r="J490" t="s">
        <v>109</v>
      </c>
      <c r="K490" t="s">
        <v>110</v>
      </c>
      <c r="L490" s="4">
        <v>42403.25</v>
      </c>
      <c r="M490" s="4" t="s">
        <v>48</v>
      </c>
      <c r="N490" s="4" t="s">
        <v>153</v>
      </c>
      <c r="O490" s="4">
        <v>42420.25</v>
      </c>
      <c r="P490" t="b">
        <v>0</v>
      </c>
      <c r="Q490" t="b">
        <v>0</v>
      </c>
      <c r="R490" t="s">
        <v>124</v>
      </c>
      <c r="S490" t="str" cm="1">
        <f t="array" ref="S490:T490">_xlfn.TEXTSPLIT(R490, "/", , FALSE)</f>
        <v>theater</v>
      </c>
      <c r="T490" t="str">
        <v>plays</v>
      </c>
    </row>
    <row r="491" spans="1:20" ht="17" x14ac:dyDescent="0.2">
      <c r="A491">
        <v>489</v>
      </c>
      <c r="B491" t="s">
        <v>1120</v>
      </c>
      <c r="C491" s="3" t="s">
        <v>1121</v>
      </c>
      <c r="D491">
        <v>9200</v>
      </c>
      <c r="E491">
        <v>9339</v>
      </c>
      <c r="F491" s="5">
        <f t="shared" si="14"/>
        <v>1.015108695652174</v>
      </c>
      <c r="G491" t="s">
        <v>8</v>
      </c>
      <c r="H491">
        <v>85</v>
      </c>
      <c r="I491">
        <f t="shared" si="15"/>
        <v>109.87058823529412</v>
      </c>
      <c r="J491" t="s">
        <v>202</v>
      </c>
      <c r="K491" t="s">
        <v>203</v>
      </c>
      <c r="L491" s="4">
        <v>40406.208333333336</v>
      </c>
      <c r="M491" s="4" t="s">
        <v>54</v>
      </c>
      <c r="N491" s="4" t="s">
        <v>140</v>
      </c>
      <c r="O491" s="4">
        <v>40411.208333333336</v>
      </c>
      <c r="P491" t="b">
        <v>0</v>
      </c>
      <c r="Q491" t="b">
        <v>0</v>
      </c>
      <c r="R491" t="s">
        <v>159</v>
      </c>
      <c r="S491" t="str" cm="1">
        <f t="array" ref="S491:T491">_xlfn.TEXTSPLIT(R491, "/", , FALSE)</f>
        <v>technology</v>
      </c>
      <c r="T491" t="str">
        <v>wearables</v>
      </c>
    </row>
    <row r="492" spans="1:20" ht="17" x14ac:dyDescent="0.2">
      <c r="A492">
        <v>490</v>
      </c>
      <c r="B492" t="s">
        <v>1122</v>
      </c>
      <c r="C492" s="3" t="s">
        <v>1123</v>
      </c>
      <c r="D492">
        <v>2400</v>
      </c>
      <c r="E492">
        <v>4596</v>
      </c>
      <c r="F492" s="5">
        <f t="shared" si="14"/>
        <v>1.915</v>
      </c>
      <c r="G492" t="s">
        <v>8</v>
      </c>
      <c r="H492">
        <v>144</v>
      </c>
      <c r="I492">
        <f t="shared" si="15"/>
        <v>31.916666666666668</v>
      </c>
      <c r="J492" t="s">
        <v>109</v>
      </c>
      <c r="K492" t="s">
        <v>110</v>
      </c>
      <c r="L492" s="4">
        <v>43786.25</v>
      </c>
      <c r="M492" s="4" t="s">
        <v>57</v>
      </c>
      <c r="N492" s="4" t="s">
        <v>121</v>
      </c>
      <c r="O492" s="4">
        <v>43793.25</v>
      </c>
      <c r="P492" t="b">
        <v>0</v>
      </c>
      <c r="Q492" t="b">
        <v>0</v>
      </c>
      <c r="R492" t="s">
        <v>1124</v>
      </c>
      <c r="S492" t="str" cm="1">
        <f t="array" ref="S492:T492">_xlfn.TEXTSPLIT(R492, "/", , FALSE)</f>
        <v>journalism</v>
      </c>
      <c r="T492" t="str">
        <v>audio</v>
      </c>
    </row>
    <row r="493" spans="1:20" ht="34" x14ac:dyDescent="0.2">
      <c r="A493">
        <v>491</v>
      </c>
      <c r="B493" t="s">
        <v>1125</v>
      </c>
      <c r="C493" s="3" t="s">
        <v>1126</v>
      </c>
      <c r="D493">
        <v>56800</v>
      </c>
      <c r="E493">
        <v>173437</v>
      </c>
      <c r="F493" s="5">
        <f t="shared" si="14"/>
        <v>3.0534683098591549</v>
      </c>
      <c r="G493" t="s">
        <v>8</v>
      </c>
      <c r="H493">
        <v>2443</v>
      </c>
      <c r="I493">
        <f t="shared" si="15"/>
        <v>70.993450675399103</v>
      </c>
      <c r="J493" t="s">
        <v>109</v>
      </c>
      <c r="K493" t="s">
        <v>110</v>
      </c>
      <c r="L493" s="4">
        <v>41456.208333333336</v>
      </c>
      <c r="M493" s="4" t="s">
        <v>53</v>
      </c>
      <c r="N493" s="4" t="s">
        <v>117</v>
      </c>
      <c r="O493" s="4">
        <v>41482.208333333336</v>
      </c>
      <c r="P493" t="b">
        <v>0</v>
      </c>
      <c r="Q493" t="b">
        <v>1</v>
      </c>
      <c r="R493" t="s">
        <v>106</v>
      </c>
      <c r="S493" t="str" cm="1">
        <f t="array" ref="S493:T493">_xlfn.TEXTSPLIT(R493, "/", , FALSE)</f>
        <v>food</v>
      </c>
      <c r="T493" t="str">
        <v>food trucks</v>
      </c>
    </row>
    <row r="494" spans="1:20" ht="17" x14ac:dyDescent="0.2">
      <c r="A494">
        <v>492</v>
      </c>
      <c r="B494" t="s">
        <v>1127</v>
      </c>
      <c r="C494" s="3" t="s">
        <v>1128</v>
      </c>
      <c r="D494">
        <v>191000</v>
      </c>
      <c r="E494">
        <v>45831</v>
      </c>
      <c r="F494" s="5">
        <f t="shared" si="14"/>
        <v>0.23995287958115183</v>
      </c>
      <c r="G494" t="s">
        <v>5</v>
      </c>
      <c r="H494">
        <v>595</v>
      </c>
      <c r="I494">
        <f t="shared" si="15"/>
        <v>77.026890756302521</v>
      </c>
      <c r="J494" t="s">
        <v>109</v>
      </c>
      <c r="K494" t="s">
        <v>110</v>
      </c>
      <c r="L494" s="4">
        <v>40336.208333333336</v>
      </c>
      <c r="M494" s="4" t="s">
        <v>52</v>
      </c>
      <c r="N494" s="4" t="s">
        <v>140</v>
      </c>
      <c r="O494" s="4">
        <v>40371.208333333336</v>
      </c>
      <c r="P494" t="b">
        <v>1</v>
      </c>
      <c r="Q494" t="b">
        <v>1</v>
      </c>
      <c r="R494" t="s">
        <v>195</v>
      </c>
      <c r="S494" t="str" cm="1">
        <f t="array" ref="S494:T494">_xlfn.TEXTSPLIT(R494, "/", , FALSE)</f>
        <v>film &amp; video</v>
      </c>
      <c r="T494" t="str">
        <v>shorts</v>
      </c>
    </row>
    <row r="495" spans="1:20" ht="17" x14ac:dyDescent="0.2">
      <c r="A495">
        <v>493</v>
      </c>
      <c r="B495" t="s">
        <v>1129</v>
      </c>
      <c r="C495" s="3" t="s">
        <v>1130</v>
      </c>
      <c r="D495">
        <v>900</v>
      </c>
      <c r="E495">
        <v>6514</v>
      </c>
      <c r="F495" s="5">
        <f t="shared" si="14"/>
        <v>7.2377777777777776</v>
      </c>
      <c r="G495" t="s">
        <v>8</v>
      </c>
      <c r="H495">
        <v>64</v>
      </c>
      <c r="I495">
        <f t="shared" si="15"/>
        <v>101.78125</v>
      </c>
      <c r="J495" t="s">
        <v>109</v>
      </c>
      <c r="K495" t="s">
        <v>110</v>
      </c>
      <c r="L495" s="4">
        <v>43645.208333333328</v>
      </c>
      <c r="M495" s="4" t="s">
        <v>52</v>
      </c>
      <c r="N495" s="4" t="s">
        <v>121</v>
      </c>
      <c r="O495" s="4">
        <v>43658.208333333328</v>
      </c>
      <c r="P495" t="b">
        <v>0</v>
      </c>
      <c r="Q495" t="b">
        <v>0</v>
      </c>
      <c r="R495" t="s">
        <v>217</v>
      </c>
      <c r="S495" t="str" cm="1">
        <f t="array" ref="S495:T495">_xlfn.TEXTSPLIT(R495, "/", , FALSE)</f>
        <v>photography</v>
      </c>
      <c r="T495" t="str">
        <v>photography books</v>
      </c>
    </row>
    <row r="496" spans="1:20" ht="17" x14ac:dyDescent="0.2">
      <c r="A496">
        <v>494</v>
      </c>
      <c r="B496" t="s">
        <v>1131</v>
      </c>
      <c r="C496" s="3" t="s">
        <v>1132</v>
      </c>
      <c r="D496">
        <v>2500</v>
      </c>
      <c r="E496">
        <v>13684</v>
      </c>
      <c r="F496" s="5">
        <f t="shared" si="14"/>
        <v>5.4736000000000002</v>
      </c>
      <c r="G496" t="s">
        <v>8</v>
      </c>
      <c r="H496">
        <v>268</v>
      </c>
      <c r="I496">
        <f t="shared" si="15"/>
        <v>51.059701492537314</v>
      </c>
      <c r="J496" t="s">
        <v>109</v>
      </c>
      <c r="K496" t="s">
        <v>110</v>
      </c>
      <c r="L496" s="4">
        <v>40990.208333333336</v>
      </c>
      <c r="M496" s="4" t="s">
        <v>49</v>
      </c>
      <c r="N496" s="4" t="s">
        <v>129</v>
      </c>
      <c r="O496" s="4">
        <v>40991.208333333336</v>
      </c>
      <c r="P496" t="b">
        <v>0</v>
      </c>
      <c r="Q496" t="b">
        <v>0</v>
      </c>
      <c r="R496" t="s">
        <v>159</v>
      </c>
      <c r="S496" t="str" cm="1">
        <f t="array" ref="S496:T496">_xlfn.TEXTSPLIT(R496, "/", , FALSE)</f>
        <v>technology</v>
      </c>
      <c r="T496" t="str">
        <v>wearables</v>
      </c>
    </row>
    <row r="497" spans="1:20" ht="17" x14ac:dyDescent="0.2">
      <c r="A497">
        <v>495</v>
      </c>
      <c r="B497" t="s">
        <v>1133</v>
      </c>
      <c r="C497" s="3" t="s">
        <v>1134</v>
      </c>
      <c r="D497">
        <v>3200</v>
      </c>
      <c r="E497">
        <v>13264</v>
      </c>
      <c r="F497" s="5">
        <f t="shared" si="14"/>
        <v>4.1449999999999996</v>
      </c>
      <c r="G497" t="s">
        <v>8</v>
      </c>
      <c r="H497">
        <v>195</v>
      </c>
      <c r="I497">
        <f t="shared" si="15"/>
        <v>68.02051282051282</v>
      </c>
      <c r="J497" t="s">
        <v>127</v>
      </c>
      <c r="K497" t="s">
        <v>128</v>
      </c>
      <c r="L497" s="4">
        <v>41800.208333333336</v>
      </c>
      <c r="M497" s="4" t="s">
        <v>52</v>
      </c>
      <c r="N497" s="4" t="s">
        <v>111</v>
      </c>
      <c r="O497" s="4">
        <v>41804.208333333336</v>
      </c>
      <c r="P497" t="b">
        <v>0</v>
      </c>
      <c r="Q497" t="b">
        <v>0</v>
      </c>
      <c r="R497" t="s">
        <v>124</v>
      </c>
      <c r="S497" t="str" cm="1">
        <f t="array" ref="S497:T497">_xlfn.TEXTSPLIT(R497, "/", , FALSE)</f>
        <v>theater</v>
      </c>
      <c r="T497" t="str">
        <v>plays</v>
      </c>
    </row>
    <row r="498" spans="1:20" ht="17" x14ac:dyDescent="0.2">
      <c r="A498">
        <v>496</v>
      </c>
      <c r="B498" t="s">
        <v>1135</v>
      </c>
      <c r="C498" s="3" t="s">
        <v>1136</v>
      </c>
      <c r="D498">
        <v>183800</v>
      </c>
      <c r="E498">
        <v>1667</v>
      </c>
      <c r="F498" s="5">
        <f t="shared" si="14"/>
        <v>9.0696409140369975E-3</v>
      </c>
      <c r="G498" t="s">
        <v>6</v>
      </c>
      <c r="H498">
        <v>54</v>
      </c>
      <c r="I498">
        <f t="shared" si="15"/>
        <v>30.87037037037037</v>
      </c>
      <c r="J498" t="s">
        <v>109</v>
      </c>
      <c r="K498" t="s">
        <v>110</v>
      </c>
      <c r="L498" s="4">
        <v>42876.208333333328</v>
      </c>
      <c r="M498" s="4" t="s">
        <v>51</v>
      </c>
      <c r="N498" s="4" t="s">
        <v>134</v>
      </c>
      <c r="O498" s="4">
        <v>42893.208333333328</v>
      </c>
      <c r="P498" t="b">
        <v>0</v>
      </c>
      <c r="Q498" t="b">
        <v>0</v>
      </c>
      <c r="R498" t="s">
        <v>166</v>
      </c>
      <c r="S498" t="str" cm="1">
        <f t="array" ref="S498:T498">_xlfn.TEXTSPLIT(R498, "/", , FALSE)</f>
        <v>film &amp; video</v>
      </c>
      <c r="T498" t="str">
        <v>animation</v>
      </c>
    </row>
    <row r="499" spans="1:20" ht="17" x14ac:dyDescent="0.2">
      <c r="A499">
        <v>497</v>
      </c>
      <c r="B499" t="s">
        <v>1137</v>
      </c>
      <c r="C499" s="3" t="s">
        <v>1138</v>
      </c>
      <c r="D499">
        <v>9800</v>
      </c>
      <c r="E499">
        <v>3349</v>
      </c>
      <c r="F499" s="5">
        <f t="shared" si="14"/>
        <v>0.34173469387755101</v>
      </c>
      <c r="G499" t="s">
        <v>6</v>
      </c>
      <c r="H499">
        <v>120</v>
      </c>
      <c r="I499">
        <f t="shared" si="15"/>
        <v>27.908333333333335</v>
      </c>
      <c r="J499" t="s">
        <v>109</v>
      </c>
      <c r="K499" t="s">
        <v>110</v>
      </c>
      <c r="L499" s="4">
        <v>42724.25</v>
      </c>
      <c r="M499" s="4" t="s">
        <v>58</v>
      </c>
      <c r="N499" s="4" t="s">
        <v>153</v>
      </c>
      <c r="O499" s="4">
        <v>42724.25</v>
      </c>
      <c r="P499" t="b">
        <v>0</v>
      </c>
      <c r="Q499" t="b">
        <v>1</v>
      </c>
      <c r="R499" t="s">
        <v>159</v>
      </c>
      <c r="S499" t="str" cm="1">
        <f t="array" ref="S499:T499">_xlfn.TEXTSPLIT(R499, "/", , FALSE)</f>
        <v>technology</v>
      </c>
      <c r="T499" t="str">
        <v>wearables</v>
      </c>
    </row>
    <row r="500" spans="1:20" ht="17" x14ac:dyDescent="0.2">
      <c r="A500">
        <v>498</v>
      </c>
      <c r="B500" t="s">
        <v>1139</v>
      </c>
      <c r="C500" s="3" t="s">
        <v>1140</v>
      </c>
      <c r="D500">
        <v>193400</v>
      </c>
      <c r="E500">
        <v>46317</v>
      </c>
      <c r="F500" s="5">
        <f t="shared" si="14"/>
        <v>0.239488107549121</v>
      </c>
      <c r="G500" t="s">
        <v>6</v>
      </c>
      <c r="H500">
        <v>579</v>
      </c>
      <c r="I500">
        <f t="shared" si="15"/>
        <v>79.994818652849744</v>
      </c>
      <c r="J500" t="s">
        <v>127</v>
      </c>
      <c r="K500" t="s">
        <v>128</v>
      </c>
      <c r="L500" s="4">
        <v>42005.25</v>
      </c>
      <c r="M500" s="4" t="s">
        <v>47</v>
      </c>
      <c r="N500" s="4" t="s">
        <v>105</v>
      </c>
      <c r="O500" s="4">
        <v>42007.25</v>
      </c>
      <c r="P500" t="b">
        <v>0</v>
      </c>
      <c r="Q500" t="b">
        <v>0</v>
      </c>
      <c r="R500" t="s">
        <v>118</v>
      </c>
      <c r="S500" t="str" cm="1">
        <f t="array" ref="S500:T500">_xlfn.TEXTSPLIT(R500, "/", , FALSE)</f>
        <v>technology</v>
      </c>
      <c r="T500" t="str">
        <v>web</v>
      </c>
    </row>
    <row r="501" spans="1:20" ht="34" x14ac:dyDescent="0.2">
      <c r="A501">
        <v>499</v>
      </c>
      <c r="B501" t="s">
        <v>1141</v>
      </c>
      <c r="C501" s="3" t="s">
        <v>1142</v>
      </c>
      <c r="D501">
        <v>163800</v>
      </c>
      <c r="E501">
        <v>78743</v>
      </c>
      <c r="F501" s="5">
        <f t="shared" si="14"/>
        <v>0.48072649572649573</v>
      </c>
      <c r="G501" t="s">
        <v>6</v>
      </c>
      <c r="H501">
        <v>2072</v>
      </c>
      <c r="I501">
        <f t="shared" si="15"/>
        <v>38.003378378378379</v>
      </c>
      <c r="J501" t="s">
        <v>109</v>
      </c>
      <c r="K501" t="s">
        <v>110</v>
      </c>
      <c r="L501" s="4">
        <v>42444.208333333328</v>
      </c>
      <c r="M501" s="4" t="s">
        <v>49</v>
      </c>
      <c r="N501" s="4" t="s">
        <v>153</v>
      </c>
      <c r="O501" s="4">
        <v>42449.208333333328</v>
      </c>
      <c r="P501" t="b">
        <v>0</v>
      </c>
      <c r="Q501" t="b">
        <v>1</v>
      </c>
      <c r="R501" t="s">
        <v>135</v>
      </c>
      <c r="S501" t="str" cm="1">
        <f t="array" ref="S501:T501">_xlfn.TEXTSPLIT(R501, "/", , FALSE)</f>
        <v>film &amp; video</v>
      </c>
      <c r="T501" t="str">
        <v>documentary</v>
      </c>
    </row>
    <row r="502" spans="1:20" ht="17" x14ac:dyDescent="0.2">
      <c r="A502">
        <v>500</v>
      </c>
      <c r="B502" t="s">
        <v>1143</v>
      </c>
      <c r="C502" s="3" t="s">
        <v>1144</v>
      </c>
      <c r="D502">
        <v>100</v>
      </c>
      <c r="E502">
        <v>0</v>
      </c>
      <c r="F502" s="5">
        <f t="shared" si="14"/>
        <v>0</v>
      </c>
      <c r="G502" t="s">
        <v>6</v>
      </c>
      <c r="H502">
        <v>0</v>
      </c>
      <c r="I502" t="e">
        <f t="shared" si="15"/>
        <v>#DIV/0!</v>
      </c>
      <c r="J502" t="s">
        <v>109</v>
      </c>
      <c r="K502" t="s">
        <v>110</v>
      </c>
      <c r="L502" s="4">
        <v>41395.208333333336</v>
      </c>
      <c r="M502" s="4" t="s">
        <v>51</v>
      </c>
      <c r="N502" s="4" t="s">
        <v>117</v>
      </c>
      <c r="O502" s="4">
        <v>41423.208333333336</v>
      </c>
      <c r="P502" t="b">
        <v>0</v>
      </c>
      <c r="Q502" t="b">
        <v>1</v>
      </c>
      <c r="R502" t="s">
        <v>124</v>
      </c>
      <c r="S502" t="str" cm="1">
        <f t="array" ref="S502:T502">_xlfn.TEXTSPLIT(R502, "/", , FALSE)</f>
        <v>theater</v>
      </c>
      <c r="T502" t="str">
        <v>plays</v>
      </c>
    </row>
    <row r="503" spans="1:20" ht="17" x14ac:dyDescent="0.2">
      <c r="A503">
        <v>501</v>
      </c>
      <c r="B503" t="s">
        <v>1145</v>
      </c>
      <c r="C503" s="3" t="s">
        <v>1146</v>
      </c>
      <c r="D503">
        <v>153600</v>
      </c>
      <c r="E503">
        <v>107743</v>
      </c>
      <c r="F503" s="5">
        <f t="shared" si="14"/>
        <v>0.70145182291666663</v>
      </c>
      <c r="G503" t="s">
        <v>6</v>
      </c>
      <c r="H503">
        <v>1796</v>
      </c>
      <c r="I503">
        <f t="shared" si="15"/>
        <v>59.990534521158132</v>
      </c>
      <c r="J503" t="s">
        <v>109</v>
      </c>
      <c r="K503" t="s">
        <v>110</v>
      </c>
      <c r="L503" s="4">
        <v>41345.208333333336</v>
      </c>
      <c r="M503" s="4" t="s">
        <v>49</v>
      </c>
      <c r="N503" s="4" t="s">
        <v>117</v>
      </c>
      <c r="O503" s="4">
        <v>41347.208333333336</v>
      </c>
      <c r="P503" t="b">
        <v>0</v>
      </c>
      <c r="Q503" t="b">
        <v>0</v>
      </c>
      <c r="R503" t="s">
        <v>135</v>
      </c>
      <c r="S503" t="str" cm="1">
        <f t="array" ref="S503:T503">_xlfn.TEXTSPLIT(R503, "/", , FALSE)</f>
        <v>film &amp; video</v>
      </c>
      <c r="T503" t="str">
        <v>documentary</v>
      </c>
    </row>
    <row r="504" spans="1:20" ht="17" x14ac:dyDescent="0.2">
      <c r="A504">
        <v>502</v>
      </c>
      <c r="B504" t="s">
        <v>572</v>
      </c>
      <c r="C504" s="3" t="s">
        <v>1147</v>
      </c>
      <c r="D504">
        <v>1300</v>
      </c>
      <c r="E504">
        <v>6889</v>
      </c>
      <c r="F504" s="5">
        <f t="shared" si="14"/>
        <v>5.2992307692307694</v>
      </c>
      <c r="G504" t="s">
        <v>8</v>
      </c>
      <c r="H504">
        <v>186</v>
      </c>
      <c r="I504">
        <f t="shared" si="15"/>
        <v>37.037634408602152</v>
      </c>
      <c r="J504" t="s">
        <v>115</v>
      </c>
      <c r="K504" t="s">
        <v>116</v>
      </c>
      <c r="L504" s="4">
        <v>41117.208333333336</v>
      </c>
      <c r="M504" s="4" t="s">
        <v>53</v>
      </c>
      <c r="N504" s="4" t="s">
        <v>129</v>
      </c>
      <c r="O504" s="4">
        <v>41146.208333333336</v>
      </c>
      <c r="P504" t="b">
        <v>0</v>
      </c>
      <c r="Q504" t="b">
        <v>1</v>
      </c>
      <c r="R504" t="s">
        <v>184</v>
      </c>
      <c r="S504" t="str" cm="1">
        <f t="array" ref="S504:T504">_xlfn.TEXTSPLIT(R504, "/", , FALSE)</f>
        <v>games</v>
      </c>
      <c r="T504" t="str">
        <v>video games</v>
      </c>
    </row>
    <row r="505" spans="1:20" ht="34" x14ac:dyDescent="0.2">
      <c r="A505">
        <v>503</v>
      </c>
      <c r="B505" t="s">
        <v>1148</v>
      </c>
      <c r="C505" s="3" t="s">
        <v>1149</v>
      </c>
      <c r="D505">
        <v>25500</v>
      </c>
      <c r="E505">
        <v>45983</v>
      </c>
      <c r="F505" s="5">
        <f t="shared" si="14"/>
        <v>1.8032549019607844</v>
      </c>
      <c r="G505" t="s">
        <v>8</v>
      </c>
      <c r="H505">
        <v>460</v>
      </c>
      <c r="I505">
        <f t="shared" si="15"/>
        <v>99.963043478260872</v>
      </c>
      <c r="J505" t="s">
        <v>109</v>
      </c>
      <c r="K505" t="s">
        <v>110</v>
      </c>
      <c r="L505" s="4">
        <v>42186.208333333328</v>
      </c>
      <c r="M505" s="4" t="s">
        <v>53</v>
      </c>
      <c r="N505" s="4" t="s">
        <v>105</v>
      </c>
      <c r="O505" s="4">
        <v>42206.208333333328</v>
      </c>
      <c r="P505" t="b">
        <v>0</v>
      </c>
      <c r="Q505" t="b">
        <v>0</v>
      </c>
      <c r="R505" t="s">
        <v>146</v>
      </c>
      <c r="S505" t="str" cm="1">
        <f t="array" ref="S505:T505">_xlfn.TEXTSPLIT(R505, "/", , FALSE)</f>
        <v>film &amp; video</v>
      </c>
      <c r="T505" t="str">
        <v>drama</v>
      </c>
    </row>
    <row r="506" spans="1:20" ht="17" x14ac:dyDescent="0.2">
      <c r="A506">
        <v>504</v>
      </c>
      <c r="B506" t="s">
        <v>1150</v>
      </c>
      <c r="C506" s="3" t="s">
        <v>1151</v>
      </c>
      <c r="D506">
        <v>7500</v>
      </c>
      <c r="E506">
        <v>6924</v>
      </c>
      <c r="F506" s="5">
        <f t="shared" si="14"/>
        <v>0.92320000000000002</v>
      </c>
      <c r="G506" t="s">
        <v>6</v>
      </c>
      <c r="H506">
        <v>62</v>
      </c>
      <c r="I506">
        <f t="shared" si="15"/>
        <v>111.6774193548387</v>
      </c>
      <c r="J506" t="s">
        <v>202</v>
      </c>
      <c r="K506" t="s">
        <v>203</v>
      </c>
      <c r="L506" s="4">
        <v>42142.208333333328</v>
      </c>
      <c r="M506" s="4" t="s">
        <v>51</v>
      </c>
      <c r="N506" s="4" t="s">
        <v>105</v>
      </c>
      <c r="O506" s="4">
        <v>42143.208333333328</v>
      </c>
      <c r="P506" t="b">
        <v>0</v>
      </c>
      <c r="Q506" t="b">
        <v>0</v>
      </c>
      <c r="R506" t="s">
        <v>112</v>
      </c>
      <c r="S506" t="str" cm="1">
        <f t="array" ref="S506:T506">_xlfn.TEXTSPLIT(R506, "/", , FALSE)</f>
        <v>music</v>
      </c>
      <c r="T506" t="str">
        <v>rock</v>
      </c>
    </row>
    <row r="507" spans="1:20" ht="17" x14ac:dyDescent="0.2">
      <c r="A507">
        <v>505</v>
      </c>
      <c r="B507" t="s">
        <v>1152</v>
      </c>
      <c r="C507" s="3" t="s">
        <v>1153</v>
      </c>
      <c r="D507">
        <v>89900</v>
      </c>
      <c r="E507">
        <v>12497</v>
      </c>
      <c r="F507" s="5">
        <f t="shared" si="14"/>
        <v>0.13901001112347053</v>
      </c>
      <c r="G507" t="s">
        <v>6</v>
      </c>
      <c r="H507">
        <v>347</v>
      </c>
      <c r="I507">
        <f t="shared" si="15"/>
        <v>36.014409221902014</v>
      </c>
      <c r="J507" t="s">
        <v>109</v>
      </c>
      <c r="K507" t="s">
        <v>110</v>
      </c>
      <c r="L507" s="4">
        <v>41341.25</v>
      </c>
      <c r="M507" s="4" t="s">
        <v>49</v>
      </c>
      <c r="N507" s="4" t="s">
        <v>117</v>
      </c>
      <c r="O507" s="4">
        <v>41383.208333333336</v>
      </c>
      <c r="P507" t="b">
        <v>0</v>
      </c>
      <c r="Q507" t="b">
        <v>1</v>
      </c>
      <c r="R507" t="s">
        <v>228</v>
      </c>
      <c r="S507" t="str" cm="1">
        <f t="array" ref="S507:T507">_xlfn.TEXTSPLIT(R507, "/", , FALSE)</f>
        <v>publishing</v>
      </c>
      <c r="T507" t="str">
        <v>radio &amp; podcasts</v>
      </c>
    </row>
    <row r="508" spans="1:20" ht="17" x14ac:dyDescent="0.2">
      <c r="A508">
        <v>506</v>
      </c>
      <c r="B508" t="s">
        <v>1154</v>
      </c>
      <c r="C508" s="3" t="s">
        <v>1155</v>
      </c>
      <c r="D508">
        <v>18000</v>
      </c>
      <c r="E508">
        <v>166874</v>
      </c>
      <c r="F508" s="5">
        <f t="shared" si="14"/>
        <v>9.2707777777777771</v>
      </c>
      <c r="G508" t="s">
        <v>8</v>
      </c>
      <c r="H508">
        <v>2528</v>
      </c>
      <c r="I508">
        <f t="shared" si="15"/>
        <v>66.010284810126578</v>
      </c>
      <c r="J508" t="s">
        <v>109</v>
      </c>
      <c r="K508" t="s">
        <v>110</v>
      </c>
      <c r="L508" s="4">
        <v>43062.25</v>
      </c>
      <c r="M508" s="4" t="s">
        <v>57</v>
      </c>
      <c r="N508" s="4" t="s">
        <v>134</v>
      </c>
      <c r="O508" s="4">
        <v>43079.25</v>
      </c>
      <c r="P508" t="b">
        <v>0</v>
      </c>
      <c r="Q508" t="b">
        <v>1</v>
      </c>
      <c r="R508" t="s">
        <v>124</v>
      </c>
      <c r="S508" t="str" cm="1">
        <f t="array" ref="S508:T508">_xlfn.TEXTSPLIT(R508, "/", , FALSE)</f>
        <v>theater</v>
      </c>
      <c r="T508" t="str">
        <v>plays</v>
      </c>
    </row>
    <row r="509" spans="1:20" ht="34" x14ac:dyDescent="0.2">
      <c r="A509">
        <v>507</v>
      </c>
      <c r="B509" t="s">
        <v>1156</v>
      </c>
      <c r="C509" s="3" t="s">
        <v>1157</v>
      </c>
      <c r="D509">
        <v>2100</v>
      </c>
      <c r="E509">
        <v>837</v>
      </c>
      <c r="F509" s="5">
        <f t="shared" si="14"/>
        <v>0.39857142857142858</v>
      </c>
      <c r="G509" t="s">
        <v>6</v>
      </c>
      <c r="H509">
        <v>19</v>
      </c>
      <c r="I509">
        <f t="shared" si="15"/>
        <v>44.05263157894737</v>
      </c>
      <c r="J509" t="s">
        <v>109</v>
      </c>
      <c r="K509" t="s">
        <v>110</v>
      </c>
      <c r="L509" s="4">
        <v>41373.208333333336</v>
      </c>
      <c r="M509" s="4" t="s">
        <v>50</v>
      </c>
      <c r="N509" s="4" t="s">
        <v>117</v>
      </c>
      <c r="O509" s="4">
        <v>41422.208333333336</v>
      </c>
      <c r="P509" t="b">
        <v>0</v>
      </c>
      <c r="Q509" t="b">
        <v>1</v>
      </c>
      <c r="R509" t="s">
        <v>118</v>
      </c>
      <c r="S509" t="str" cm="1">
        <f t="array" ref="S509:T509">_xlfn.TEXTSPLIT(R509, "/", , FALSE)</f>
        <v>technology</v>
      </c>
      <c r="T509" t="str">
        <v>web</v>
      </c>
    </row>
    <row r="510" spans="1:20" ht="17" x14ac:dyDescent="0.2">
      <c r="A510">
        <v>508</v>
      </c>
      <c r="B510" t="s">
        <v>1158</v>
      </c>
      <c r="C510" s="3" t="s">
        <v>1159</v>
      </c>
      <c r="D510">
        <v>172700</v>
      </c>
      <c r="E510">
        <v>193820</v>
      </c>
      <c r="F510" s="5">
        <f t="shared" si="14"/>
        <v>1.1222929936305732</v>
      </c>
      <c r="G510" t="s">
        <v>8</v>
      </c>
      <c r="H510">
        <v>3657</v>
      </c>
      <c r="I510">
        <f t="shared" si="15"/>
        <v>52.999726551818434</v>
      </c>
      <c r="J510" t="s">
        <v>109</v>
      </c>
      <c r="K510" t="s">
        <v>110</v>
      </c>
      <c r="L510" s="4">
        <v>43310.208333333328</v>
      </c>
      <c r="M510" s="4" t="s">
        <v>53</v>
      </c>
      <c r="N510" s="4" t="s">
        <v>169</v>
      </c>
      <c r="O510" s="4">
        <v>43331.208333333328</v>
      </c>
      <c r="P510" t="b">
        <v>0</v>
      </c>
      <c r="Q510" t="b">
        <v>0</v>
      </c>
      <c r="R510" t="s">
        <v>124</v>
      </c>
      <c r="S510" t="str" cm="1">
        <f t="array" ref="S510:T510">_xlfn.TEXTSPLIT(R510, "/", , FALSE)</f>
        <v>theater</v>
      </c>
      <c r="T510" t="str">
        <v>plays</v>
      </c>
    </row>
    <row r="511" spans="1:20" ht="17" x14ac:dyDescent="0.2">
      <c r="A511">
        <v>509</v>
      </c>
      <c r="B511" t="s">
        <v>493</v>
      </c>
      <c r="C511" s="3" t="s">
        <v>1160</v>
      </c>
      <c r="D511">
        <v>168500</v>
      </c>
      <c r="E511">
        <v>119510</v>
      </c>
      <c r="F511" s="5">
        <f t="shared" si="14"/>
        <v>0.70925816023738875</v>
      </c>
      <c r="G511" t="s">
        <v>6</v>
      </c>
      <c r="H511">
        <v>1258</v>
      </c>
      <c r="I511">
        <f t="shared" si="15"/>
        <v>95</v>
      </c>
      <c r="J511" t="s">
        <v>109</v>
      </c>
      <c r="K511" t="s">
        <v>110</v>
      </c>
      <c r="L511" s="4">
        <v>41034.208333333336</v>
      </c>
      <c r="M511" s="4" t="s">
        <v>51</v>
      </c>
      <c r="N511" s="4" t="s">
        <v>129</v>
      </c>
      <c r="O511" s="4">
        <v>41044.208333333336</v>
      </c>
      <c r="P511" t="b">
        <v>0</v>
      </c>
      <c r="Q511" t="b">
        <v>0</v>
      </c>
      <c r="R511" t="s">
        <v>124</v>
      </c>
      <c r="S511" t="str" cm="1">
        <f t="array" ref="S511:T511">_xlfn.TEXTSPLIT(R511, "/", , FALSE)</f>
        <v>theater</v>
      </c>
      <c r="T511" t="str">
        <v>plays</v>
      </c>
    </row>
    <row r="512" spans="1:20" ht="17" x14ac:dyDescent="0.2">
      <c r="A512">
        <v>510</v>
      </c>
      <c r="B512" t="s">
        <v>1161</v>
      </c>
      <c r="C512" s="3" t="s">
        <v>1162</v>
      </c>
      <c r="D512">
        <v>7800</v>
      </c>
      <c r="E512">
        <v>9289</v>
      </c>
      <c r="F512" s="5">
        <f t="shared" si="14"/>
        <v>1.1908974358974358</v>
      </c>
      <c r="G512" t="s">
        <v>8</v>
      </c>
      <c r="H512">
        <v>131</v>
      </c>
      <c r="I512">
        <f t="shared" si="15"/>
        <v>70.908396946564892</v>
      </c>
      <c r="J512" t="s">
        <v>115</v>
      </c>
      <c r="K512" t="s">
        <v>116</v>
      </c>
      <c r="L512" s="4">
        <v>43251.208333333328</v>
      </c>
      <c r="M512" s="4" t="s">
        <v>51</v>
      </c>
      <c r="N512" s="4" t="s">
        <v>169</v>
      </c>
      <c r="O512" s="4">
        <v>43275.208333333328</v>
      </c>
      <c r="P512" t="b">
        <v>0</v>
      </c>
      <c r="Q512" t="b">
        <v>0</v>
      </c>
      <c r="R512" t="s">
        <v>146</v>
      </c>
      <c r="S512" t="str" cm="1">
        <f t="array" ref="S512:T512">_xlfn.TEXTSPLIT(R512, "/", , FALSE)</f>
        <v>film &amp; video</v>
      </c>
      <c r="T512" t="str">
        <v>drama</v>
      </c>
    </row>
    <row r="513" spans="1:20" ht="17" x14ac:dyDescent="0.2">
      <c r="A513">
        <v>511</v>
      </c>
      <c r="B513" t="s">
        <v>1163</v>
      </c>
      <c r="C513" s="3" t="s">
        <v>1164</v>
      </c>
      <c r="D513">
        <v>147800</v>
      </c>
      <c r="E513">
        <v>35498</v>
      </c>
      <c r="F513" s="5">
        <f t="shared" si="14"/>
        <v>0.24017591339648173</v>
      </c>
      <c r="G513" t="s">
        <v>6</v>
      </c>
      <c r="H513">
        <v>362</v>
      </c>
      <c r="I513">
        <f t="shared" si="15"/>
        <v>98.060773480662988</v>
      </c>
      <c r="J513" t="s">
        <v>109</v>
      </c>
      <c r="K513" t="s">
        <v>110</v>
      </c>
      <c r="L513" s="4">
        <v>43671.208333333328</v>
      </c>
      <c r="M513" s="4" t="s">
        <v>53</v>
      </c>
      <c r="N513" s="4" t="s">
        <v>121</v>
      </c>
      <c r="O513" s="4">
        <v>43681.208333333328</v>
      </c>
      <c r="P513" t="b">
        <v>0</v>
      </c>
      <c r="Q513" t="b">
        <v>0</v>
      </c>
      <c r="R513" t="s">
        <v>124</v>
      </c>
      <c r="S513" t="str" cm="1">
        <f t="array" ref="S513:T513">_xlfn.TEXTSPLIT(R513, "/", , FALSE)</f>
        <v>theater</v>
      </c>
      <c r="T513" t="str">
        <v>plays</v>
      </c>
    </row>
    <row r="514" spans="1:20" ht="17" x14ac:dyDescent="0.2">
      <c r="A514">
        <v>512</v>
      </c>
      <c r="B514" t="s">
        <v>1165</v>
      </c>
      <c r="C514" s="3" t="s">
        <v>1166</v>
      </c>
      <c r="D514">
        <v>9100</v>
      </c>
      <c r="E514">
        <v>12678</v>
      </c>
      <c r="F514" s="5">
        <f t="shared" si="14"/>
        <v>1.3931868131868133</v>
      </c>
      <c r="G514" t="s">
        <v>8</v>
      </c>
      <c r="H514">
        <v>239</v>
      </c>
      <c r="I514">
        <f t="shared" si="15"/>
        <v>53.046025104602514</v>
      </c>
      <c r="J514" t="s">
        <v>109</v>
      </c>
      <c r="K514" t="s">
        <v>110</v>
      </c>
      <c r="L514" s="4">
        <v>41825.208333333336</v>
      </c>
      <c r="M514" s="4" t="s">
        <v>53</v>
      </c>
      <c r="N514" s="4" t="s">
        <v>111</v>
      </c>
      <c r="O514" s="4">
        <v>41826.208333333336</v>
      </c>
      <c r="P514" t="b">
        <v>0</v>
      </c>
      <c r="Q514" t="b">
        <v>1</v>
      </c>
      <c r="R514" t="s">
        <v>184</v>
      </c>
      <c r="S514" t="str" cm="1">
        <f t="array" ref="S514:T514">_xlfn.TEXTSPLIT(R514, "/", , FALSE)</f>
        <v>games</v>
      </c>
      <c r="T514" t="str">
        <v>video games</v>
      </c>
    </row>
    <row r="515" spans="1:20" ht="17" x14ac:dyDescent="0.2">
      <c r="A515">
        <v>513</v>
      </c>
      <c r="B515" t="s">
        <v>1167</v>
      </c>
      <c r="C515" s="3" t="s">
        <v>1168</v>
      </c>
      <c r="D515">
        <v>8300</v>
      </c>
      <c r="E515">
        <v>3260</v>
      </c>
      <c r="F515" s="5">
        <f t="shared" ref="F515:F578" si="16">E515/D515</f>
        <v>0.39277108433734942</v>
      </c>
      <c r="G515" t="s">
        <v>5</v>
      </c>
      <c r="H515">
        <v>35</v>
      </c>
      <c r="I515">
        <f t="shared" ref="I515:I578" si="17">E515/H515</f>
        <v>93.142857142857139</v>
      </c>
      <c r="J515" t="s">
        <v>109</v>
      </c>
      <c r="K515" t="s">
        <v>110</v>
      </c>
      <c r="L515" s="4">
        <v>40430.208333333336</v>
      </c>
      <c r="M515" s="4" t="s">
        <v>55</v>
      </c>
      <c r="N515" s="4" t="s">
        <v>140</v>
      </c>
      <c r="O515" s="4">
        <v>40432.208333333336</v>
      </c>
      <c r="P515" t="b">
        <v>0</v>
      </c>
      <c r="Q515" t="b">
        <v>0</v>
      </c>
      <c r="R515" t="s">
        <v>364</v>
      </c>
      <c r="S515" t="str" cm="1">
        <f t="array" ref="S515:T515">_xlfn.TEXTSPLIT(R515, "/", , FALSE)</f>
        <v>film &amp; video</v>
      </c>
      <c r="T515" t="str">
        <v>television</v>
      </c>
    </row>
    <row r="516" spans="1:20" ht="17" x14ac:dyDescent="0.2">
      <c r="A516">
        <v>514</v>
      </c>
      <c r="B516" t="s">
        <v>1169</v>
      </c>
      <c r="C516" s="3" t="s">
        <v>1170</v>
      </c>
      <c r="D516">
        <v>138700</v>
      </c>
      <c r="E516">
        <v>31123</v>
      </c>
      <c r="F516" s="5">
        <f t="shared" si="16"/>
        <v>0.22439077144917088</v>
      </c>
      <c r="G516" t="s">
        <v>5</v>
      </c>
      <c r="H516">
        <v>528</v>
      </c>
      <c r="I516">
        <f t="shared" si="17"/>
        <v>58.945075757575758</v>
      </c>
      <c r="J516" t="s">
        <v>193</v>
      </c>
      <c r="K516" t="s">
        <v>194</v>
      </c>
      <c r="L516" s="4">
        <v>41614.25</v>
      </c>
      <c r="M516" s="4" t="s">
        <v>58</v>
      </c>
      <c r="N516" s="4" t="s">
        <v>117</v>
      </c>
      <c r="O516" s="4">
        <v>41619.25</v>
      </c>
      <c r="P516" t="b">
        <v>0</v>
      </c>
      <c r="Q516" t="b">
        <v>1</v>
      </c>
      <c r="R516" t="s">
        <v>112</v>
      </c>
      <c r="S516" t="str" cm="1">
        <f t="array" ref="S516:T516">_xlfn.TEXTSPLIT(R516, "/", , FALSE)</f>
        <v>music</v>
      </c>
      <c r="T516" t="str">
        <v>rock</v>
      </c>
    </row>
    <row r="517" spans="1:20" ht="17" x14ac:dyDescent="0.2">
      <c r="A517">
        <v>515</v>
      </c>
      <c r="B517" t="s">
        <v>1171</v>
      </c>
      <c r="C517" s="3" t="s">
        <v>1172</v>
      </c>
      <c r="D517">
        <v>8600</v>
      </c>
      <c r="E517">
        <v>4797</v>
      </c>
      <c r="F517" s="5">
        <f t="shared" si="16"/>
        <v>0.55779069767441858</v>
      </c>
      <c r="G517" t="s">
        <v>6</v>
      </c>
      <c r="H517">
        <v>133</v>
      </c>
      <c r="I517">
        <f t="shared" si="17"/>
        <v>36.067669172932334</v>
      </c>
      <c r="J517" t="s">
        <v>103</v>
      </c>
      <c r="K517" t="s">
        <v>104</v>
      </c>
      <c r="L517" s="4">
        <v>40900.25</v>
      </c>
      <c r="M517" s="4" t="s">
        <v>58</v>
      </c>
      <c r="N517" s="4" t="s">
        <v>165</v>
      </c>
      <c r="O517" s="4">
        <v>40902.25</v>
      </c>
      <c r="P517" t="b">
        <v>0</v>
      </c>
      <c r="Q517" t="b">
        <v>1</v>
      </c>
      <c r="R517" t="s">
        <v>124</v>
      </c>
      <c r="S517" t="str" cm="1">
        <f t="array" ref="S517:T517">_xlfn.TEXTSPLIT(R517, "/", , FALSE)</f>
        <v>theater</v>
      </c>
      <c r="T517" t="str">
        <v>plays</v>
      </c>
    </row>
    <row r="518" spans="1:20" ht="17" x14ac:dyDescent="0.2">
      <c r="A518">
        <v>516</v>
      </c>
      <c r="B518" t="s">
        <v>1173</v>
      </c>
      <c r="C518" s="3" t="s">
        <v>1174</v>
      </c>
      <c r="D518">
        <v>125400</v>
      </c>
      <c r="E518">
        <v>53324</v>
      </c>
      <c r="F518" s="5">
        <f t="shared" si="16"/>
        <v>0.42523125996810207</v>
      </c>
      <c r="G518" t="s">
        <v>6</v>
      </c>
      <c r="H518">
        <v>846</v>
      </c>
      <c r="I518">
        <f t="shared" si="17"/>
        <v>63.030732860520096</v>
      </c>
      <c r="J518" t="s">
        <v>109</v>
      </c>
      <c r="K518" t="s">
        <v>110</v>
      </c>
      <c r="L518" s="4">
        <v>40396.208333333336</v>
      </c>
      <c r="M518" s="4" t="s">
        <v>54</v>
      </c>
      <c r="N518" s="4" t="s">
        <v>140</v>
      </c>
      <c r="O518" s="4">
        <v>40434.208333333336</v>
      </c>
      <c r="P518" t="b">
        <v>0</v>
      </c>
      <c r="Q518" t="b">
        <v>0</v>
      </c>
      <c r="R518" t="s">
        <v>162</v>
      </c>
      <c r="S518" t="str" cm="1">
        <f t="array" ref="S518:T518">_xlfn.TEXTSPLIT(R518, "/", , FALSE)</f>
        <v>publishing</v>
      </c>
      <c r="T518" t="str">
        <v>nonfiction</v>
      </c>
    </row>
    <row r="519" spans="1:20" ht="17" x14ac:dyDescent="0.2">
      <c r="A519">
        <v>517</v>
      </c>
      <c r="B519" t="s">
        <v>1175</v>
      </c>
      <c r="C519" s="3" t="s">
        <v>1176</v>
      </c>
      <c r="D519">
        <v>5900</v>
      </c>
      <c r="E519">
        <v>6608</v>
      </c>
      <c r="F519" s="5">
        <f t="shared" si="16"/>
        <v>1.1200000000000001</v>
      </c>
      <c r="G519" t="s">
        <v>8</v>
      </c>
      <c r="H519">
        <v>78</v>
      </c>
      <c r="I519">
        <f t="shared" si="17"/>
        <v>84.717948717948715</v>
      </c>
      <c r="J519" t="s">
        <v>109</v>
      </c>
      <c r="K519" t="s">
        <v>110</v>
      </c>
      <c r="L519" s="4">
        <v>42860.208333333328</v>
      </c>
      <c r="M519" s="4" t="s">
        <v>51</v>
      </c>
      <c r="N519" s="4" t="s">
        <v>134</v>
      </c>
      <c r="O519" s="4">
        <v>42865.208333333328</v>
      </c>
      <c r="P519" t="b">
        <v>0</v>
      </c>
      <c r="Q519" t="b">
        <v>0</v>
      </c>
      <c r="R519" t="s">
        <v>106</v>
      </c>
      <c r="S519" t="str" cm="1">
        <f t="array" ref="S519:T519">_xlfn.TEXTSPLIT(R519, "/", , FALSE)</f>
        <v>food</v>
      </c>
      <c r="T519" t="str">
        <v>food trucks</v>
      </c>
    </row>
    <row r="520" spans="1:20" ht="34" x14ac:dyDescent="0.2">
      <c r="A520">
        <v>518</v>
      </c>
      <c r="B520" t="s">
        <v>1177</v>
      </c>
      <c r="C520" s="3" t="s">
        <v>1178</v>
      </c>
      <c r="D520">
        <v>8800</v>
      </c>
      <c r="E520">
        <v>622</v>
      </c>
      <c r="F520" s="5">
        <f t="shared" si="16"/>
        <v>7.0681818181818179E-2</v>
      </c>
      <c r="G520" t="s">
        <v>6</v>
      </c>
      <c r="H520">
        <v>10</v>
      </c>
      <c r="I520">
        <f t="shared" si="17"/>
        <v>62.2</v>
      </c>
      <c r="J520" t="s">
        <v>109</v>
      </c>
      <c r="K520" t="s">
        <v>110</v>
      </c>
      <c r="L520" s="4">
        <v>43154.25</v>
      </c>
      <c r="M520" s="4" t="s">
        <v>48</v>
      </c>
      <c r="N520" s="4" t="s">
        <v>169</v>
      </c>
      <c r="O520" s="4">
        <v>43156.25</v>
      </c>
      <c r="P520" t="b">
        <v>0</v>
      </c>
      <c r="Q520" t="b">
        <v>1</v>
      </c>
      <c r="R520" t="s">
        <v>166</v>
      </c>
      <c r="S520" t="str" cm="1">
        <f t="array" ref="S520:T520">_xlfn.TEXTSPLIT(R520, "/", , FALSE)</f>
        <v>film &amp; video</v>
      </c>
      <c r="T520" t="str">
        <v>animation</v>
      </c>
    </row>
    <row r="521" spans="1:20" ht="17" x14ac:dyDescent="0.2">
      <c r="A521">
        <v>519</v>
      </c>
      <c r="B521" t="s">
        <v>1179</v>
      </c>
      <c r="C521" s="3" t="s">
        <v>1180</v>
      </c>
      <c r="D521">
        <v>177700</v>
      </c>
      <c r="E521">
        <v>180802</v>
      </c>
      <c r="F521" s="5">
        <f t="shared" si="16"/>
        <v>1.0174563871693867</v>
      </c>
      <c r="G521" t="s">
        <v>8</v>
      </c>
      <c r="H521">
        <v>1773</v>
      </c>
      <c r="I521">
        <f t="shared" si="17"/>
        <v>101.97518330513255</v>
      </c>
      <c r="J521" t="s">
        <v>109</v>
      </c>
      <c r="K521" t="s">
        <v>110</v>
      </c>
      <c r="L521" s="4">
        <v>42012.25</v>
      </c>
      <c r="M521" s="4" t="s">
        <v>47</v>
      </c>
      <c r="N521" s="4" t="s">
        <v>105</v>
      </c>
      <c r="O521" s="4">
        <v>42026.25</v>
      </c>
      <c r="P521" t="b">
        <v>0</v>
      </c>
      <c r="Q521" t="b">
        <v>1</v>
      </c>
      <c r="R521" t="s">
        <v>112</v>
      </c>
      <c r="S521" t="str" cm="1">
        <f t="array" ref="S521:T521">_xlfn.TEXTSPLIT(R521, "/", , FALSE)</f>
        <v>music</v>
      </c>
      <c r="T521" t="str">
        <v>rock</v>
      </c>
    </row>
    <row r="522" spans="1:20" ht="17" x14ac:dyDescent="0.2">
      <c r="A522">
        <v>520</v>
      </c>
      <c r="B522" t="s">
        <v>1181</v>
      </c>
      <c r="C522" s="3" t="s">
        <v>1182</v>
      </c>
      <c r="D522">
        <v>800</v>
      </c>
      <c r="E522">
        <v>3406</v>
      </c>
      <c r="F522" s="5">
        <f t="shared" si="16"/>
        <v>4.2575000000000003</v>
      </c>
      <c r="G522" t="s">
        <v>8</v>
      </c>
      <c r="H522">
        <v>32</v>
      </c>
      <c r="I522">
        <f t="shared" si="17"/>
        <v>106.4375</v>
      </c>
      <c r="J522" t="s">
        <v>109</v>
      </c>
      <c r="K522" t="s">
        <v>110</v>
      </c>
      <c r="L522" s="4">
        <v>43574.208333333328</v>
      </c>
      <c r="M522" s="4" t="s">
        <v>50</v>
      </c>
      <c r="N522" s="4" t="s">
        <v>121</v>
      </c>
      <c r="O522" s="4">
        <v>43577.208333333328</v>
      </c>
      <c r="P522" t="b">
        <v>0</v>
      </c>
      <c r="Q522" t="b">
        <v>0</v>
      </c>
      <c r="R522" t="s">
        <v>124</v>
      </c>
      <c r="S522" t="str" cm="1">
        <f t="array" ref="S522:T522">_xlfn.TEXTSPLIT(R522, "/", , FALSE)</f>
        <v>theater</v>
      </c>
      <c r="T522" t="str">
        <v>plays</v>
      </c>
    </row>
    <row r="523" spans="1:20" ht="17" x14ac:dyDescent="0.2">
      <c r="A523">
        <v>521</v>
      </c>
      <c r="B523" t="s">
        <v>1183</v>
      </c>
      <c r="C523" s="3" t="s">
        <v>236</v>
      </c>
      <c r="D523">
        <v>7600</v>
      </c>
      <c r="E523">
        <v>11061</v>
      </c>
      <c r="F523" s="5">
        <f t="shared" si="16"/>
        <v>1.4553947368421052</v>
      </c>
      <c r="G523" t="s">
        <v>8</v>
      </c>
      <c r="H523">
        <v>369</v>
      </c>
      <c r="I523">
        <f t="shared" si="17"/>
        <v>29.975609756097562</v>
      </c>
      <c r="J523" t="s">
        <v>109</v>
      </c>
      <c r="K523" t="s">
        <v>110</v>
      </c>
      <c r="L523" s="4">
        <v>42605.208333333328</v>
      </c>
      <c r="M523" s="4" t="s">
        <v>54</v>
      </c>
      <c r="N523" s="4" t="s">
        <v>153</v>
      </c>
      <c r="O523" s="4">
        <v>42611.208333333328</v>
      </c>
      <c r="P523" t="b">
        <v>0</v>
      </c>
      <c r="Q523" t="b">
        <v>1</v>
      </c>
      <c r="R523" t="s">
        <v>146</v>
      </c>
      <c r="S523" t="str" cm="1">
        <f t="array" ref="S523:T523">_xlfn.TEXTSPLIT(R523, "/", , FALSE)</f>
        <v>film &amp; video</v>
      </c>
      <c r="T523" t="str">
        <v>drama</v>
      </c>
    </row>
    <row r="524" spans="1:20" ht="34" x14ac:dyDescent="0.2">
      <c r="A524">
        <v>522</v>
      </c>
      <c r="B524" t="s">
        <v>1184</v>
      </c>
      <c r="C524" s="3" t="s">
        <v>1185</v>
      </c>
      <c r="D524">
        <v>50500</v>
      </c>
      <c r="E524">
        <v>16389</v>
      </c>
      <c r="F524" s="5">
        <f t="shared" si="16"/>
        <v>0.32453465346534655</v>
      </c>
      <c r="G524" t="s">
        <v>6</v>
      </c>
      <c r="H524">
        <v>191</v>
      </c>
      <c r="I524">
        <f t="shared" si="17"/>
        <v>85.806282722513089</v>
      </c>
      <c r="J524" t="s">
        <v>109</v>
      </c>
      <c r="K524" t="s">
        <v>110</v>
      </c>
      <c r="L524" s="4">
        <v>41093.208333333336</v>
      </c>
      <c r="M524" s="4" t="s">
        <v>53</v>
      </c>
      <c r="N524" s="4" t="s">
        <v>129</v>
      </c>
      <c r="O524" s="4">
        <v>41105.208333333336</v>
      </c>
      <c r="P524" t="b">
        <v>0</v>
      </c>
      <c r="Q524" t="b">
        <v>0</v>
      </c>
      <c r="R524" t="s">
        <v>195</v>
      </c>
      <c r="S524" t="str" cm="1">
        <f t="array" ref="S524:T524">_xlfn.TEXTSPLIT(R524, "/", , FALSE)</f>
        <v>film &amp; video</v>
      </c>
      <c r="T524" t="str">
        <v>shorts</v>
      </c>
    </row>
    <row r="525" spans="1:20" ht="17" x14ac:dyDescent="0.2">
      <c r="A525">
        <v>523</v>
      </c>
      <c r="B525" t="s">
        <v>1186</v>
      </c>
      <c r="C525" s="3" t="s">
        <v>1187</v>
      </c>
      <c r="D525">
        <v>900</v>
      </c>
      <c r="E525">
        <v>6303</v>
      </c>
      <c r="F525" s="5">
        <f t="shared" si="16"/>
        <v>7.003333333333333</v>
      </c>
      <c r="G525" t="s">
        <v>8</v>
      </c>
      <c r="H525">
        <v>89</v>
      </c>
      <c r="I525">
        <f t="shared" si="17"/>
        <v>70.82022471910112</v>
      </c>
      <c r="J525" t="s">
        <v>109</v>
      </c>
      <c r="K525" t="s">
        <v>110</v>
      </c>
      <c r="L525" s="4">
        <v>40241.25</v>
      </c>
      <c r="M525" s="4" t="s">
        <v>49</v>
      </c>
      <c r="N525" s="4" t="s">
        <v>140</v>
      </c>
      <c r="O525" s="4">
        <v>40246.25</v>
      </c>
      <c r="P525" t="b">
        <v>0</v>
      </c>
      <c r="Q525" t="b">
        <v>0</v>
      </c>
      <c r="R525" t="s">
        <v>195</v>
      </c>
      <c r="S525" t="str" cm="1">
        <f t="array" ref="S525:T525">_xlfn.TEXTSPLIT(R525, "/", , FALSE)</f>
        <v>film &amp; video</v>
      </c>
      <c r="T525" t="str">
        <v>shorts</v>
      </c>
    </row>
    <row r="526" spans="1:20" ht="17" x14ac:dyDescent="0.2">
      <c r="A526">
        <v>524</v>
      </c>
      <c r="B526" t="s">
        <v>1188</v>
      </c>
      <c r="C526" s="3" t="s">
        <v>1189</v>
      </c>
      <c r="D526">
        <v>96700</v>
      </c>
      <c r="E526">
        <v>81136</v>
      </c>
      <c r="F526" s="5">
        <f t="shared" si="16"/>
        <v>0.83904860392967939</v>
      </c>
      <c r="G526" t="s">
        <v>6</v>
      </c>
      <c r="H526">
        <v>1979</v>
      </c>
      <c r="I526">
        <f t="shared" si="17"/>
        <v>40.998484082870135</v>
      </c>
      <c r="J526" t="s">
        <v>109</v>
      </c>
      <c r="K526" t="s">
        <v>110</v>
      </c>
      <c r="L526" s="4">
        <v>40294.208333333336</v>
      </c>
      <c r="M526" s="4" t="s">
        <v>50</v>
      </c>
      <c r="N526" s="4" t="s">
        <v>140</v>
      </c>
      <c r="O526" s="4">
        <v>40307.208333333336</v>
      </c>
      <c r="P526" t="b">
        <v>0</v>
      </c>
      <c r="Q526" t="b">
        <v>0</v>
      </c>
      <c r="R526" t="s">
        <v>124</v>
      </c>
      <c r="S526" t="str" cm="1">
        <f t="array" ref="S526:T526">_xlfn.TEXTSPLIT(R526, "/", , FALSE)</f>
        <v>theater</v>
      </c>
      <c r="T526" t="str">
        <v>plays</v>
      </c>
    </row>
    <row r="527" spans="1:20" ht="34" x14ac:dyDescent="0.2">
      <c r="A527">
        <v>525</v>
      </c>
      <c r="B527" t="s">
        <v>1190</v>
      </c>
      <c r="C527" s="3" t="s">
        <v>1191</v>
      </c>
      <c r="D527">
        <v>2100</v>
      </c>
      <c r="E527">
        <v>1768</v>
      </c>
      <c r="F527" s="5">
        <f t="shared" si="16"/>
        <v>0.84190476190476193</v>
      </c>
      <c r="G527" t="s">
        <v>6</v>
      </c>
      <c r="H527">
        <v>63</v>
      </c>
      <c r="I527">
        <f t="shared" si="17"/>
        <v>28.063492063492063</v>
      </c>
      <c r="J527" t="s">
        <v>109</v>
      </c>
      <c r="K527" t="s">
        <v>110</v>
      </c>
      <c r="L527" s="4">
        <v>40505.25</v>
      </c>
      <c r="M527" s="4" t="s">
        <v>57</v>
      </c>
      <c r="N527" s="4" t="s">
        <v>140</v>
      </c>
      <c r="O527" s="4">
        <v>40509.25</v>
      </c>
      <c r="P527" t="b">
        <v>0</v>
      </c>
      <c r="Q527" t="b">
        <v>0</v>
      </c>
      <c r="R527" t="s">
        <v>159</v>
      </c>
      <c r="S527" t="str" cm="1">
        <f t="array" ref="S527:T527">_xlfn.TEXTSPLIT(R527, "/", , FALSE)</f>
        <v>technology</v>
      </c>
      <c r="T527" t="str">
        <v>wearables</v>
      </c>
    </row>
    <row r="528" spans="1:20" ht="34" x14ac:dyDescent="0.2">
      <c r="A528">
        <v>526</v>
      </c>
      <c r="B528" t="s">
        <v>1192</v>
      </c>
      <c r="C528" s="3" t="s">
        <v>1193</v>
      </c>
      <c r="D528">
        <v>8300</v>
      </c>
      <c r="E528">
        <v>12944</v>
      </c>
      <c r="F528" s="5">
        <f t="shared" si="16"/>
        <v>1.5595180722891566</v>
      </c>
      <c r="G528" t="s">
        <v>8</v>
      </c>
      <c r="H528">
        <v>147</v>
      </c>
      <c r="I528">
        <f t="shared" si="17"/>
        <v>88.054421768707485</v>
      </c>
      <c r="J528" t="s">
        <v>109</v>
      </c>
      <c r="K528" t="s">
        <v>110</v>
      </c>
      <c r="L528" s="4">
        <v>42364.25</v>
      </c>
      <c r="M528" s="4" t="s">
        <v>58</v>
      </c>
      <c r="N528" s="4" t="s">
        <v>105</v>
      </c>
      <c r="O528" s="4">
        <v>42401.25</v>
      </c>
      <c r="P528" t="b">
        <v>0</v>
      </c>
      <c r="Q528" t="b">
        <v>1</v>
      </c>
      <c r="R528" t="s">
        <v>124</v>
      </c>
      <c r="S528" t="str" cm="1">
        <f t="array" ref="S528:T528">_xlfn.TEXTSPLIT(R528, "/", , FALSE)</f>
        <v>theater</v>
      </c>
      <c r="T528" t="str">
        <v>plays</v>
      </c>
    </row>
    <row r="529" spans="1:20" ht="17" x14ac:dyDescent="0.2">
      <c r="A529">
        <v>527</v>
      </c>
      <c r="B529" t="s">
        <v>1194</v>
      </c>
      <c r="C529" s="3" t="s">
        <v>1195</v>
      </c>
      <c r="D529">
        <v>189200</v>
      </c>
      <c r="E529">
        <v>188480</v>
      </c>
      <c r="F529" s="5">
        <f t="shared" si="16"/>
        <v>0.99619450317124736</v>
      </c>
      <c r="G529" t="s">
        <v>6</v>
      </c>
      <c r="H529">
        <v>6080</v>
      </c>
      <c r="I529">
        <f t="shared" si="17"/>
        <v>31</v>
      </c>
      <c r="J529" t="s">
        <v>103</v>
      </c>
      <c r="K529" t="s">
        <v>104</v>
      </c>
      <c r="L529" s="4">
        <v>42405.25</v>
      </c>
      <c r="M529" s="4" t="s">
        <v>48</v>
      </c>
      <c r="N529" s="4" t="s">
        <v>153</v>
      </c>
      <c r="O529" s="4">
        <v>42441.25</v>
      </c>
      <c r="P529" t="b">
        <v>0</v>
      </c>
      <c r="Q529" t="b">
        <v>0</v>
      </c>
      <c r="R529" t="s">
        <v>166</v>
      </c>
      <c r="S529" t="str" cm="1">
        <f t="array" ref="S529:T529">_xlfn.TEXTSPLIT(R529, "/", , FALSE)</f>
        <v>film &amp; video</v>
      </c>
      <c r="T529" t="str">
        <v>animation</v>
      </c>
    </row>
    <row r="530" spans="1:20" ht="17" x14ac:dyDescent="0.2">
      <c r="A530">
        <v>528</v>
      </c>
      <c r="B530" t="s">
        <v>1196</v>
      </c>
      <c r="C530" s="3" t="s">
        <v>1197</v>
      </c>
      <c r="D530">
        <v>9000</v>
      </c>
      <c r="E530">
        <v>7227</v>
      </c>
      <c r="F530" s="5">
        <f t="shared" si="16"/>
        <v>0.80300000000000005</v>
      </c>
      <c r="G530" t="s">
        <v>6</v>
      </c>
      <c r="H530">
        <v>80</v>
      </c>
      <c r="I530">
        <f t="shared" si="17"/>
        <v>90.337500000000006</v>
      </c>
      <c r="J530" t="s">
        <v>132</v>
      </c>
      <c r="K530" t="s">
        <v>133</v>
      </c>
      <c r="L530" s="4">
        <v>41601.25</v>
      </c>
      <c r="M530" s="4" t="s">
        <v>57</v>
      </c>
      <c r="N530" s="4" t="s">
        <v>117</v>
      </c>
      <c r="O530" s="4">
        <v>41646.25</v>
      </c>
      <c r="P530" t="b">
        <v>0</v>
      </c>
      <c r="Q530" t="b">
        <v>0</v>
      </c>
      <c r="R530" t="s">
        <v>154</v>
      </c>
      <c r="S530" t="str" cm="1">
        <f t="array" ref="S530:T530">_xlfn.TEXTSPLIT(R530, "/", , FALSE)</f>
        <v>music</v>
      </c>
      <c r="T530" t="str">
        <v>indie rock</v>
      </c>
    </row>
    <row r="531" spans="1:20" ht="17" x14ac:dyDescent="0.2">
      <c r="A531">
        <v>529</v>
      </c>
      <c r="B531" t="s">
        <v>1198</v>
      </c>
      <c r="C531" s="3" t="s">
        <v>1199</v>
      </c>
      <c r="D531">
        <v>5100</v>
      </c>
      <c r="E531">
        <v>574</v>
      </c>
      <c r="F531" s="5">
        <f t="shared" si="16"/>
        <v>0.11254901960784314</v>
      </c>
      <c r="G531" t="s">
        <v>6</v>
      </c>
      <c r="H531">
        <v>9</v>
      </c>
      <c r="I531">
        <f t="shared" si="17"/>
        <v>63.777777777777779</v>
      </c>
      <c r="J531" t="s">
        <v>109</v>
      </c>
      <c r="K531" t="s">
        <v>110</v>
      </c>
      <c r="L531" s="4">
        <v>41769.208333333336</v>
      </c>
      <c r="M531" s="4" t="s">
        <v>51</v>
      </c>
      <c r="N531" s="4" t="s">
        <v>111</v>
      </c>
      <c r="O531" s="4">
        <v>41797.208333333336</v>
      </c>
      <c r="P531" t="b">
        <v>0</v>
      </c>
      <c r="Q531" t="b">
        <v>0</v>
      </c>
      <c r="R531" t="s">
        <v>184</v>
      </c>
      <c r="S531" t="str" cm="1">
        <f t="array" ref="S531:T531">_xlfn.TEXTSPLIT(R531, "/", , FALSE)</f>
        <v>games</v>
      </c>
      <c r="T531" t="str">
        <v>video games</v>
      </c>
    </row>
    <row r="532" spans="1:20" ht="34" x14ac:dyDescent="0.2">
      <c r="A532">
        <v>530</v>
      </c>
      <c r="B532" t="s">
        <v>1200</v>
      </c>
      <c r="C532" s="3" t="s">
        <v>1201</v>
      </c>
      <c r="D532">
        <v>105000</v>
      </c>
      <c r="E532">
        <v>96328</v>
      </c>
      <c r="F532" s="5">
        <f t="shared" si="16"/>
        <v>0.91740952380952379</v>
      </c>
      <c r="G532" t="s">
        <v>6</v>
      </c>
      <c r="H532">
        <v>1784</v>
      </c>
      <c r="I532">
        <f t="shared" si="17"/>
        <v>53.995515695067262</v>
      </c>
      <c r="J532" t="s">
        <v>109</v>
      </c>
      <c r="K532" t="s">
        <v>110</v>
      </c>
      <c r="L532" s="4">
        <v>40421.208333333336</v>
      </c>
      <c r="M532" s="4" t="s">
        <v>54</v>
      </c>
      <c r="N532" s="4" t="s">
        <v>140</v>
      </c>
      <c r="O532" s="4">
        <v>40435.208333333336</v>
      </c>
      <c r="P532" t="b">
        <v>0</v>
      </c>
      <c r="Q532" t="b">
        <v>1</v>
      </c>
      <c r="R532" t="s">
        <v>214</v>
      </c>
      <c r="S532" t="str" cm="1">
        <f t="array" ref="S532:T532">_xlfn.TEXTSPLIT(R532, "/", , FALSE)</f>
        <v>publishing</v>
      </c>
      <c r="T532" t="str">
        <v>fiction</v>
      </c>
    </row>
    <row r="533" spans="1:20" ht="34" x14ac:dyDescent="0.2">
      <c r="A533">
        <v>531</v>
      </c>
      <c r="B533" t="s">
        <v>1202</v>
      </c>
      <c r="C533" s="3" t="s">
        <v>1203</v>
      </c>
      <c r="D533">
        <v>186700</v>
      </c>
      <c r="E533">
        <v>178338</v>
      </c>
      <c r="F533" s="5">
        <f t="shared" si="16"/>
        <v>0.95521156936261387</v>
      </c>
      <c r="G533" t="s">
        <v>7</v>
      </c>
      <c r="H533">
        <v>3640</v>
      </c>
      <c r="I533">
        <f t="shared" si="17"/>
        <v>48.993956043956047</v>
      </c>
      <c r="J533" t="s">
        <v>193</v>
      </c>
      <c r="K533" t="s">
        <v>194</v>
      </c>
      <c r="L533" s="4">
        <v>41589.25</v>
      </c>
      <c r="M533" s="4" t="s">
        <v>57</v>
      </c>
      <c r="N533" s="4" t="s">
        <v>117</v>
      </c>
      <c r="O533" s="4">
        <v>41645.25</v>
      </c>
      <c r="P533" t="b">
        <v>0</v>
      </c>
      <c r="Q533" t="b">
        <v>0</v>
      </c>
      <c r="R533" t="s">
        <v>184</v>
      </c>
      <c r="S533" t="str" cm="1">
        <f t="array" ref="S533:T533">_xlfn.TEXTSPLIT(R533, "/", , FALSE)</f>
        <v>games</v>
      </c>
      <c r="T533" t="str">
        <v>video games</v>
      </c>
    </row>
    <row r="534" spans="1:20" ht="17" x14ac:dyDescent="0.2">
      <c r="A534">
        <v>532</v>
      </c>
      <c r="B534" t="s">
        <v>1204</v>
      </c>
      <c r="C534" s="3" t="s">
        <v>1205</v>
      </c>
      <c r="D534">
        <v>1600</v>
      </c>
      <c r="E534">
        <v>8046</v>
      </c>
      <c r="F534" s="5">
        <f t="shared" si="16"/>
        <v>5.0287499999999996</v>
      </c>
      <c r="G534" t="s">
        <v>8</v>
      </c>
      <c r="H534">
        <v>126</v>
      </c>
      <c r="I534">
        <f t="shared" si="17"/>
        <v>63.857142857142854</v>
      </c>
      <c r="J534" t="s">
        <v>103</v>
      </c>
      <c r="K534" t="s">
        <v>104</v>
      </c>
      <c r="L534" s="4">
        <v>43125.25</v>
      </c>
      <c r="M534" s="4" t="s">
        <v>47</v>
      </c>
      <c r="N534" s="4" t="s">
        <v>169</v>
      </c>
      <c r="O534" s="4">
        <v>43126.25</v>
      </c>
      <c r="P534" t="b">
        <v>0</v>
      </c>
      <c r="Q534" t="b">
        <v>0</v>
      </c>
      <c r="R534" t="s">
        <v>124</v>
      </c>
      <c r="S534" t="str" cm="1">
        <f t="array" ref="S534:T534">_xlfn.TEXTSPLIT(R534, "/", , FALSE)</f>
        <v>theater</v>
      </c>
      <c r="T534" t="str">
        <v>plays</v>
      </c>
    </row>
    <row r="535" spans="1:20" ht="17" x14ac:dyDescent="0.2">
      <c r="A535">
        <v>533</v>
      </c>
      <c r="B535" t="s">
        <v>1206</v>
      </c>
      <c r="C535" s="3" t="s">
        <v>1207</v>
      </c>
      <c r="D535">
        <v>115600</v>
      </c>
      <c r="E535">
        <v>184086</v>
      </c>
      <c r="F535" s="5">
        <f t="shared" si="16"/>
        <v>1.5924394463667819</v>
      </c>
      <c r="G535" t="s">
        <v>8</v>
      </c>
      <c r="H535">
        <v>2218</v>
      </c>
      <c r="I535">
        <f t="shared" si="17"/>
        <v>82.996393146979258</v>
      </c>
      <c r="J535" t="s">
        <v>132</v>
      </c>
      <c r="K535" t="s">
        <v>133</v>
      </c>
      <c r="L535" s="4">
        <v>41479.208333333336</v>
      </c>
      <c r="M535" s="4" t="s">
        <v>53</v>
      </c>
      <c r="N535" s="4" t="s">
        <v>117</v>
      </c>
      <c r="O535" s="4">
        <v>41515.208333333336</v>
      </c>
      <c r="P535" t="b">
        <v>0</v>
      </c>
      <c r="Q535" t="b">
        <v>0</v>
      </c>
      <c r="R535" t="s">
        <v>154</v>
      </c>
      <c r="S535" t="str" cm="1">
        <f t="array" ref="S535:T535">_xlfn.TEXTSPLIT(R535, "/", , FALSE)</f>
        <v>music</v>
      </c>
      <c r="T535" t="str">
        <v>indie rock</v>
      </c>
    </row>
    <row r="536" spans="1:20" ht="17" x14ac:dyDescent="0.2">
      <c r="A536">
        <v>534</v>
      </c>
      <c r="B536" t="s">
        <v>1208</v>
      </c>
      <c r="C536" s="3" t="s">
        <v>1209</v>
      </c>
      <c r="D536">
        <v>89100</v>
      </c>
      <c r="E536">
        <v>13385</v>
      </c>
      <c r="F536" s="5">
        <f t="shared" si="16"/>
        <v>0.15022446689113356</v>
      </c>
      <c r="G536" t="s">
        <v>6</v>
      </c>
      <c r="H536">
        <v>243</v>
      </c>
      <c r="I536">
        <f t="shared" si="17"/>
        <v>55.08230452674897</v>
      </c>
      <c r="J536" t="s">
        <v>109</v>
      </c>
      <c r="K536" t="s">
        <v>110</v>
      </c>
      <c r="L536" s="4">
        <v>43329.208333333328</v>
      </c>
      <c r="M536" s="4" t="s">
        <v>54</v>
      </c>
      <c r="N536" s="4" t="s">
        <v>169</v>
      </c>
      <c r="O536" s="4">
        <v>43330.208333333328</v>
      </c>
      <c r="P536" t="b">
        <v>0</v>
      </c>
      <c r="Q536" t="b">
        <v>1</v>
      </c>
      <c r="R536" t="s">
        <v>146</v>
      </c>
      <c r="S536" t="str" cm="1">
        <f t="array" ref="S536:T536">_xlfn.TEXTSPLIT(R536, "/", , FALSE)</f>
        <v>film &amp; video</v>
      </c>
      <c r="T536" t="str">
        <v>drama</v>
      </c>
    </row>
    <row r="537" spans="1:20" ht="17" x14ac:dyDescent="0.2">
      <c r="A537">
        <v>535</v>
      </c>
      <c r="B537" t="s">
        <v>1210</v>
      </c>
      <c r="C537" s="3" t="s">
        <v>1211</v>
      </c>
      <c r="D537">
        <v>2600</v>
      </c>
      <c r="E537">
        <v>12533</v>
      </c>
      <c r="F537" s="5">
        <f t="shared" si="16"/>
        <v>4.820384615384615</v>
      </c>
      <c r="G537" t="s">
        <v>8</v>
      </c>
      <c r="H537">
        <v>202</v>
      </c>
      <c r="I537">
        <f t="shared" si="17"/>
        <v>62.044554455445542</v>
      </c>
      <c r="J537" t="s">
        <v>202</v>
      </c>
      <c r="K537" t="s">
        <v>203</v>
      </c>
      <c r="L537" s="4">
        <v>43259.208333333328</v>
      </c>
      <c r="M537" s="4" t="s">
        <v>52</v>
      </c>
      <c r="N537" s="4" t="s">
        <v>169</v>
      </c>
      <c r="O537" s="4">
        <v>43261.208333333328</v>
      </c>
      <c r="P537" t="b">
        <v>0</v>
      </c>
      <c r="Q537" t="b">
        <v>1</v>
      </c>
      <c r="R537" t="s">
        <v>124</v>
      </c>
      <c r="S537" t="str" cm="1">
        <f t="array" ref="S537:T537">_xlfn.TEXTSPLIT(R537, "/", , FALSE)</f>
        <v>theater</v>
      </c>
      <c r="T537" t="str">
        <v>plays</v>
      </c>
    </row>
    <row r="538" spans="1:20" ht="17" x14ac:dyDescent="0.2">
      <c r="A538">
        <v>536</v>
      </c>
      <c r="B538" t="s">
        <v>1212</v>
      </c>
      <c r="C538" s="3" t="s">
        <v>1213</v>
      </c>
      <c r="D538">
        <v>9800</v>
      </c>
      <c r="E538">
        <v>14697</v>
      </c>
      <c r="F538" s="5">
        <f t="shared" si="16"/>
        <v>1.4996938775510205</v>
      </c>
      <c r="G538" t="s">
        <v>8</v>
      </c>
      <c r="H538">
        <v>140</v>
      </c>
      <c r="I538">
        <f t="shared" si="17"/>
        <v>104.97857142857143</v>
      </c>
      <c r="J538" t="s">
        <v>202</v>
      </c>
      <c r="K538" t="s">
        <v>203</v>
      </c>
      <c r="L538" s="4">
        <v>40414.208333333336</v>
      </c>
      <c r="M538" s="4" t="s">
        <v>54</v>
      </c>
      <c r="N538" s="4" t="s">
        <v>140</v>
      </c>
      <c r="O538" s="4">
        <v>40440.208333333336</v>
      </c>
      <c r="P538" t="b">
        <v>0</v>
      </c>
      <c r="Q538" t="b">
        <v>0</v>
      </c>
      <c r="R538" t="s">
        <v>214</v>
      </c>
      <c r="S538" t="str" cm="1">
        <f t="array" ref="S538:T538">_xlfn.TEXTSPLIT(R538, "/", , FALSE)</f>
        <v>publishing</v>
      </c>
      <c r="T538" t="str">
        <v>fiction</v>
      </c>
    </row>
    <row r="539" spans="1:20" ht="17" x14ac:dyDescent="0.2">
      <c r="A539">
        <v>537</v>
      </c>
      <c r="B539" t="s">
        <v>1214</v>
      </c>
      <c r="C539" s="3" t="s">
        <v>1215</v>
      </c>
      <c r="D539">
        <v>84400</v>
      </c>
      <c r="E539">
        <v>98935</v>
      </c>
      <c r="F539" s="5">
        <f t="shared" si="16"/>
        <v>1.1722156398104266</v>
      </c>
      <c r="G539" t="s">
        <v>8</v>
      </c>
      <c r="H539">
        <v>1052</v>
      </c>
      <c r="I539">
        <f t="shared" si="17"/>
        <v>94.044676806083643</v>
      </c>
      <c r="J539" t="s">
        <v>127</v>
      </c>
      <c r="K539" t="s">
        <v>128</v>
      </c>
      <c r="L539" s="4">
        <v>43342.208333333328</v>
      </c>
      <c r="M539" s="4" t="s">
        <v>54</v>
      </c>
      <c r="N539" s="4" t="s">
        <v>169</v>
      </c>
      <c r="O539" s="4">
        <v>43365.208333333328</v>
      </c>
      <c r="P539" t="b">
        <v>1</v>
      </c>
      <c r="Q539" t="b">
        <v>1</v>
      </c>
      <c r="R539" t="s">
        <v>135</v>
      </c>
      <c r="S539" t="str" cm="1">
        <f t="array" ref="S539:T539">_xlfn.TEXTSPLIT(R539, "/", , FALSE)</f>
        <v>film &amp; video</v>
      </c>
      <c r="T539" t="str">
        <v>documentary</v>
      </c>
    </row>
    <row r="540" spans="1:20" ht="17" x14ac:dyDescent="0.2">
      <c r="A540">
        <v>538</v>
      </c>
      <c r="B540" t="s">
        <v>1216</v>
      </c>
      <c r="C540" s="3" t="s">
        <v>1217</v>
      </c>
      <c r="D540">
        <v>151300</v>
      </c>
      <c r="E540">
        <v>57034</v>
      </c>
      <c r="F540" s="5">
        <f t="shared" si="16"/>
        <v>0.37695968274950431</v>
      </c>
      <c r="G540" t="s">
        <v>6</v>
      </c>
      <c r="H540">
        <v>1296</v>
      </c>
      <c r="I540">
        <f t="shared" si="17"/>
        <v>44.007716049382715</v>
      </c>
      <c r="J540" t="s">
        <v>109</v>
      </c>
      <c r="K540" t="s">
        <v>110</v>
      </c>
      <c r="L540" s="4">
        <v>41539.208333333336</v>
      </c>
      <c r="M540" s="4" t="s">
        <v>55</v>
      </c>
      <c r="N540" s="4" t="s">
        <v>117</v>
      </c>
      <c r="O540" s="4">
        <v>41555.208333333336</v>
      </c>
      <c r="P540" t="b">
        <v>0</v>
      </c>
      <c r="Q540" t="b">
        <v>0</v>
      </c>
      <c r="R540" t="s">
        <v>387</v>
      </c>
      <c r="S540" t="str" cm="1">
        <f t="array" ref="S540:T540">_xlfn.TEXTSPLIT(R540, "/", , FALSE)</f>
        <v>games</v>
      </c>
      <c r="T540" t="str">
        <v>mobile games</v>
      </c>
    </row>
    <row r="541" spans="1:20" ht="17" x14ac:dyDescent="0.2">
      <c r="A541">
        <v>539</v>
      </c>
      <c r="B541" t="s">
        <v>1218</v>
      </c>
      <c r="C541" s="3" t="s">
        <v>1219</v>
      </c>
      <c r="D541">
        <v>9800</v>
      </c>
      <c r="E541">
        <v>7120</v>
      </c>
      <c r="F541" s="5">
        <f t="shared" si="16"/>
        <v>0.72653061224489801</v>
      </c>
      <c r="G541" t="s">
        <v>6</v>
      </c>
      <c r="H541">
        <v>77</v>
      </c>
      <c r="I541">
        <f t="shared" si="17"/>
        <v>92.467532467532465</v>
      </c>
      <c r="J541" t="s">
        <v>109</v>
      </c>
      <c r="K541" t="s">
        <v>110</v>
      </c>
      <c r="L541" s="4">
        <v>43647.208333333328</v>
      </c>
      <c r="M541" s="4" t="s">
        <v>53</v>
      </c>
      <c r="N541" s="4" t="s">
        <v>121</v>
      </c>
      <c r="O541" s="4">
        <v>43653.208333333328</v>
      </c>
      <c r="P541" t="b">
        <v>0</v>
      </c>
      <c r="Q541" t="b">
        <v>1</v>
      </c>
      <c r="R541" t="s">
        <v>106</v>
      </c>
      <c r="S541" t="str" cm="1">
        <f t="array" ref="S541:T541">_xlfn.TEXTSPLIT(R541, "/", , FALSE)</f>
        <v>food</v>
      </c>
      <c r="T541" t="str">
        <v>food trucks</v>
      </c>
    </row>
    <row r="542" spans="1:20" ht="17" x14ac:dyDescent="0.2">
      <c r="A542">
        <v>540</v>
      </c>
      <c r="B542" t="s">
        <v>1220</v>
      </c>
      <c r="C542" s="3" t="s">
        <v>1221</v>
      </c>
      <c r="D542">
        <v>5300</v>
      </c>
      <c r="E542">
        <v>14097</v>
      </c>
      <c r="F542" s="5">
        <f t="shared" si="16"/>
        <v>2.6598113207547169</v>
      </c>
      <c r="G542" t="s">
        <v>8</v>
      </c>
      <c r="H542">
        <v>247</v>
      </c>
      <c r="I542">
        <f t="shared" si="17"/>
        <v>57.072874493927124</v>
      </c>
      <c r="J542" t="s">
        <v>109</v>
      </c>
      <c r="K542" t="s">
        <v>110</v>
      </c>
      <c r="L542" s="4">
        <v>43225.208333333328</v>
      </c>
      <c r="M542" s="4" t="s">
        <v>51</v>
      </c>
      <c r="N542" s="4" t="s">
        <v>169</v>
      </c>
      <c r="O542" s="4">
        <v>43247.208333333328</v>
      </c>
      <c r="P542" t="b">
        <v>0</v>
      </c>
      <c r="Q542" t="b">
        <v>0</v>
      </c>
      <c r="R542" t="s">
        <v>217</v>
      </c>
      <c r="S542" t="str" cm="1">
        <f t="array" ref="S542:T542">_xlfn.TEXTSPLIT(R542, "/", , FALSE)</f>
        <v>photography</v>
      </c>
      <c r="T542" t="str">
        <v>photography books</v>
      </c>
    </row>
    <row r="543" spans="1:20" ht="17" x14ac:dyDescent="0.2">
      <c r="A543">
        <v>541</v>
      </c>
      <c r="B543" t="s">
        <v>1222</v>
      </c>
      <c r="C543" s="3" t="s">
        <v>1223</v>
      </c>
      <c r="D543">
        <v>178000</v>
      </c>
      <c r="E543">
        <v>43086</v>
      </c>
      <c r="F543" s="5">
        <f t="shared" si="16"/>
        <v>0.24205617977528091</v>
      </c>
      <c r="G543" t="s">
        <v>6</v>
      </c>
      <c r="H543">
        <v>395</v>
      </c>
      <c r="I543">
        <f t="shared" si="17"/>
        <v>109.07848101265823</v>
      </c>
      <c r="J543" t="s">
        <v>202</v>
      </c>
      <c r="K543" t="s">
        <v>203</v>
      </c>
      <c r="L543" s="4">
        <v>42165.208333333328</v>
      </c>
      <c r="M543" s="4" t="s">
        <v>52</v>
      </c>
      <c r="N543" s="4" t="s">
        <v>105</v>
      </c>
      <c r="O543" s="4">
        <v>42191.208333333328</v>
      </c>
      <c r="P543" t="b">
        <v>0</v>
      </c>
      <c r="Q543" t="b">
        <v>0</v>
      </c>
      <c r="R543" t="s">
        <v>387</v>
      </c>
      <c r="S543" t="str" cm="1">
        <f t="array" ref="S543:T543">_xlfn.TEXTSPLIT(R543, "/", , FALSE)</f>
        <v>games</v>
      </c>
      <c r="T543" t="str">
        <v>mobile games</v>
      </c>
    </row>
    <row r="544" spans="1:20" ht="17" x14ac:dyDescent="0.2">
      <c r="A544">
        <v>542</v>
      </c>
      <c r="B544" t="s">
        <v>1224</v>
      </c>
      <c r="C544" s="3" t="s">
        <v>1225</v>
      </c>
      <c r="D544">
        <v>77000</v>
      </c>
      <c r="E544">
        <v>1930</v>
      </c>
      <c r="F544" s="5">
        <f t="shared" si="16"/>
        <v>2.5064935064935064E-2</v>
      </c>
      <c r="G544" t="s">
        <v>6</v>
      </c>
      <c r="H544">
        <v>49</v>
      </c>
      <c r="I544">
        <f t="shared" si="17"/>
        <v>39.387755102040813</v>
      </c>
      <c r="J544" t="s">
        <v>132</v>
      </c>
      <c r="K544" t="s">
        <v>133</v>
      </c>
      <c r="L544" s="4">
        <v>42391.25</v>
      </c>
      <c r="M544" s="4" t="s">
        <v>47</v>
      </c>
      <c r="N544" s="4" t="s">
        <v>153</v>
      </c>
      <c r="O544" s="4">
        <v>42421.25</v>
      </c>
      <c r="P544" t="b">
        <v>0</v>
      </c>
      <c r="Q544" t="b">
        <v>0</v>
      </c>
      <c r="R544" t="s">
        <v>154</v>
      </c>
      <c r="S544" t="str" cm="1">
        <f t="array" ref="S544:T544">_xlfn.TEXTSPLIT(R544, "/", , FALSE)</f>
        <v>music</v>
      </c>
      <c r="T544" t="str">
        <v>indie rock</v>
      </c>
    </row>
    <row r="545" spans="1:20" ht="17" x14ac:dyDescent="0.2">
      <c r="A545">
        <v>543</v>
      </c>
      <c r="B545" t="s">
        <v>1226</v>
      </c>
      <c r="C545" s="3" t="s">
        <v>1227</v>
      </c>
      <c r="D545">
        <v>84900</v>
      </c>
      <c r="E545">
        <v>13864</v>
      </c>
      <c r="F545" s="5">
        <f t="shared" si="16"/>
        <v>0.1632979976442874</v>
      </c>
      <c r="G545" t="s">
        <v>6</v>
      </c>
      <c r="H545">
        <v>180</v>
      </c>
      <c r="I545">
        <f t="shared" si="17"/>
        <v>77.022222222222226</v>
      </c>
      <c r="J545" t="s">
        <v>109</v>
      </c>
      <c r="K545" t="s">
        <v>110</v>
      </c>
      <c r="L545" s="4">
        <v>41528.208333333336</v>
      </c>
      <c r="M545" s="4" t="s">
        <v>55</v>
      </c>
      <c r="N545" s="4" t="s">
        <v>117</v>
      </c>
      <c r="O545" s="4">
        <v>41543.208333333336</v>
      </c>
      <c r="P545" t="b">
        <v>0</v>
      </c>
      <c r="Q545" t="b">
        <v>0</v>
      </c>
      <c r="R545" t="s">
        <v>184</v>
      </c>
      <c r="S545" t="str" cm="1">
        <f t="array" ref="S545:T545">_xlfn.TEXTSPLIT(R545, "/", , FALSE)</f>
        <v>games</v>
      </c>
      <c r="T545" t="str">
        <v>video games</v>
      </c>
    </row>
    <row r="546" spans="1:20" ht="34" x14ac:dyDescent="0.2">
      <c r="A546">
        <v>544</v>
      </c>
      <c r="B546" t="s">
        <v>1228</v>
      </c>
      <c r="C546" s="3" t="s">
        <v>1229</v>
      </c>
      <c r="D546">
        <v>2800</v>
      </c>
      <c r="E546">
        <v>7742</v>
      </c>
      <c r="F546" s="5">
        <f t="shared" si="16"/>
        <v>2.7650000000000001</v>
      </c>
      <c r="G546" t="s">
        <v>8</v>
      </c>
      <c r="H546">
        <v>84</v>
      </c>
      <c r="I546">
        <f t="shared" si="17"/>
        <v>92.166666666666671</v>
      </c>
      <c r="J546" t="s">
        <v>109</v>
      </c>
      <c r="K546" t="s">
        <v>110</v>
      </c>
      <c r="L546" s="4">
        <v>42377.25</v>
      </c>
      <c r="M546" s="4" t="s">
        <v>47</v>
      </c>
      <c r="N546" s="4" t="s">
        <v>153</v>
      </c>
      <c r="O546" s="4">
        <v>42390.25</v>
      </c>
      <c r="P546" t="b">
        <v>0</v>
      </c>
      <c r="Q546" t="b">
        <v>0</v>
      </c>
      <c r="R546" t="s">
        <v>112</v>
      </c>
      <c r="S546" t="str" cm="1">
        <f t="array" ref="S546:T546">_xlfn.TEXTSPLIT(R546, "/", , FALSE)</f>
        <v>music</v>
      </c>
      <c r="T546" t="str">
        <v>rock</v>
      </c>
    </row>
    <row r="547" spans="1:20" ht="17" x14ac:dyDescent="0.2">
      <c r="A547">
        <v>545</v>
      </c>
      <c r="B547" t="s">
        <v>1230</v>
      </c>
      <c r="C547" s="3" t="s">
        <v>1231</v>
      </c>
      <c r="D547">
        <v>184800</v>
      </c>
      <c r="E547">
        <v>164109</v>
      </c>
      <c r="F547" s="5">
        <f t="shared" si="16"/>
        <v>0.88803571428571426</v>
      </c>
      <c r="G547" t="s">
        <v>6</v>
      </c>
      <c r="H547">
        <v>2690</v>
      </c>
      <c r="I547">
        <f t="shared" si="17"/>
        <v>61.007063197026021</v>
      </c>
      <c r="J547" t="s">
        <v>109</v>
      </c>
      <c r="K547" t="s">
        <v>110</v>
      </c>
      <c r="L547" s="4">
        <v>43824.25</v>
      </c>
      <c r="M547" s="4" t="s">
        <v>58</v>
      </c>
      <c r="N547" s="4" t="s">
        <v>121</v>
      </c>
      <c r="O547" s="4">
        <v>43844.25</v>
      </c>
      <c r="P547" t="b">
        <v>0</v>
      </c>
      <c r="Q547" t="b">
        <v>0</v>
      </c>
      <c r="R547" t="s">
        <v>124</v>
      </c>
      <c r="S547" t="str" cm="1">
        <f t="array" ref="S547:T547">_xlfn.TEXTSPLIT(R547, "/", , FALSE)</f>
        <v>theater</v>
      </c>
      <c r="T547" t="str">
        <v>plays</v>
      </c>
    </row>
    <row r="548" spans="1:20" ht="17" x14ac:dyDescent="0.2">
      <c r="A548">
        <v>546</v>
      </c>
      <c r="B548" t="s">
        <v>1232</v>
      </c>
      <c r="C548" s="3" t="s">
        <v>1233</v>
      </c>
      <c r="D548">
        <v>4200</v>
      </c>
      <c r="E548">
        <v>6870</v>
      </c>
      <c r="F548" s="5">
        <f t="shared" si="16"/>
        <v>1.6357142857142857</v>
      </c>
      <c r="G548" t="s">
        <v>8</v>
      </c>
      <c r="H548">
        <v>88</v>
      </c>
      <c r="I548">
        <f t="shared" si="17"/>
        <v>78.068181818181813</v>
      </c>
      <c r="J548" t="s">
        <v>109</v>
      </c>
      <c r="K548" t="s">
        <v>110</v>
      </c>
      <c r="L548" s="4">
        <v>43360.208333333328</v>
      </c>
      <c r="M548" s="4" t="s">
        <v>55</v>
      </c>
      <c r="N548" s="4" t="s">
        <v>169</v>
      </c>
      <c r="O548" s="4">
        <v>43363.208333333328</v>
      </c>
      <c r="P548" t="b">
        <v>0</v>
      </c>
      <c r="Q548" t="b">
        <v>1</v>
      </c>
      <c r="R548" t="s">
        <v>124</v>
      </c>
      <c r="S548" t="str" cm="1">
        <f t="array" ref="S548:T548">_xlfn.TEXTSPLIT(R548, "/", , FALSE)</f>
        <v>theater</v>
      </c>
      <c r="T548" t="str">
        <v>plays</v>
      </c>
    </row>
    <row r="549" spans="1:20" ht="17" x14ac:dyDescent="0.2">
      <c r="A549">
        <v>547</v>
      </c>
      <c r="B549" t="s">
        <v>1234</v>
      </c>
      <c r="C549" s="3" t="s">
        <v>1235</v>
      </c>
      <c r="D549">
        <v>1300</v>
      </c>
      <c r="E549">
        <v>12597</v>
      </c>
      <c r="F549" s="5">
        <f t="shared" si="16"/>
        <v>9.69</v>
      </c>
      <c r="G549" t="s">
        <v>8</v>
      </c>
      <c r="H549">
        <v>156</v>
      </c>
      <c r="I549">
        <f t="shared" si="17"/>
        <v>80.75</v>
      </c>
      <c r="J549" t="s">
        <v>109</v>
      </c>
      <c r="K549" t="s">
        <v>110</v>
      </c>
      <c r="L549" s="4">
        <v>42029.25</v>
      </c>
      <c r="M549" s="4" t="s">
        <v>47</v>
      </c>
      <c r="N549" s="4" t="s">
        <v>105</v>
      </c>
      <c r="O549" s="4">
        <v>42041.25</v>
      </c>
      <c r="P549" t="b">
        <v>0</v>
      </c>
      <c r="Q549" t="b">
        <v>0</v>
      </c>
      <c r="R549" t="s">
        <v>146</v>
      </c>
      <c r="S549" t="str" cm="1">
        <f t="array" ref="S549:T549">_xlfn.TEXTSPLIT(R549, "/", , FALSE)</f>
        <v>film &amp; video</v>
      </c>
      <c r="T549" t="str">
        <v>drama</v>
      </c>
    </row>
    <row r="550" spans="1:20" ht="17" x14ac:dyDescent="0.2">
      <c r="A550">
        <v>548</v>
      </c>
      <c r="B550" t="s">
        <v>1236</v>
      </c>
      <c r="C550" s="3" t="s">
        <v>1237</v>
      </c>
      <c r="D550">
        <v>66100</v>
      </c>
      <c r="E550">
        <v>179074</v>
      </c>
      <c r="F550" s="5">
        <f t="shared" si="16"/>
        <v>2.7091376701966716</v>
      </c>
      <c r="G550" t="s">
        <v>8</v>
      </c>
      <c r="H550">
        <v>2985</v>
      </c>
      <c r="I550">
        <f t="shared" si="17"/>
        <v>59.991289782244557</v>
      </c>
      <c r="J550" t="s">
        <v>109</v>
      </c>
      <c r="K550" t="s">
        <v>110</v>
      </c>
      <c r="L550" s="4">
        <v>42461.208333333328</v>
      </c>
      <c r="M550" s="4" t="s">
        <v>50</v>
      </c>
      <c r="N550" s="4" t="s">
        <v>153</v>
      </c>
      <c r="O550" s="4">
        <v>42474.208333333328</v>
      </c>
      <c r="P550" t="b">
        <v>0</v>
      </c>
      <c r="Q550" t="b">
        <v>0</v>
      </c>
      <c r="R550" t="s">
        <v>124</v>
      </c>
      <c r="S550" t="str" cm="1">
        <f t="array" ref="S550:T550">_xlfn.TEXTSPLIT(R550, "/", , FALSE)</f>
        <v>theater</v>
      </c>
      <c r="T550" t="str">
        <v>plays</v>
      </c>
    </row>
    <row r="551" spans="1:20" ht="34" x14ac:dyDescent="0.2">
      <c r="A551">
        <v>549</v>
      </c>
      <c r="B551" t="s">
        <v>1238</v>
      </c>
      <c r="C551" s="3" t="s">
        <v>1239</v>
      </c>
      <c r="D551">
        <v>29500</v>
      </c>
      <c r="E551">
        <v>83843</v>
      </c>
      <c r="F551" s="5">
        <f t="shared" si="16"/>
        <v>2.8421355932203389</v>
      </c>
      <c r="G551" t="s">
        <v>8</v>
      </c>
      <c r="H551">
        <v>762</v>
      </c>
      <c r="I551">
        <f t="shared" si="17"/>
        <v>110.03018372703411</v>
      </c>
      <c r="J551" t="s">
        <v>109</v>
      </c>
      <c r="K551" t="s">
        <v>110</v>
      </c>
      <c r="L551" s="4">
        <v>41422.208333333336</v>
      </c>
      <c r="M551" s="4" t="s">
        <v>51</v>
      </c>
      <c r="N551" s="4" t="s">
        <v>117</v>
      </c>
      <c r="O551" s="4">
        <v>41431.208333333336</v>
      </c>
      <c r="P551" t="b">
        <v>0</v>
      </c>
      <c r="Q551" t="b">
        <v>0</v>
      </c>
      <c r="R551" t="s">
        <v>159</v>
      </c>
      <c r="S551" t="str" cm="1">
        <f t="array" ref="S551:T551">_xlfn.TEXTSPLIT(R551, "/", , FALSE)</f>
        <v>technology</v>
      </c>
      <c r="T551" t="str">
        <v>wearables</v>
      </c>
    </row>
    <row r="552" spans="1:20" ht="34" x14ac:dyDescent="0.2">
      <c r="A552">
        <v>550</v>
      </c>
      <c r="B552" t="s">
        <v>1240</v>
      </c>
      <c r="C552" s="3" t="s">
        <v>1241</v>
      </c>
      <c r="D552">
        <v>100</v>
      </c>
      <c r="E552">
        <v>4</v>
      </c>
      <c r="F552" s="5">
        <f t="shared" si="16"/>
        <v>0.04</v>
      </c>
      <c r="G552" t="s">
        <v>5</v>
      </c>
      <c r="H552">
        <v>1</v>
      </c>
      <c r="I552">
        <f t="shared" si="17"/>
        <v>4</v>
      </c>
      <c r="J552" t="s">
        <v>193</v>
      </c>
      <c r="K552" t="s">
        <v>194</v>
      </c>
      <c r="L552" s="4">
        <v>40968.25</v>
      </c>
      <c r="M552" s="4" t="s">
        <v>48</v>
      </c>
      <c r="N552" s="4" t="s">
        <v>129</v>
      </c>
      <c r="O552" s="4">
        <v>40989.208333333336</v>
      </c>
      <c r="P552" t="b">
        <v>0</v>
      </c>
      <c r="Q552" t="b">
        <v>0</v>
      </c>
      <c r="R552" t="s">
        <v>154</v>
      </c>
      <c r="S552" t="str" cm="1">
        <f t="array" ref="S552:T552">_xlfn.TEXTSPLIT(R552, "/", , FALSE)</f>
        <v>music</v>
      </c>
      <c r="T552" t="str">
        <v>indie rock</v>
      </c>
    </row>
    <row r="553" spans="1:20" ht="17" x14ac:dyDescent="0.2">
      <c r="A553">
        <v>551</v>
      </c>
      <c r="B553" t="s">
        <v>1242</v>
      </c>
      <c r="C553" s="3" t="s">
        <v>1243</v>
      </c>
      <c r="D553">
        <v>180100</v>
      </c>
      <c r="E553">
        <v>105598</v>
      </c>
      <c r="F553" s="5">
        <f t="shared" si="16"/>
        <v>0.58632981676846196</v>
      </c>
      <c r="G553" t="s">
        <v>6</v>
      </c>
      <c r="H553">
        <v>2779</v>
      </c>
      <c r="I553">
        <f t="shared" si="17"/>
        <v>37.99856063332134</v>
      </c>
      <c r="J553" t="s">
        <v>115</v>
      </c>
      <c r="K553" t="s">
        <v>116</v>
      </c>
      <c r="L553" s="4">
        <v>41993.25</v>
      </c>
      <c r="M553" s="4" t="s">
        <v>58</v>
      </c>
      <c r="N553" s="4" t="s">
        <v>111</v>
      </c>
      <c r="O553" s="4">
        <v>42033.25</v>
      </c>
      <c r="P553" t="b">
        <v>0</v>
      </c>
      <c r="Q553" t="b">
        <v>1</v>
      </c>
      <c r="R553" t="s">
        <v>118</v>
      </c>
      <c r="S553" t="str" cm="1">
        <f t="array" ref="S553:T553">_xlfn.TEXTSPLIT(R553, "/", , FALSE)</f>
        <v>technology</v>
      </c>
      <c r="T553" t="str">
        <v>web</v>
      </c>
    </row>
    <row r="554" spans="1:20" ht="17" x14ac:dyDescent="0.2">
      <c r="A554">
        <v>552</v>
      </c>
      <c r="B554" t="s">
        <v>1244</v>
      </c>
      <c r="C554" s="3" t="s">
        <v>1245</v>
      </c>
      <c r="D554">
        <v>9000</v>
      </c>
      <c r="E554">
        <v>8866</v>
      </c>
      <c r="F554" s="5">
        <f t="shared" si="16"/>
        <v>0.98511111111111116</v>
      </c>
      <c r="G554" t="s">
        <v>6</v>
      </c>
      <c r="H554">
        <v>92</v>
      </c>
      <c r="I554">
        <f t="shared" si="17"/>
        <v>96.369565217391298</v>
      </c>
      <c r="J554" t="s">
        <v>109</v>
      </c>
      <c r="K554" t="s">
        <v>110</v>
      </c>
      <c r="L554" s="4">
        <v>42700.25</v>
      </c>
      <c r="M554" s="4" t="s">
        <v>57</v>
      </c>
      <c r="N554" s="4" t="s">
        <v>153</v>
      </c>
      <c r="O554" s="4">
        <v>42702.25</v>
      </c>
      <c r="P554" t="b">
        <v>0</v>
      </c>
      <c r="Q554" t="b">
        <v>0</v>
      </c>
      <c r="R554" t="s">
        <v>124</v>
      </c>
      <c r="S554" t="str" cm="1">
        <f t="array" ref="S554:T554">_xlfn.TEXTSPLIT(R554, "/", , FALSE)</f>
        <v>theater</v>
      </c>
      <c r="T554" t="str">
        <v>plays</v>
      </c>
    </row>
    <row r="555" spans="1:20" ht="34" x14ac:dyDescent="0.2">
      <c r="A555">
        <v>553</v>
      </c>
      <c r="B555" t="s">
        <v>1246</v>
      </c>
      <c r="C555" s="3" t="s">
        <v>1247</v>
      </c>
      <c r="D555">
        <v>170600</v>
      </c>
      <c r="E555">
        <v>75022</v>
      </c>
      <c r="F555" s="5">
        <f t="shared" si="16"/>
        <v>0.43975381008206332</v>
      </c>
      <c r="G555" t="s">
        <v>6</v>
      </c>
      <c r="H555">
        <v>1028</v>
      </c>
      <c r="I555">
        <f t="shared" si="17"/>
        <v>72.978599221789878</v>
      </c>
      <c r="J555" t="s">
        <v>109</v>
      </c>
      <c r="K555" t="s">
        <v>110</v>
      </c>
      <c r="L555" s="4">
        <v>40545.25</v>
      </c>
      <c r="M555" s="4" t="s">
        <v>47</v>
      </c>
      <c r="N555" s="4" t="s">
        <v>165</v>
      </c>
      <c r="O555" s="4">
        <v>40546.25</v>
      </c>
      <c r="P555" t="b">
        <v>0</v>
      </c>
      <c r="Q555" t="b">
        <v>0</v>
      </c>
      <c r="R555" t="s">
        <v>112</v>
      </c>
      <c r="S555" t="str" cm="1">
        <f t="array" ref="S555:T555">_xlfn.TEXTSPLIT(R555, "/", , FALSE)</f>
        <v>music</v>
      </c>
      <c r="T555" t="str">
        <v>rock</v>
      </c>
    </row>
    <row r="556" spans="1:20" ht="34" x14ac:dyDescent="0.2">
      <c r="A556">
        <v>554</v>
      </c>
      <c r="B556" t="s">
        <v>1248</v>
      </c>
      <c r="C556" s="3" t="s">
        <v>1249</v>
      </c>
      <c r="D556">
        <v>9500</v>
      </c>
      <c r="E556">
        <v>14408</v>
      </c>
      <c r="F556" s="5">
        <f t="shared" si="16"/>
        <v>1.5166315789473683</v>
      </c>
      <c r="G556" t="s">
        <v>8</v>
      </c>
      <c r="H556">
        <v>554</v>
      </c>
      <c r="I556">
        <f t="shared" si="17"/>
        <v>26.007220216606498</v>
      </c>
      <c r="J556" t="s">
        <v>103</v>
      </c>
      <c r="K556" t="s">
        <v>104</v>
      </c>
      <c r="L556" s="4">
        <v>42723.25</v>
      </c>
      <c r="M556" s="4" t="s">
        <v>58</v>
      </c>
      <c r="N556" s="4" t="s">
        <v>153</v>
      </c>
      <c r="O556" s="4">
        <v>42729.25</v>
      </c>
      <c r="P556" t="b">
        <v>0</v>
      </c>
      <c r="Q556" t="b">
        <v>0</v>
      </c>
      <c r="R556" t="s">
        <v>154</v>
      </c>
      <c r="S556" t="str" cm="1">
        <f t="array" ref="S556:T556">_xlfn.TEXTSPLIT(R556, "/", , FALSE)</f>
        <v>music</v>
      </c>
      <c r="T556" t="str">
        <v>indie rock</v>
      </c>
    </row>
    <row r="557" spans="1:20" ht="17" x14ac:dyDescent="0.2">
      <c r="A557">
        <v>555</v>
      </c>
      <c r="B557" t="s">
        <v>1250</v>
      </c>
      <c r="C557" s="3" t="s">
        <v>1251</v>
      </c>
      <c r="D557">
        <v>6300</v>
      </c>
      <c r="E557">
        <v>14089</v>
      </c>
      <c r="F557" s="5">
        <f t="shared" si="16"/>
        <v>2.2363492063492063</v>
      </c>
      <c r="G557" t="s">
        <v>8</v>
      </c>
      <c r="H557">
        <v>135</v>
      </c>
      <c r="I557">
        <f t="shared" si="17"/>
        <v>104.36296296296297</v>
      </c>
      <c r="J557" t="s">
        <v>127</v>
      </c>
      <c r="K557" t="s">
        <v>128</v>
      </c>
      <c r="L557" s="4">
        <v>41731.208333333336</v>
      </c>
      <c r="M557" s="4" t="s">
        <v>50</v>
      </c>
      <c r="N557" s="4" t="s">
        <v>111</v>
      </c>
      <c r="O557" s="4">
        <v>41762.208333333336</v>
      </c>
      <c r="P557" t="b">
        <v>0</v>
      </c>
      <c r="Q557" t="b">
        <v>0</v>
      </c>
      <c r="R557" t="s">
        <v>112</v>
      </c>
      <c r="S557" t="str" cm="1">
        <f t="array" ref="S557:T557">_xlfn.TEXTSPLIT(R557, "/", , FALSE)</f>
        <v>music</v>
      </c>
      <c r="T557" t="str">
        <v>rock</v>
      </c>
    </row>
    <row r="558" spans="1:20" ht="17" x14ac:dyDescent="0.2">
      <c r="A558">
        <v>556</v>
      </c>
      <c r="B558" t="s">
        <v>537</v>
      </c>
      <c r="C558" s="3" t="s">
        <v>1252</v>
      </c>
      <c r="D558">
        <v>5200</v>
      </c>
      <c r="E558">
        <v>12467</v>
      </c>
      <c r="F558" s="5">
        <f t="shared" si="16"/>
        <v>2.3975</v>
      </c>
      <c r="G558" t="s">
        <v>8</v>
      </c>
      <c r="H558">
        <v>122</v>
      </c>
      <c r="I558">
        <f t="shared" si="17"/>
        <v>102.18852459016394</v>
      </c>
      <c r="J558" t="s">
        <v>109</v>
      </c>
      <c r="K558" t="s">
        <v>110</v>
      </c>
      <c r="L558" s="4">
        <v>40792.208333333336</v>
      </c>
      <c r="M558" s="4" t="s">
        <v>55</v>
      </c>
      <c r="N558" s="4" t="s">
        <v>165</v>
      </c>
      <c r="O558" s="4">
        <v>40799.208333333336</v>
      </c>
      <c r="P558" t="b">
        <v>0</v>
      </c>
      <c r="Q558" t="b">
        <v>1</v>
      </c>
      <c r="R558" t="s">
        <v>301</v>
      </c>
      <c r="S558" t="str" cm="1">
        <f t="array" ref="S558:T558">_xlfn.TEXTSPLIT(R558, "/", , FALSE)</f>
        <v>publishing</v>
      </c>
      <c r="T558" t="str">
        <v>translations</v>
      </c>
    </row>
    <row r="559" spans="1:20" ht="17" x14ac:dyDescent="0.2">
      <c r="A559">
        <v>557</v>
      </c>
      <c r="B559" t="s">
        <v>1253</v>
      </c>
      <c r="C559" s="3" t="s">
        <v>1254</v>
      </c>
      <c r="D559">
        <v>6000</v>
      </c>
      <c r="E559">
        <v>11960</v>
      </c>
      <c r="F559" s="5">
        <f t="shared" si="16"/>
        <v>1.9933333333333334</v>
      </c>
      <c r="G559" t="s">
        <v>8</v>
      </c>
      <c r="H559">
        <v>221</v>
      </c>
      <c r="I559">
        <f t="shared" si="17"/>
        <v>54.117647058823529</v>
      </c>
      <c r="J559" t="s">
        <v>109</v>
      </c>
      <c r="K559" t="s">
        <v>110</v>
      </c>
      <c r="L559" s="4">
        <v>42279.208333333328</v>
      </c>
      <c r="M559" s="4" t="s">
        <v>56</v>
      </c>
      <c r="N559" s="4" t="s">
        <v>105</v>
      </c>
      <c r="O559" s="4">
        <v>42282.208333333328</v>
      </c>
      <c r="P559" t="b">
        <v>0</v>
      </c>
      <c r="Q559" t="b">
        <v>1</v>
      </c>
      <c r="R559" t="s">
        <v>569</v>
      </c>
      <c r="S559" t="str" cm="1">
        <f t="array" ref="S559:T559">_xlfn.TEXTSPLIT(R559, "/", , FALSE)</f>
        <v>film &amp; video</v>
      </c>
      <c r="T559" t="str">
        <v>science fiction</v>
      </c>
    </row>
    <row r="560" spans="1:20" ht="17" x14ac:dyDescent="0.2">
      <c r="A560">
        <v>558</v>
      </c>
      <c r="B560" t="s">
        <v>1255</v>
      </c>
      <c r="C560" s="3" t="s">
        <v>1256</v>
      </c>
      <c r="D560">
        <v>5800</v>
      </c>
      <c r="E560">
        <v>7966</v>
      </c>
      <c r="F560" s="5">
        <f t="shared" si="16"/>
        <v>1.373448275862069</v>
      </c>
      <c r="G560" t="s">
        <v>8</v>
      </c>
      <c r="H560">
        <v>126</v>
      </c>
      <c r="I560">
        <f t="shared" si="17"/>
        <v>63.222222222222221</v>
      </c>
      <c r="J560" t="s">
        <v>109</v>
      </c>
      <c r="K560" t="s">
        <v>110</v>
      </c>
      <c r="L560" s="4">
        <v>42424.25</v>
      </c>
      <c r="M560" s="4" t="s">
        <v>48</v>
      </c>
      <c r="N560" s="4" t="s">
        <v>153</v>
      </c>
      <c r="O560" s="4">
        <v>42467.208333333328</v>
      </c>
      <c r="P560" t="b">
        <v>0</v>
      </c>
      <c r="Q560" t="b">
        <v>0</v>
      </c>
      <c r="R560" t="s">
        <v>124</v>
      </c>
      <c r="S560" t="str" cm="1">
        <f t="array" ref="S560:T560">_xlfn.TEXTSPLIT(R560, "/", , FALSE)</f>
        <v>theater</v>
      </c>
      <c r="T560" t="str">
        <v>plays</v>
      </c>
    </row>
    <row r="561" spans="1:20" ht="17" x14ac:dyDescent="0.2">
      <c r="A561">
        <v>559</v>
      </c>
      <c r="B561" t="s">
        <v>1257</v>
      </c>
      <c r="C561" s="3" t="s">
        <v>1258</v>
      </c>
      <c r="D561">
        <v>105300</v>
      </c>
      <c r="E561">
        <v>106321</v>
      </c>
      <c r="F561" s="5">
        <f t="shared" si="16"/>
        <v>1.009696106362773</v>
      </c>
      <c r="G561" t="s">
        <v>8</v>
      </c>
      <c r="H561">
        <v>1022</v>
      </c>
      <c r="I561">
        <f t="shared" si="17"/>
        <v>104.03228962818004</v>
      </c>
      <c r="J561" t="s">
        <v>109</v>
      </c>
      <c r="K561" t="s">
        <v>110</v>
      </c>
      <c r="L561" s="4">
        <v>42584.208333333328</v>
      </c>
      <c r="M561" s="4" t="s">
        <v>54</v>
      </c>
      <c r="N561" s="4" t="s">
        <v>153</v>
      </c>
      <c r="O561" s="4">
        <v>42591.208333333328</v>
      </c>
      <c r="P561" t="b">
        <v>0</v>
      </c>
      <c r="Q561" t="b">
        <v>0</v>
      </c>
      <c r="R561" t="s">
        <v>124</v>
      </c>
      <c r="S561" t="str" cm="1">
        <f t="array" ref="S561:T561">_xlfn.TEXTSPLIT(R561, "/", , FALSE)</f>
        <v>theater</v>
      </c>
      <c r="T561" t="str">
        <v>plays</v>
      </c>
    </row>
    <row r="562" spans="1:20" ht="17" x14ac:dyDescent="0.2">
      <c r="A562">
        <v>560</v>
      </c>
      <c r="B562" t="s">
        <v>1259</v>
      </c>
      <c r="C562" s="3" t="s">
        <v>1260</v>
      </c>
      <c r="D562">
        <v>20000</v>
      </c>
      <c r="E562">
        <v>158832</v>
      </c>
      <c r="F562" s="5">
        <f t="shared" si="16"/>
        <v>7.9416000000000002</v>
      </c>
      <c r="G562" t="s">
        <v>8</v>
      </c>
      <c r="H562">
        <v>3177</v>
      </c>
      <c r="I562">
        <f t="shared" si="17"/>
        <v>49.994334277620396</v>
      </c>
      <c r="J562" t="s">
        <v>109</v>
      </c>
      <c r="K562" t="s">
        <v>110</v>
      </c>
      <c r="L562" s="4">
        <v>40865.25</v>
      </c>
      <c r="M562" s="4" t="s">
        <v>57</v>
      </c>
      <c r="N562" s="4" t="s">
        <v>165</v>
      </c>
      <c r="O562" s="4">
        <v>40905.25</v>
      </c>
      <c r="P562" t="b">
        <v>0</v>
      </c>
      <c r="Q562" t="b">
        <v>0</v>
      </c>
      <c r="R562" t="s">
        <v>166</v>
      </c>
      <c r="S562" t="str" cm="1">
        <f t="array" ref="S562:T562">_xlfn.TEXTSPLIT(R562, "/", , FALSE)</f>
        <v>film &amp; video</v>
      </c>
      <c r="T562" t="str">
        <v>animation</v>
      </c>
    </row>
    <row r="563" spans="1:20" ht="17" x14ac:dyDescent="0.2">
      <c r="A563">
        <v>561</v>
      </c>
      <c r="B563" t="s">
        <v>1261</v>
      </c>
      <c r="C563" s="3" t="s">
        <v>1262</v>
      </c>
      <c r="D563">
        <v>3000</v>
      </c>
      <c r="E563">
        <v>11091</v>
      </c>
      <c r="F563" s="5">
        <f t="shared" si="16"/>
        <v>3.6970000000000001</v>
      </c>
      <c r="G563" t="s">
        <v>8</v>
      </c>
      <c r="H563">
        <v>198</v>
      </c>
      <c r="I563">
        <f t="shared" si="17"/>
        <v>56.015151515151516</v>
      </c>
      <c r="J563" t="s">
        <v>193</v>
      </c>
      <c r="K563" t="s">
        <v>194</v>
      </c>
      <c r="L563" s="4">
        <v>40833.208333333336</v>
      </c>
      <c r="M563" s="4" t="s">
        <v>56</v>
      </c>
      <c r="N563" s="4" t="s">
        <v>165</v>
      </c>
      <c r="O563" s="4">
        <v>40835.208333333336</v>
      </c>
      <c r="P563" t="b">
        <v>0</v>
      </c>
      <c r="Q563" t="b">
        <v>0</v>
      </c>
      <c r="R563" t="s">
        <v>124</v>
      </c>
      <c r="S563" t="str" cm="1">
        <f t="array" ref="S563:T563">_xlfn.TEXTSPLIT(R563, "/", , FALSE)</f>
        <v>theater</v>
      </c>
      <c r="T563" t="str">
        <v>plays</v>
      </c>
    </row>
    <row r="564" spans="1:20" ht="34" x14ac:dyDescent="0.2">
      <c r="A564">
        <v>562</v>
      </c>
      <c r="B564" t="s">
        <v>1263</v>
      </c>
      <c r="C564" s="3" t="s">
        <v>1264</v>
      </c>
      <c r="D564">
        <v>9900</v>
      </c>
      <c r="E564">
        <v>1269</v>
      </c>
      <c r="F564" s="5">
        <f t="shared" si="16"/>
        <v>0.12818181818181817</v>
      </c>
      <c r="G564" t="s">
        <v>6</v>
      </c>
      <c r="H564">
        <v>26</v>
      </c>
      <c r="I564">
        <f t="shared" si="17"/>
        <v>48.807692307692307</v>
      </c>
      <c r="J564" t="s">
        <v>193</v>
      </c>
      <c r="K564" t="s">
        <v>194</v>
      </c>
      <c r="L564" s="4">
        <v>43536.208333333328</v>
      </c>
      <c r="M564" s="4" t="s">
        <v>49</v>
      </c>
      <c r="N564" s="4" t="s">
        <v>121</v>
      </c>
      <c r="O564" s="4">
        <v>43538.208333333328</v>
      </c>
      <c r="P564" t="b">
        <v>0</v>
      </c>
      <c r="Q564" t="b">
        <v>0</v>
      </c>
      <c r="R564" t="s">
        <v>112</v>
      </c>
      <c r="S564" t="str" cm="1">
        <f t="array" ref="S564:T564">_xlfn.TEXTSPLIT(R564, "/", , FALSE)</f>
        <v>music</v>
      </c>
      <c r="T564" t="str">
        <v>rock</v>
      </c>
    </row>
    <row r="565" spans="1:20" ht="17" x14ac:dyDescent="0.2">
      <c r="A565">
        <v>563</v>
      </c>
      <c r="B565" t="s">
        <v>1265</v>
      </c>
      <c r="C565" s="3" t="s">
        <v>1266</v>
      </c>
      <c r="D565">
        <v>3700</v>
      </c>
      <c r="E565">
        <v>5107</v>
      </c>
      <c r="F565" s="5">
        <f t="shared" si="16"/>
        <v>1.3802702702702703</v>
      </c>
      <c r="G565" t="s">
        <v>8</v>
      </c>
      <c r="H565">
        <v>85</v>
      </c>
      <c r="I565">
        <f t="shared" si="17"/>
        <v>60.082352941176474</v>
      </c>
      <c r="J565" t="s">
        <v>115</v>
      </c>
      <c r="K565" t="s">
        <v>116</v>
      </c>
      <c r="L565" s="4">
        <v>43417.25</v>
      </c>
      <c r="M565" s="4" t="s">
        <v>57</v>
      </c>
      <c r="N565" s="4" t="s">
        <v>169</v>
      </c>
      <c r="O565" s="4">
        <v>43437.25</v>
      </c>
      <c r="P565" t="b">
        <v>0</v>
      </c>
      <c r="Q565" t="b">
        <v>0</v>
      </c>
      <c r="R565" t="s">
        <v>135</v>
      </c>
      <c r="S565" t="str" cm="1">
        <f t="array" ref="S565:T565">_xlfn.TEXTSPLIT(R565, "/", , FALSE)</f>
        <v>film &amp; video</v>
      </c>
      <c r="T565" t="str">
        <v>documentary</v>
      </c>
    </row>
    <row r="566" spans="1:20" ht="17" x14ac:dyDescent="0.2">
      <c r="A566">
        <v>564</v>
      </c>
      <c r="B566" t="s">
        <v>1267</v>
      </c>
      <c r="C566" s="3" t="s">
        <v>1268</v>
      </c>
      <c r="D566">
        <v>168700</v>
      </c>
      <c r="E566">
        <v>141393</v>
      </c>
      <c r="F566" s="5">
        <f t="shared" si="16"/>
        <v>0.83813278008298753</v>
      </c>
      <c r="G566" t="s">
        <v>6</v>
      </c>
      <c r="H566">
        <v>1790</v>
      </c>
      <c r="I566">
        <f t="shared" si="17"/>
        <v>78.990502793296088</v>
      </c>
      <c r="J566" t="s">
        <v>109</v>
      </c>
      <c r="K566" t="s">
        <v>110</v>
      </c>
      <c r="L566" s="4">
        <v>42078.208333333328</v>
      </c>
      <c r="M566" s="4" t="s">
        <v>49</v>
      </c>
      <c r="N566" s="4" t="s">
        <v>105</v>
      </c>
      <c r="O566" s="4">
        <v>42086.208333333328</v>
      </c>
      <c r="P566" t="b">
        <v>0</v>
      </c>
      <c r="Q566" t="b">
        <v>0</v>
      </c>
      <c r="R566" t="s">
        <v>124</v>
      </c>
      <c r="S566" t="str" cm="1">
        <f t="array" ref="S566:T566">_xlfn.TEXTSPLIT(R566, "/", , FALSE)</f>
        <v>theater</v>
      </c>
      <c r="T566" t="str">
        <v>plays</v>
      </c>
    </row>
    <row r="567" spans="1:20" ht="17" x14ac:dyDescent="0.2">
      <c r="A567">
        <v>565</v>
      </c>
      <c r="B567" t="s">
        <v>1269</v>
      </c>
      <c r="C567" s="3" t="s">
        <v>1270</v>
      </c>
      <c r="D567">
        <v>94900</v>
      </c>
      <c r="E567">
        <v>194166</v>
      </c>
      <c r="F567" s="5">
        <f t="shared" si="16"/>
        <v>2.0460063224446787</v>
      </c>
      <c r="G567" t="s">
        <v>8</v>
      </c>
      <c r="H567">
        <v>3596</v>
      </c>
      <c r="I567">
        <f t="shared" si="17"/>
        <v>53.99499443826474</v>
      </c>
      <c r="J567" t="s">
        <v>109</v>
      </c>
      <c r="K567" t="s">
        <v>110</v>
      </c>
      <c r="L567" s="4">
        <v>40862.25</v>
      </c>
      <c r="M567" s="4" t="s">
        <v>57</v>
      </c>
      <c r="N567" s="4" t="s">
        <v>165</v>
      </c>
      <c r="O567" s="4">
        <v>40882.25</v>
      </c>
      <c r="P567" t="b">
        <v>0</v>
      </c>
      <c r="Q567" t="b">
        <v>0</v>
      </c>
      <c r="R567" t="s">
        <v>124</v>
      </c>
      <c r="S567" t="str" cm="1">
        <f t="array" ref="S567:T567">_xlfn.TEXTSPLIT(R567, "/", , FALSE)</f>
        <v>theater</v>
      </c>
      <c r="T567" t="str">
        <v>plays</v>
      </c>
    </row>
    <row r="568" spans="1:20" ht="17" x14ac:dyDescent="0.2">
      <c r="A568">
        <v>566</v>
      </c>
      <c r="B568" t="s">
        <v>1271</v>
      </c>
      <c r="C568" s="3" t="s">
        <v>1272</v>
      </c>
      <c r="D568">
        <v>9300</v>
      </c>
      <c r="E568">
        <v>4124</v>
      </c>
      <c r="F568" s="5">
        <f t="shared" si="16"/>
        <v>0.44344086021505374</v>
      </c>
      <c r="G568" t="s">
        <v>6</v>
      </c>
      <c r="H568">
        <v>37</v>
      </c>
      <c r="I568">
        <f t="shared" si="17"/>
        <v>111.45945945945945</v>
      </c>
      <c r="J568" t="s">
        <v>109</v>
      </c>
      <c r="K568" t="s">
        <v>110</v>
      </c>
      <c r="L568" s="4">
        <v>42424.25</v>
      </c>
      <c r="M568" s="4" t="s">
        <v>48</v>
      </c>
      <c r="N568" s="4" t="s">
        <v>153</v>
      </c>
      <c r="O568" s="4">
        <v>42447.208333333328</v>
      </c>
      <c r="P568" t="b">
        <v>0</v>
      </c>
      <c r="Q568" t="b">
        <v>1</v>
      </c>
      <c r="R568" t="s">
        <v>143</v>
      </c>
      <c r="S568" t="str" cm="1">
        <f t="array" ref="S568:T568">_xlfn.TEXTSPLIT(R568, "/", , FALSE)</f>
        <v>music</v>
      </c>
      <c r="T568" t="str">
        <v>electric music</v>
      </c>
    </row>
    <row r="569" spans="1:20" ht="34" x14ac:dyDescent="0.2">
      <c r="A569">
        <v>567</v>
      </c>
      <c r="B569" t="s">
        <v>1273</v>
      </c>
      <c r="C569" s="3" t="s">
        <v>1274</v>
      </c>
      <c r="D569">
        <v>6800</v>
      </c>
      <c r="E569">
        <v>14865</v>
      </c>
      <c r="F569" s="5">
        <f t="shared" si="16"/>
        <v>2.1860294117647059</v>
      </c>
      <c r="G569" t="s">
        <v>8</v>
      </c>
      <c r="H569">
        <v>244</v>
      </c>
      <c r="I569">
        <f t="shared" si="17"/>
        <v>60.922131147540981</v>
      </c>
      <c r="J569" t="s">
        <v>109</v>
      </c>
      <c r="K569" t="s">
        <v>110</v>
      </c>
      <c r="L569" s="4">
        <v>41830.208333333336</v>
      </c>
      <c r="M569" s="4" t="s">
        <v>53</v>
      </c>
      <c r="N569" s="4" t="s">
        <v>111</v>
      </c>
      <c r="O569" s="4">
        <v>41832.208333333336</v>
      </c>
      <c r="P569" t="b">
        <v>0</v>
      </c>
      <c r="Q569" t="b">
        <v>0</v>
      </c>
      <c r="R569" t="s">
        <v>112</v>
      </c>
      <c r="S569" t="str" cm="1">
        <f t="array" ref="S569:T569">_xlfn.TEXTSPLIT(R569, "/", , FALSE)</f>
        <v>music</v>
      </c>
      <c r="T569" t="str">
        <v>rock</v>
      </c>
    </row>
    <row r="570" spans="1:20" ht="17" x14ac:dyDescent="0.2">
      <c r="A570">
        <v>568</v>
      </c>
      <c r="B570" t="s">
        <v>1275</v>
      </c>
      <c r="C570" s="3" t="s">
        <v>1276</v>
      </c>
      <c r="D570">
        <v>72400</v>
      </c>
      <c r="E570">
        <v>134688</v>
      </c>
      <c r="F570" s="5">
        <f t="shared" si="16"/>
        <v>1.8603314917127072</v>
      </c>
      <c r="G570" t="s">
        <v>8</v>
      </c>
      <c r="H570">
        <v>5180</v>
      </c>
      <c r="I570">
        <f t="shared" si="17"/>
        <v>26.0015444015444</v>
      </c>
      <c r="J570" t="s">
        <v>109</v>
      </c>
      <c r="K570" t="s">
        <v>110</v>
      </c>
      <c r="L570" s="4">
        <v>40374.208333333336</v>
      </c>
      <c r="M570" s="4" t="s">
        <v>53</v>
      </c>
      <c r="N570" s="4" t="s">
        <v>140</v>
      </c>
      <c r="O570" s="4">
        <v>40419.208333333336</v>
      </c>
      <c r="P570" t="b">
        <v>0</v>
      </c>
      <c r="Q570" t="b">
        <v>0</v>
      </c>
      <c r="R570" t="s">
        <v>124</v>
      </c>
      <c r="S570" t="str" cm="1">
        <f t="array" ref="S570:T570">_xlfn.TEXTSPLIT(R570, "/", , FALSE)</f>
        <v>theater</v>
      </c>
      <c r="T570" t="str">
        <v>plays</v>
      </c>
    </row>
    <row r="571" spans="1:20" ht="17" x14ac:dyDescent="0.2">
      <c r="A571">
        <v>569</v>
      </c>
      <c r="B571" t="s">
        <v>1277</v>
      </c>
      <c r="C571" s="3" t="s">
        <v>1278</v>
      </c>
      <c r="D571">
        <v>20100</v>
      </c>
      <c r="E571">
        <v>47705</v>
      </c>
      <c r="F571" s="5">
        <f t="shared" si="16"/>
        <v>2.3733830845771142</v>
      </c>
      <c r="G571" t="s">
        <v>8</v>
      </c>
      <c r="H571">
        <v>589</v>
      </c>
      <c r="I571">
        <f t="shared" si="17"/>
        <v>80.993208828522924</v>
      </c>
      <c r="J571" t="s">
        <v>202</v>
      </c>
      <c r="K571" t="s">
        <v>203</v>
      </c>
      <c r="L571" s="4">
        <v>40554.25</v>
      </c>
      <c r="M571" s="4" t="s">
        <v>47</v>
      </c>
      <c r="N571" s="4" t="s">
        <v>165</v>
      </c>
      <c r="O571" s="4">
        <v>40566.25</v>
      </c>
      <c r="P571" t="b">
        <v>0</v>
      </c>
      <c r="Q571" t="b">
        <v>0</v>
      </c>
      <c r="R571" t="s">
        <v>166</v>
      </c>
      <c r="S571" t="str" cm="1">
        <f t="array" ref="S571:T571">_xlfn.TEXTSPLIT(R571, "/", , FALSE)</f>
        <v>film &amp; video</v>
      </c>
      <c r="T571" t="str">
        <v>animation</v>
      </c>
    </row>
    <row r="572" spans="1:20" ht="17" x14ac:dyDescent="0.2">
      <c r="A572">
        <v>570</v>
      </c>
      <c r="B572" t="s">
        <v>1279</v>
      </c>
      <c r="C572" s="3" t="s">
        <v>1280</v>
      </c>
      <c r="D572">
        <v>31200</v>
      </c>
      <c r="E572">
        <v>95364</v>
      </c>
      <c r="F572" s="5">
        <f t="shared" si="16"/>
        <v>3.0565384615384614</v>
      </c>
      <c r="G572" t="s">
        <v>8</v>
      </c>
      <c r="H572">
        <v>2725</v>
      </c>
      <c r="I572">
        <f t="shared" si="17"/>
        <v>34.995963302752294</v>
      </c>
      <c r="J572" t="s">
        <v>109</v>
      </c>
      <c r="K572" t="s">
        <v>110</v>
      </c>
      <c r="L572" s="4">
        <v>41993.25</v>
      </c>
      <c r="M572" s="4" t="s">
        <v>58</v>
      </c>
      <c r="N572" s="4" t="s">
        <v>111</v>
      </c>
      <c r="O572" s="4">
        <v>41999.25</v>
      </c>
      <c r="P572" t="b">
        <v>0</v>
      </c>
      <c r="Q572" t="b">
        <v>1</v>
      </c>
      <c r="R572" t="s">
        <v>112</v>
      </c>
      <c r="S572" t="str" cm="1">
        <f t="array" ref="S572:T572">_xlfn.TEXTSPLIT(R572, "/", , FALSE)</f>
        <v>music</v>
      </c>
      <c r="T572" t="str">
        <v>rock</v>
      </c>
    </row>
    <row r="573" spans="1:20" ht="17" x14ac:dyDescent="0.2">
      <c r="A573">
        <v>571</v>
      </c>
      <c r="B573" t="s">
        <v>1281</v>
      </c>
      <c r="C573" s="3" t="s">
        <v>1282</v>
      </c>
      <c r="D573">
        <v>3500</v>
      </c>
      <c r="E573">
        <v>3295</v>
      </c>
      <c r="F573" s="5">
        <f t="shared" si="16"/>
        <v>0.94142857142857139</v>
      </c>
      <c r="G573" t="s">
        <v>6</v>
      </c>
      <c r="H573">
        <v>35</v>
      </c>
      <c r="I573">
        <f t="shared" si="17"/>
        <v>94.142857142857139</v>
      </c>
      <c r="J573" t="s">
        <v>202</v>
      </c>
      <c r="K573" t="s">
        <v>203</v>
      </c>
      <c r="L573" s="4">
        <v>42174.208333333328</v>
      </c>
      <c r="M573" s="4" t="s">
        <v>52</v>
      </c>
      <c r="N573" s="4" t="s">
        <v>105</v>
      </c>
      <c r="O573" s="4">
        <v>42221.208333333328</v>
      </c>
      <c r="P573" t="b">
        <v>0</v>
      </c>
      <c r="Q573" t="b">
        <v>0</v>
      </c>
      <c r="R573" t="s">
        <v>195</v>
      </c>
      <c r="S573" t="str" cm="1">
        <f t="array" ref="S573:T573">_xlfn.TEXTSPLIT(R573, "/", , FALSE)</f>
        <v>film &amp; video</v>
      </c>
      <c r="T573" t="str">
        <v>shorts</v>
      </c>
    </row>
    <row r="574" spans="1:20" ht="17" x14ac:dyDescent="0.2">
      <c r="A574">
        <v>572</v>
      </c>
      <c r="B574" t="s">
        <v>1283</v>
      </c>
      <c r="C574" s="3" t="s">
        <v>1284</v>
      </c>
      <c r="D574">
        <v>9000</v>
      </c>
      <c r="E574">
        <v>4896</v>
      </c>
      <c r="F574" s="5">
        <f t="shared" si="16"/>
        <v>0.54400000000000004</v>
      </c>
      <c r="G574" t="s">
        <v>5</v>
      </c>
      <c r="H574">
        <v>94</v>
      </c>
      <c r="I574">
        <f t="shared" si="17"/>
        <v>52.085106382978722</v>
      </c>
      <c r="J574" t="s">
        <v>109</v>
      </c>
      <c r="K574" t="s">
        <v>110</v>
      </c>
      <c r="L574" s="4">
        <v>42275.208333333328</v>
      </c>
      <c r="M574" s="4" t="s">
        <v>55</v>
      </c>
      <c r="N574" s="4" t="s">
        <v>105</v>
      </c>
      <c r="O574" s="4">
        <v>42291.208333333328</v>
      </c>
      <c r="P574" t="b">
        <v>0</v>
      </c>
      <c r="Q574" t="b">
        <v>1</v>
      </c>
      <c r="R574" t="s">
        <v>112</v>
      </c>
      <c r="S574" t="str" cm="1">
        <f t="array" ref="S574:T574">_xlfn.TEXTSPLIT(R574, "/", , FALSE)</f>
        <v>music</v>
      </c>
      <c r="T574" t="str">
        <v>rock</v>
      </c>
    </row>
    <row r="575" spans="1:20" ht="17" x14ac:dyDescent="0.2">
      <c r="A575">
        <v>573</v>
      </c>
      <c r="B575" t="s">
        <v>1285</v>
      </c>
      <c r="C575" s="3" t="s">
        <v>1286</v>
      </c>
      <c r="D575">
        <v>6700</v>
      </c>
      <c r="E575">
        <v>7496</v>
      </c>
      <c r="F575" s="5">
        <f t="shared" si="16"/>
        <v>1.1188059701492536</v>
      </c>
      <c r="G575" t="s">
        <v>8</v>
      </c>
      <c r="H575">
        <v>300</v>
      </c>
      <c r="I575">
        <f t="shared" si="17"/>
        <v>24.986666666666668</v>
      </c>
      <c r="J575" t="s">
        <v>109</v>
      </c>
      <c r="K575" t="s">
        <v>110</v>
      </c>
      <c r="L575" s="4">
        <v>41761.208333333336</v>
      </c>
      <c r="M575" s="4" t="s">
        <v>51</v>
      </c>
      <c r="N575" s="4" t="s">
        <v>111</v>
      </c>
      <c r="O575" s="4">
        <v>41763.208333333336</v>
      </c>
      <c r="P575" t="b">
        <v>0</v>
      </c>
      <c r="Q575" t="b">
        <v>0</v>
      </c>
      <c r="R575" t="s">
        <v>1124</v>
      </c>
      <c r="S575" t="str" cm="1">
        <f t="array" ref="S575:T575">_xlfn.TEXTSPLIT(R575, "/", , FALSE)</f>
        <v>journalism</v>
      </c>
      <c r="T575" t="str">
        <v>audio</v>
      </c>
    </row>
    <row r="576" spans="1:20" ht="17" x14ac:dyDescent="0.2">
      <c r="A576">
        <v>574</v>
      </c>
      <c r="B576" t="s">
        <v>1287</v>
      </c>
      <c r="C576" s="3" t="s">
        <v>1288</v>
      </c>
      <c r="D576">
        <v>2700</v>
      </c>
      <c r="E576">
        <v>9967</v>
      </c>
      <c r="F576" s="5">
        <f t="shared" si="16"/>
        <v>3.6914814814814814</v>
      </c>
      <c r="G576" t="s">
        <v>8</v>
      </c>
      <c r="H576">
        <v>144</v>
      </c>
      <c r="I576">
        <f t="shared" si="17"/>
        <v>69.215277777777771</v>
      </c>
      <c r="J576" t="s">
        <v>109</v>
      </c>
      <c r="K576" t="s">
        <v>110</v>
      </c>
      <c r="L576" s="4">
        <v>43806.25</v>
      </c>
      <c r="M576" s="4" t="s">
        <v>58</v>
      </c>
      <c r="N576" s="4" t="s">
        <v>121</v>
      </c>
      <c r="O576" s="4">
        <v>43816.25</v>
      </c>
      <c r="P576" t="b">
        <v>0</v>
      </c>
      <c r="Q576" t="b">
        <v>1</v>
      </c>
      <c r="R576" t="s">
        <v>106</v>
      </c>
      <c r="S576" t="str" cm="1">
        <f t="array" ref="S576:T576">_xlfn.TEXTSPLIT(R576, "/", , FALSE)</f>
        <v>food</v>
      </c>
      <c r="T576" t="str">
        <v>food trucks</v>
      </c>
    </row>
    <row r="577" spans="1:20" ht="17" x14ac:dyDescent="0.2">
      <c r="A577">
        <v>575</v>
      </c>
      <c r="B577" t="s">
        <v>1289</v>
      </c>
      <c r="C577" s="3" t="s">
        <v>1290</v>
      </c>
      <c r="D577">
        <v>83300</v>
      </c>
      <c r="E577">
        <v>52421</v>
      </c>
      <c r="F577" s="5">
        <f t="shared" si="16"/>
        <v>0.62930372148859548</v>
      </c>
      <c r="G577" t="s">
        <v>6</v>
      </c>
      <c r="H577">
        <v>558</v>
      </c>
      <c r="I577">
        <f t="shared" si="17"/>
        <v>93.944444444444443</v>
      </c>
      <c r="J577" t="s">
        <v>109</v>
      </c>
      <c r="K577" t="s">
        <v>110</v>
      </c>
      <c r="L577" s="4">
        <v>41779.208333333336</v>
      </c>
      <c r="M577" s="4" t="s">
        <v>51</v>
      </c>
      <c r="N577" s="4" t="s">
        <v>111</v>
      </c>
      <c r="O577" s="4">
        <v>41782.208333333336</v>
      </c>
      <c r="P577" t="b">
        <v>0</v>
      </c>
      <c r="Q577" t="b">
        <v>1</v>
      </c>
      <c r="R577" t="s">
        <v>124</v>
      </c>
      <c r="S577" t="str" cm="1">
        <f t="array" ref="S577:T577">_xlfn.TEXTSPLIT(R577, "/", , FALSE)</f>
        <v>theater</v>
      </c>
      <c r="T577" t="str">
        <v>plays</v>
      </c>
    </row>
    <row r="578" spans="1:20" ht="34" x14ac:dyDescent="0.2">
      <c r="A578">
        <v>576</v>
      </c>
      <c r="B578" t="s">
        <v>1291</v>
      </c>
      <c r="C578" s="3" t="s">
        <v>1292</v>
      </c>
      <c r="D578">
        <v>9700</v>
      </c>
      <c r="E578">
        <v>6298</v>
      </c>
      <c r="F578" s="5">
        <f t="shared" si="16"/>
        <v>0.6492783505154639</v>
      </c>
      <c r="G578" t="s">
        <v>6</v>
      </c>
      <c r="H578">
        <v>64</v>
      </c>
      <c r="I578">
        <f t="shared" si="17"/>
        <v>98.40625</v>
      </c>
      <c r="J578" t="s">
        <v>109</v>
      </c>
      <c r="K578" t="s">
        <v>110</v>
      </c>
      <c r="L578" s="4">
        <v>43040.208333333328</v>
      </c>
      <c r="M578" s="4" t="s">
        <v>57</v>
      </c>
      <c r="N578" s="4" t="s">
        <v>134</v>
      </c>
      <c r="O578" s="4">
        <v>43057.25</v>
      </c>
      <c r="P578" t="b">
        <v>0</v>
      </c>
      <c r="Q578" t="b">
        <v>0</v>
      </c>
      <c r="R578" t="s">
        <v>124</v>
      </c>
      <c r="S578" t="str" cm="1">
        <f t="array" ref="S578:T578">_xlfn.TEXTSPLIT(R578, "/", , FALSE)</f>
        <v>theater</v>
      </c>
      <c r="T578" t="str">
        <v>plays</v>
      </c>
    </row>
    <row r="579" spans="1:20" ht="17" x14ac:dyDescent="0.2">
      <c r="A579">
        <v>577</v>
      </c>
      <c r="B579" t="s">
        <v>1293</v>
      </c>
      <c r="C579" s="3" t="s">
        <v>1294</v>
      </c>
      <c r="D579">
        <v>8200</v>
      </c>
      <c r="E579">
        <v>1546</v>
      </c>
      <c r="F579" s="5">
        <f t="shared" ref="F579:F642" si="18">E579/D579</f>
        <v>0.18853658536585366</v>
      </c>
      <c r="G579" t="s">
        <v>5</v>
      </c>
      <c r="H579">
        <v>37</v>
      </c>
      <c r="I579">
        <f t="shared" ref="I579:I642" si="19">E579/H579</f>
        <v>41.783783783783782</v>
      </c>
      <c r="J579" t="s">
        <v>109</v>
      </c>
      <c r="K579" t="s">
        <v>110</v>
      </c>
      <c r="L579" s="4">
        <v>40613.25</v>
      </c>
      <c r="M579" s="4" t="s">
        <v>49</v>
      </c>
      <c r="N579" s="4" t="s">
        <v>165</v>
      </c>
      <c r="O579" s="4">
        <v>40639.208333333336</v>
      </c>
      <c r="P579" t="b">
        <v>0</v>
      </c>
      <c r="Q579" t="b">
        <v>0</v>
      </c>
      <c r="R579" t="s">
        <v>254</v>
      </c>
      <c r="S579" t="str" cm="1">
        <f t="array" ref="S579:T579">_xlfn.TEXTSPLIT(R579, "/", , FALSE)</f>
        <v>music</v>
      </c>
      <c r="T579" t="str">
        <v>jazz</v>
      </c>
    </row>
    <row r="580" spans="1:20" ht="17" x14ac:dyDescent="0.2">
      <c r="A580">
        <v>578</v>
      </c>
      <c r="B580" t="s">
        <v>1295</v>
      </c>
      <c r="C580" s="3" t="s">
        <v>1296</v>
      </c>
      <c r="D580">
        <v>96500</v>
      </c>
      <c r="E580">
        <v>16168</v>
      </c>
      <c r="F580" s="5">
        <f t="shared" si="18"/>
        <v>0.1675440414507772</v>
      </c>
      <c r="G580" t="s">
        <v>6</v>
      </c>
      <c r="H580">
        <v>245</v>
      </c>
      <c r="I580">
        <f t="shared" si="19"/>
        <v>65.991836734693877</v>
      </c>
      <c r="J580" t="s">
        <v>109</v>
      </c>
      <c r="K580" t="s">
        <v>110</v>
      </c>
      <c r="L580" s="4">
        <v>40878.25</v>
      </c>
      <c r="M580" s="4" t="s">
        <v>58</v>
      </c>
      <c r="N580" s="4" t="s">
        <v>165</v>
      </c>
      <c r="O580" s="4">
        <v>40881.25</v>
      </c>
      <c r="P580" t="b">
        <v>0</v>
      </c>
      <c r="Q580" t="b">
        <v>0</v>
      </c>
      <c r="R580" t="s">
        <v>569</v>
      </c>
      <c r="S580" t="str" cm="1">
        <f t="array" ref="S580:T580">_xlfn.TEXTSPLIT(R580, "/", , FALSE)</f>
        <v>film &amp; video</v>
      </c>
      <c r="T580" t="str">
        <v>science fiction</v>
      </c>
    </row>
    <row r="581" spans="1:20" ht="17" x14ac:dyDescent="0.2">
      <c r="A581">
        <v>579</v>
      </c>
      <c r="B581" t="s">
        <v>1297</v>
      </c>
      <c r="C581" s="3" t="s">
        <v>1298</v>
      </c>
      <c r="D581">
        <v>6200</v>
      </c>
      <c r="E581">
        <v>6269</v>
      </c>
      <c r="F581" s="5">
        <f t="shared" si="18"/>
        <v>1.0111290322580646</v>
      </c>
      <c r="G581" t="s">
        <v>8</v>
      </c>
      <c r="H581">
        <v>87</v>
      </c>
      <c r="I581">
        <f t="shared" si="19"/>
        <v>72.05747126436782</v>
      </c>
      <c r="J581" t="s">
        <v>109</v>
      </c>
      <c r="K581" t="s">
        <v>110</v>
      </c>
      <c r="L581" s="4">
        <v>40762.208333333336</v>
      </c>
      <c r="M581" s="4" t="s">
        <v>54</v>
      </c>
      <c r="N581" s="4" t="s">
        <v>165</v>
      </c>
      <c r="O581" s="4">
        <v>40774.208333333336</v>
      </c>
      <c r="P581" t="b">
        <v>0</v>
      </c>
      <c r="Q581" t="b">
        <v>0</v>
      </c>
      <c r="R581" t="s">
        <v>254</v>
      </c>
      <c r="S581" t="str" cm="1">
        <f t="array" ref="S581:T581">_xlfn.TEXTSPLIT(R581, "/", , FALSE)</f>
        <v>music</v>
      </c>
      <c r="T581" t="str">
        <v>jazz</v>
      </c>
    </row>
    <row r="582" spans="1:20" ht="17" x14ac:dyDescent="0.2">
      <c r="A582">
        <v>580</v>
      </c>
      <c r="B582" t="s">
        <v>651</v>
      </c>
      <c r="C582" s="3" t="s">
        <v>1299</v>
      </c>
      <c r="D582">
        <v>43800</v>
      </c>
      <c r="E582">
        <v>149578</v>
      </c>
      <c r="F582" s="5">
        <f t="shared" si="18"/>
        <v>3.4150228310502282</v>
      </c>
      <c r="G582" t="s">
        <v>8</v>
      </c>
      <c r="H582">
        <v>3116</v>
      </c>
      <c r="I582">
        <f t="shared" si="19"/>
        <v>48.003209242618745</v>
      </c>
      <c r="J582" t="s">
        <v>109</v>
      </c>
      <c r="K582" t="s">
        <v>110</v>
      </c>
      <c r="L582" s="4">
        <v>41696.25</v>
      </c>
      <c r="M582" s="4" t="s">
        <v>48</v>
      </c>
      <c r="N582" s="4" t="s">
        <v>111</v>
      </c>
      <c r="O582" s="4">
        <v>41704.25</v>
      </c>
      <c r="P582" t="b">
        <v>0</v>
      </c>
      <c r="Q582" t="b">
        <v>0</v>
      </c>
      <c r="R582" t="s">
        <v>124</v>
      </c>
      <c r="S582" t="str" cm="1">
        <f t="array" ref="S582:T582">_xlfn.TEXTSPLIT(R582, "/", , FALSE)</f>
        <v>theater</v>
      </c>
      <c r="T582" t="str">
        <v>plays</v>
      </c>
    </row>
    <row r="583" spans="1:20" ht="17" x14ac:dyDescent="0.2">
      <c r="A583">
        <v>581</v>
      </c>
      <c r="B583" t="s">
        <v>1300</v>
      </c>
      <c r="C583" s="3" t="s">
        <v>1301</v>
      </c>
      <c r="D583">
        <v>6000</v>
      </c>
      <c r="E583">
        <v>3841</v>
      </c>
      <c r="F583" s="5">
        <f t="shared" si="18"/>
        <v>0.64016666666666666</v>
      </c>
      <c r="G583" t="s">
        <v>6</v>
      </c>
      <c r="H583">
        <v>71</v>
      </c>
      <c r="I583">
        <f t="shared" si="19"/>
        <v>54.098591549295776</v>
      </c>
      <c r="J583" t="s">
        <v>109</v>
      </c>
      <c r="K583" t="s">
        <v>110</v>
      </c>
      <c r="L583" s="4">
        <v>40662.208333333336</v>
      </c>
      <c r="M583" s="4" t="s">
        <v>50</v>
      </c>
      <c r="N583" s="4" t="s">
        <v>165</v>
      </c>
      <c r="O583" s="4">
        <v>40677.208333333336</v>
      </c>
      <c r="P583" t="b">
        <v>0</v>
      </c>
      <c r="Q583" t="b">
        <v>0</v>
      </c>
      <c r="R583" t="s">
        <v>118</v>
      </c>
      <c r="S583" t="str" cm="1">
        <f t="array" ref="S583:T583">_xlfn.TEXTSPLIT(R583, "/", , FALSE)</f>
        <v>technology</v>
      </c>
      <c r="T583" t="str">
        <v>web</v>
      </c>
    </row>
    <row r="584" spans="1:20" ht="17" x14ac:dyDescent="0.2">
      <c r="A584">
        <v>582</v>
      </c>
      <c r="B584" t="s">
        <v>1302</v>
      </c>
      <c r="C584" s="3" t="s">
        <v>1303</v>
      </c>
      <c r="D584">
        <v>8700</v>
      </c>
      <c r="E584">
        <v>4531</v>
      </c>
      <c r="F584" s="5">
        <f t="shared" si="18"/>
        <v>0.5208045977011494</v>
      </c>
      <c r="G584" t="s">
        <v>6</v>
      </c>
      <c r="H584">
        <v>42</v>
      </c>
      <c r="I584">
        <f t="shared" si="19"/>
        <v>107.88095238095238</v>
      </c>
      <c r="J584" t="s">
        <v>109</v>
      </c>
      <c r="K584" t="s">
        <v>110</v>
      </c>
      <c r="L584" s="4">
        <v>42165.208333333328</v>
      </c>
      <c r="M584" s="4" t="s">
        <v>52</v>
      </c>
      <c r="N584" s="4" t="s">
        <v>105</v>
      </c>
      <c r="O584" s="4">
        <v>42170.208333333328</v>
      </c>
      <c r="P584" t="b">
        <v>0</v>
      </c>
      <c r="Q584" t="b">
        <v>1</v>
      </c>
      <c r="R584" t="s">
        <v>184</v>
      </c>
      <c r="S584" t="str" cm="1">
        <f t="array" ref="S584:T584">_xlfn.TEXTSPLIT(R584, "/", , FALSE)</f>
        <v>games</v>
      </c>
      <c r="T584" t="str">
        <v>video games</v>
      </c>
    </row>
    <row r="585" spans="1:20" ht="34" x14ac:dyDescent="0.2">
      <c r="A585">
        <v>583</v>
      </c>
      <c r="B585" t="s">
        <v>1304</v>
      </c>
      <c r="C585" s="3" t="s">
        <v>1305</v>
      </c>
      <c r="D585">
        <v>18900</v>
      </c>
      <c r="E585">
        <v>60934</v>
      </c>
      <c r="F585" s="5">
        <f t="shared" si="18"/>
        <v>3.2240211640211642</v>
      </c>
      <c r="G585" t="s">
        <v>8</v>
      </c>
      <c r="H585">
        <v>909</v>
      </c>
      <c r="I585">
        <f t="shared" si="19"/>
        <v>67.034103410341032</v>
      </c>
      <c r="J585" t="s">
        <v>109</v>
      </c>
      <c r="K585" t="s">
        <v>110</v>
      </c>
      <c r="L585" s="4">
        <v>40959.25</v>
      </c>
      <c r="M585" s="4" t="s">
        <v>48</v>
      </c>
      <c r="N585" s="4" t="s">
        <v>129</v>
      </c>
      <c r="O585" s="4">
        <v>40976.25</v>
      </c>
      <c r="P585" t="b">
        <v>0</v>
      </c>
      <c r="Q585" t="b">
        <v>0</v>
      </c>
      <c r="R585" t="s">
        <v>135</v>
      </c>
      <c r="S585" t="str" cm="1">
        <f t="array" ref="S585:T585">_xlfn.TEXTSPLIT(R585, "/", , FALSE)</f>
        <v>film &amp; video</v>
      </c>
      <c r="T585" t="str">
        <v>documentary</v>
      </c>
    </row>
    <row r="586" spans="1:20" ht="34" x14ac:dyDescent="0.2">
      <c r="A586">
        <v>584</v>
      </c>
      <c r="B586" t="s">
        <v>138</v>
      </c>
      <c r="C586" s="3" t="s">
        <v>1306</v>
      </c>
      <c r="D586">
        <v>86400</v>
      </c>
      <c r="E586">
        <v>103255</v>
      </c>
      <c r="F586" s="5">
        <f t="shared" si="18"/>
        <v>1.1950810185185186</v>
      </c>
      <c r="G586" t="s">
        <v>8</v>
      </c>
      <c r="H586">
        <v>1613</v>
      </c>
      <c r="I586">
        <f t="shared" si="19"/>
        <v>64.01425914445133</v>
      </c>
      <c r="J586" t="s">
        <v>109</v>
      </c>
      <c r="K586" t="s">
        <v>110</v>
      </c>
      <c r="L586" s="4">
        <v>41024.208333333336</v>
      </c>
      <c r="M586" s="4" t="s">
        <v>50</v>
      </c>
      <c r="N586" s="4" t="s">
        <v>129</v>
      </c>
      <c r="O586" s="4">
        <v>41038.208333333336</v>
      </c>
      <c r="P586" t="b">
        <v>0</v>
      </c>
      <c r="Q586" t="b">
        <v>0</v>
      </c>
      <c r="R586" t="s">
        <v>118</v>
      </c>
      <c r="S586" t="str" cm="1">
        <f t="array" ref="S586:T586">_xlfn.TEXTSPLIT(R586, "/", , FALSE)</f>
        <v>technology</v>
      </c>
      <c r="T586" t="str">
        <v>web</v>
      </c>
    </row>
    <row r="587" spans="1:20" ht="17" x14ac:dyDescent="0.2">
      <c r="A587">
        <v>585</v>
      </c>
      <c r="B587" t="s">
        <v>1307</v>
      </c>
      <c r="C587" s="3" t="s">
        <v>1308</v>
      </c>
      <c r="D587">
        <v>8900</v>
      </c>
      <c r="E587">
        <v>13065</v>
      </c>
      <c r="F587" s="5">
        <f t="shared" si="18"/>
        <v>1.4679775280898877</v>
      </c>
      <c r="G587" t="s">
        <v>8</v>
      </c>
      <c r="H587">
        <v>136</v>
      </c>
      <c r="I587">
        <f t="shared" si="19"/>
        <v>96.066176470588232</v>
      </c>
      <c r="J587" t="s">
        <v>109</v>
      </c>
      <c r="K587" t="s">
        <v>110</v>
      </c>
      <c r="L587" s="4">
        <v>40255.208333333336</v>
      </c>
      <c r="M587" s="4" t="s">
        <v>49</v>
      </c>
      <c r="N587" s="4" t="s">
        <v>140</v>
      </c>
      <c r="O587" s="4">
        <v>40265.208333333336</v>
      </c>
      <c r="P587" t="b">
        <v>0</v>
      </c>
      <c r="Q587" t="b">
        <v>0</v>
      </c>
      <c r="R587" t="s">
        <v>301</v>
      </c>
      <c r="S587" t="str" cm="1">
        <f t="array" ref="S587:T587">_xlfn.TEXTSPLIT(R587, "/", , FALSE)</f>
        <v>publishing</v>
      </c>
      <c r="T587" t="str">
        <v>translations</v>
      </c>
    </row>
    <row r="588" spans="1:20" ht="17" x14ac:dyDescent="0.2">
      <c r="A588">
        <v>586</v>
      </c>
      <c r="B588" t="s">
        <v>1309</v>
      </c>
      <c r="C588" s="3" t="s">
        <v>1310</v>
      </c>
      <c r="D588">
        <v>700</v>
      </c>
      <c r="E588">
        <v>6654</v>
      </c>
      <c r="F588" s="5">
        <f t="shared" si="18"/>
        <v>9.5057142857142853</v>
      </c>
      <c r="G588" t="s">
        <v>8</v>
      </c>
      <c r="H588">
        <v>130</v>
      </c>
      <c r="I588">
        <f t="shared" si="19"/>
        <v>51.184615384615384</v>
      </c>
      <c r="J588" t="s">
        <v>109</v>
      </c>
      <c r="K588" t="s">
        <v>110</v>
      </c>
      <c r="L588" s="4">
        <v>40499.25</v>
      </c>
      <c r="M588" s="4" t="s">
        <v>57</v>
      </c>
      <c r="N588" s="4" t="s">
        <v>140</v>
      </c>
      <c r="O588" s="4">
        <v>40518.25</v>
      </c>
      <c r="P588" t="b">
        <v>0</v>
      </c>
      <c r="Q588" t="b">
        <v>0</v>
      </c>
      <c r="R588" t="s">
        <v>112</v>
      </c>
      <c r="S588" t="str" cm="1">
        <f t="array" ref="S588:T588">_xlfn.TEXTSPLIT(R588, "/", , FALSE)</f>
        <v>music</v>
      </c>
      <c r="T588" t="str">
        <v>rock</v>
      </c>
    </row>
    <row r="589" spans="1:20" ht="17" x14ac:dyDescent="0.2">
      <c r="A589">
        <v>587</v>
      </c>
      <c r="B589" t="s">
        <v>1311</v>
      </c>
      <c r="C589" s="3" t="s">
        <v>1312</v>
      </c>
      <c r="D589">
        <v>9400</v>
      </c>
      <c r="E589">
        <v>6852</v>
      </c>
      <c r="F589" s="5">
        <f t="shared" si="18"/>
        <v>0.72893617021276591</v>
      </c>
      <c r="G589" t="s">
        <v>6</v>
      </c>
      <c r="H589">
        <v>156</v>
      </c>
      <c r="I589">
        <f t="shared" si="19"/>
        <v>43.92307692307692</v>
      </c>
      <c r="J589" t="s">
        <v>103</v>
      </c>
      <c r="K589" t="s">
        <v>104</v>
      </c>
      <c r="L589" s="4">
        <v>43484.25</v>
      </c>
      <c r="M589" s="4" t="s">
        <v>47</v>
      </c>
      <c r="N589" s="4" t="s">
        <v>121</v>
      </c>
      <c r="O589" s="4">
        <v>43536.208333333328</v>
      </c>
      <c r="P589" t="b">
        <v>0</v>
      </c>
      <c r="Q589" t="b">
        <v>1</v>
      </c>
      <c r="R589" t="s">
        <v>106</v>
      </c>
      <c r="S589" t="str" cm="1">
        <f t="array" ref="S589:T589">_xlfn.TEXTSPLIT(R589, "/", , FALSE)</f>
        <v>food</v>
      </c>
      <c r="T589" t="str">
        <v>food trucks</v>
      </c>
    </row>
    <row r="590" spans="1:20" ht="17" x14ac:dyDescent="0.2">
      <c r="A590">
        <v>588</v>
      </c>
      <c r="B590" t="s">
        <v>1313</v>
      </c>
      <c r="C590" s="3" t="s">
        <v>1314</v>
      </c>
      <c r="D590">
        <v>157600</v>
      </c>
      <c r="E590">
        <v>124517</v>
      </c>
      <c r="F590" s="5">
        <f t="shared" si="18"/>
        <v>0.7900824873096447</v>
      </c>
      <c r="G590" t="s">
        <v>6</v>
      </c>
      <c r="H590">
        <v>1368</v>
      </c>
      <c r="I590">
        <f t="shared" si="19"/>
        <v>91.021198830409361</v>
      </c>
      <c r="J590" t="s">
        <v>132</v>
      </c>
      <c r="K590" t="s">
        <v>133</v>
      </c>
      <c r="L590" s="4">
        <v>40262.208333333336</v>
      </c>
      <c r="M590" s="4" t="s">
        <v>49</v>
      </c>
      <c r="N590" s="4" t="s">
        <v>140</v>
      </c>
      <c r="O590" s="4">
        <v>40293.208333333336</v>
      </c>
      <c r="P590" t="b">
        <v>0</v>
      </c>
      <c r="Q590" t="b">
        <v>0</v>
      </c>
      <c r="R590" t="s">
        <v>124</v>
      </c>
      <c r="S590" t="str" cm="1">
        <f t="array" ref="S590:T590">_xlfn.TEXTSPLIT(R590, "/", , FALSE)</f>
        <v>theater</v>
      </c>
      <c r="T590" t="str">
        <v>plays</v>
      </c>
    </row>
    <row r="591" spans="1:20" ht="17" x14ac:dyDescent="0.2">
      <c r="A591">
        <v>589</v>
      </c>
      <c r="B591" t="s">
        <v>1315</v>
      </c>
      <c r="C591" s="3" t="s">
        <v>1316</v>
      </c>
      <c r="D591">
        <v>7900</v>
      </c>
      <c r="E591">
        <v>5113</v>
      </c>
      <c r="F591" s="5">
        <f t="shared" si="18"/>
        <v>0.64721518987341775</v>
      </c>
      <c r="G591" t="s">
        <v>6</v>
      </c>
      <c r="H591">
        <v>102</v>
      </c>
      <c r="I591">
        <f t="shared" si="19"/>
        <v>50.127450980392155</v>
      </c>
      <c r="J591" t="s">
        <v>109</v>
      </c>
      <c r="K591" t="s">
        <v>110</v>
      </c>
      <c r="L591" s="4">
        <v>42190.208333333328</v>
      </c>
      <c r="M591" s="4" t="s">
        <v>53</v>
      </c>
      <c r="N591" s="4" t="s">
        <v>105</v>
      </c>
      <c r="O591" s="4">
        <v>42197.208333333328</v>
      </c>
      <c r="P591" t="b">
        <v>0</v>
      </c>
      <c r="Q591" t="b">
        <v>0</v>
      </c>
      <c r="R591" t="s">
        <v>135</v>
      </c>
      <c r="S591" t="str" cm="1">
        <f t="array" ref="S591:T591">_xlfn.TEXTSPLIT(R591, "/", , FALSE)</f>
        <v>film &amp; video</v>
      </c>
      <c r="T591" t="str">
        <v>documentary</v>
      </c>
    </row>
    <row r="592" spans="1:20" ht="34" x14ac:dyDescent="0.2">
      <c r="A592">
        <v>590</v>
      </c>
      <c r="B592" t="s">
        <v>1317</v>
      </c>
      <c r="C592" s="3" t="s">
        <v>1318</v>
      </c>
      <c r="D592">
        <v>7100</v>
      </c>
      <c r="E592">
        <v>5824</v>
      </c>
      <c r="F592" s="5">
        <f t="shared" si="18"/>
        <v>0.82028169014084507</v>
      </c>
      <c r="G592" t="s">
        <v>6</v>
      </c>
      <c r="H592">
        <v>86</v>
      </c>
      <c r="I592">
        <f t="shared" si="19"/>
        <v>67.720930232558146</v>
      </c>
      <c r="J592" t="s">
        <v>115</v>
      </c>
      <c r="K592" t="s">
        <v>116</v>
      </c>
      <c r="L592" s="4">
        <v>41994.25</v>
      </c>
      <c r="M592" s="4" t="s">
        <v>58</v>
      </c>
      <c r="N592" s="4" t="s">
        <v>111</v>
      </c>
      <c r="O592" s="4">
        <v>42005.25</v>
      </c>
      <c r="P592" t="b">
        <v>0</v>
      </c>
      <c r="Q592" t="b">
        <v>0</v>
      </c>
      <c r="R592" t="s">
        <v>228</v>
      </c>
      <c r="S592" t="str" cm="1">
        <f t="array" ref="S592:T592">_xlfn.TEXTSPLIT(R592, "/", , FALSE)</f>
        <v>publishing</v>
      </c>
      <c r="T592" t="str">
        <v>radio &amp; podcasts</v>
      </c>
    </row>
    <row r="593" spans="1:20" ht="17" x14ac:dyDescent="0.2">
      <c r="A593">
        <v>591</v>
      </c>
      <c r="B593" t="s">
        <v>1319</v>
      </c>
      <c r="C593" s="3" t="s">
        <v>1320</v>
      </c>
      <c r="D593">
        <v>600</v>
      </c>
      <c r="E593">
        <v>6226</v>
      </c>
      <c r="F593" s="5">
        <f t="shared" si="18"/>
        <v>10.376666666666667</v>
      </c>
      <c r="G593" t="s">
        <v>8</v>
      </c>
      <c r="H593">
        <v>102</v>
      </c>
      <c r="I593">
        <f t="shared" si="19"/>
        <v>61.03921568627451</v>
      </c>
      <c r="J593" t="s">
        <v>109</v>
      </c>
      <c r="K593" t="s">
        <v>110</v>
      </c>
      <c r="L593" s="4">
        <v>40373.208333333336</v>
      </c>
      <c r="M593" s="4" t="s">
        <v>53</v>
      </c>
      <c r="N593" s="4" t="s">
        <v>140</v>
      </c>
      <c r="O593" s="4">
        <v>40383.208333333336</v>
      </c>
      <c r="P593" t="b">
        <v>0</v>
      </c>
      <c r="Q593" t="b">
        <v>0</v>
      </c>
      <c r="R593" t="s">
        <v>184</v>
      </c>
      <c r="S593" t="str" cm="1">
        <f t="array" ref="S593:T593">_xlfn.TEXTSPLIT(R593, "/", , FALSE)</f>
        <v>games</v>
      </c>
      <c r="T593" t="str">
        <v>video games</v>
      </c>
    </row>
    <row r="594" spans="1:20" ht="34" x14ac:dyDescent="0.2">
      <c r="A594">
        <v>592</v>
      </c>
      <c r="B594" t="s">
        <v>1321</v>
      </c>
      <c r="C594" s="3" t="s">
        <v>1322</v>
      </c>
      <c r="D594">
        <v>156800</v>
      </c>
      <c r="E594">
        <v>20243</v>
      </c>
      <c r="F594" s="5">
        <f t="shared" si="18"/>
        <v>0.12910076530612244</v>
      </c>
      <c r="G594" t="s">
        <v>6</v>
      </c>
      <c r="H594">
        <v>253</v>
      </c>
      <c r="I594">
        <f t="shared" si="19"/>
        <v>80.011857707509876</v>
      </c>
      <c r="J594" t="s">
        <v>109</v>
      </c>
      <c r="K594" t="s">
        <v>110</v>
      </c>
      <c r="L594" s="4">
        <v>41789.208333333336</v>
      </c>
      <c r="M594" s="4" t="s">
        <v>51</v>
      </c>
      <c r="N594" s="4" t="s">
        <v>111</v>
      </c>
      <c r="O594" s="4">
        <v>41798.208333333336</v>
      </c>
      <c r="P594" t="b">
        <v>0</v>
      </c>
      <c r="Q594" t="b">
        <v>0</v>
      </c>
      <c r="R594" t="s">
        <v>124</v>
      </c>
      <c r="S594" t="str" cm="1">
        <f t="array" ref="S594:T594">_xlfn.TEXTSPLIT(R594, "/", , FALSE)</f>
        <v>theater</v>
      </c>
      <c r="T594" t="str">
        <v>plays</v>
      </c>
    </row>
    <row r="595" spans="1:20" ht="17" x14ac:dyDescent="0.2">
      <c r="A595">
        <v>593</v>
      </c>
      <c r="B595" t="s">
        <v>1323</v>
      </c>
      <c r="C595" s="3" t="s">
        <v>1324</v>
      </c>
      <c r="D595">
        <v>121600</v>
      </c>
      <c r="E595">
        <v>188288</v>
      </c>
      <c r="F595" s="5">
        <f t="shared" si="18"/>
        <v>1.5484210526315789</v>
      </c>
      <c r="G595" t="s">
        <v>8</v>
      </c>
      <c r="H595">
        <v>4006</v>
      </c>
      <c r="I595">
        <f t="shared" si="19"/>
        <v>47.001497753369947</v>
      </c>
      <c r="J595" t="s">
        <v>109</v>
      </c>
      <c r="K595" t="s">
        <v>110</v>
      </c>
      <c r="L595" s="4">
        <v>41724.208333333336</v>
      </c>
      <c r="M595" s="4" t="s">
        <v>49</v>
      </c>
      <c r="N595" s="4" t="s">
        <v>111</v>
      </c>
      <c r="O595" s="4">
        <v>41737.208333333336</v>
      </c>
      <c r="P595" t="b">
        <v>0</v>
      </c>
      <c r="Q595" t="b">
        <v>0</v>
      </c>
      <c r="R595" t="s">
        <v>166</v>
      </c>
      <c r="S595" t="str" cm="1">
        <f t="array" ref="S595:T595">_xlfn.TEXTSPLIT(R595, "/", , FALSE)</f>
        <v>film &amp; video</v>
      </c>
      <c r="T595" t="str">
        <v>animation</v>
      </c>
    </row>
    <row r="596" spans="1:20" ht="34" x14ac:dyDescent="0.2">
      <c r="A596">
        <v>594</v>
      </c>
      <c r="B596" t="s">
        <v>1325</v>
      </c>
      <c r="C596" s="3" t="s">
        <v>1326</v>
      </c>
      <c r="D596">
        <v>157300</v>
      </c>
      <c r="E596">
        <v>11167</v>
      </c>
      <c r="F596" s="5">
        <f t="shared" si="18"/>
        <v>7.0991735537190084E-2</v>
      </c>
      <c r="G596" t="s">
        <v>6</v>
      </c>
      <c r="H596">
        <v>157</v>
      </c>
      <c r="I596">
        <f t="shared" si="19"/>
        <v>71.127388535031841</v>
      </c>
      <c r="J596" t="s">
        <v>109</v>
      </c>
      <c r="K596" t="s">
        <v>110</v>
      </c>
      <c r="L596" s="4">
        <v>42548.208333333328</v>
      </c>
      <c r="M596" s="4" t="s">
        <v>52</v>
      </c>
      <c r="N596" s="4" t="s">
        <v>153</v>
      </c>
      <c r="O596" s="4">
        <v>42551.208333333328</v>
      </c>
      <c r="P596" t="b">
        <v>0</v>
      </c>
      <c r="Q596" t="b">
        <v>1</v>
      </c>
      <c r="R596" t="s">
        <v>124</v>
      </c>
      <c r="S596" t="str" cm="1">
        <f t="array" ref="S596:T596">_xlfn.TEXTSPLIT(R596, "/", , FALSE)</f>
        <v>theater</v>
      </c>
      <c r="T596" t="str">
        <v>plays</v>
      </c>
    </row>
    <row r="597" spans="1:20" ht="34" x14ac:dyDescent="0.2">
      <c r="A597">
        <v>595</v>
      </c>
      <c r="B597" t="s">
        <v>1327</v>
      </c>
      <c r="C597" s="3" t="s">
        <v>1328</v>
      </c>
      <c r="D597">
        <v>70300</v>
      </c>
      <c r="E597">
        <v>146595</v>
      </c>
      <c r="F597" s="5">
        <f t="shared" si="18"/>
        <v>2.0852773826458035</v>
      </c>
      <c r="G597" t="s">
        <v>8</v>
      </c>
      <c r="H597">
        <v>1629</v>
      </c>
      <c r="I597">
        <f t="shared" si="19"/>
        <v>89.99079189686924</v>
      </c>
      <c r="J597" t="s">
        <v>109</v>
      </c>
      <c r="K597" t="s">
        <v>110</v>
      </c>
      <c r="L597" s="4">
        <v>40253.208333333336</v>
      </c>
      <c r="M597" s="4" t="s">
        <v>49</v>
      </c>
      <c r="N597" s="4" t="s">
        <v>140</v>
      </c>
      <c r="O597" s="4">
        <v>40274.208333333336</v>
      </c>
      <c r="P597" t="b">
        <v>0</v>
      </c>
      <c r="Q597" t="b">
        <v>1</v>
      </c>
      <c r="R597" t="s">
        <v>124</v>
      </c>
      <c r="S597" t="str" cm="1">
        <f t="array" ref="S597:T597">_xlfn.TEXTSPLIT(R597, "/", , FALSE)</f>
        <v>theater</v>
      </c>
      <c r="T597" t="str">
        <v>plays</v>
      </c>
    </row>
    <row r="598" spans="1:20" ht="17" x14ac:dyDescent="0.2">
      <c r="A598">
        <v>596</v>
      </c>
      <c r="B598" t="s">
        <v>1329</v>
      </c>
      <c r="C598" s="3" t="s">
        <v>1330</v>
      </c>
      <c r="D598">
        <v>7900</v>
      </c>
      <c r="E598">
        <v>7875</v>
      </c>
      <c r="F598" s="5">
        <f t="shared" si="18"/>
        <v>0.99683544303797467</v>
      </c>
      <c r="G598" t="s">
        <v>6</v>
      </c>
      <c r="H598">
        <v>183</v>
      </c>
      <c r="I598">
        <f t="shared" si="19"/>
        <v>43.032786885245905</v>
      </c>
      <c r="J598" t="s">
        <v>109</v>
      </c>
      <c r="K598" t="s">
        <v>110</v>
      </c>
      <c r="L598" s="4">
        <v>42434.25</v>
      </c>
      <c r="M598" s="4" t="s">
        <v>49</v>
      </c>
      <c r="N598" s="4" t="s">
        <v>153</v>
      </c>
      <c r="O598" s="4">
        <v>42441.25</v>
      </c>
      <c r="P598" t="b">
        <v>0</v>
      </c>
      <c r="Q598" t="b">
        <v>1</v>
      </c>
      <c r="R598" t="s">
        <v>146</v>
      </c>
      <c r="S598" t="str" cm="1">
        <f t="array" ref="S598:T598">_xlfn.TEXTSPLIT(R598, "/", , FALSE)</f>
        <v>film &amp; video</v>
      </c>
      <c r="T598" t="str">
        <v>drama</v>
      </c>
    </row>
    <row r="599" spans="1:20" ht="17" x14ac:dyDescent="0.2">
      <c r="A599">
        <v>597</v>
      </c>
      <c r="B599" t="s">
        <v>1331</v>
      </c>
      <c r="C599" s="3" t="s">
        <v>1332</v>
      </c>
      <c r="D599">
        <v>73800</v>
      </c>
      <c r="E599">
        <v>148779</v>
      </c>
      <c r="F599" s="5">
        <f t="shared" si="18"/>
        <v>2.0159756097560977</v>
      </c>
      <c r="G599" t="s">
        <v>8</v>
      </c>
      <c r="H599">
        <v>2188</v>
      </c>
      <c r="I599">
        <f t="shared" si="19"/>
        <v>67.997714808043881</v>
      </c>
      <c r="J599" t="s">
        <v>109</v>
      </c>
      <c r="K599" t="s">
        <v>110</v>
      </c>
      <c r="L599" s="4">
        <v>43786.25</v>
      </c>
      <c r="M599" s="4" t="s">
        <v>57</v>
      </c>
      <c r="N599" s="4" t="s">
        <v>121</v>
      </c>
      <c r="O599" s="4">
        <v>43804.25</v>
      </c>
      <c r="P599" t="b">
        <v>0</v>
      </c>
      <c r="Q599" t="b">
        <v>0</v>
      </c>
      <c r="R599" t="s">
        <v>124</v>
      </c>
      <c r="S599" t="str" cm="1">
        <f t="array" ref="S599:T599">_xlfn.TEXTSPLIT(R599, "/", , FALSE)</f>
        <v>theater</v>
      </c>
      <c r="T599" t="str">
        <v>plays</v>
      </c>
    </row>
    <row r="600" spans="1:20" ht="17" x14ac:dyDescent="0.2">
      <c r="A600">
        <v>598</v>
      </c>
      <c r="B600" t="s">
        <v>1333</v>
      </c>
      <c r="C600" s="3" t="s">
        <v>1334</v>
      </c>
      <c r="D600">
        <v>108500</v>
      </c>
      <c r="E600">
        <v>175868</v>
      </c>
      <c r="F600" s="5">
        <f t="shared" si="18"/>
        <v>1.6209032258064515</v>
      </c>
      <c r="G600" t="s">
        <v>8</v>
      </c>
      <c r="H600">
        <v>2409</v>
      </c>
      <c r="I600">
        <f t="shared" si="19"/>
        <v>73.004566210045667</v>
      </c>
      <c r="J600" t="s">
        <v>202</v>
      </c>
      <c r="K600" t="s">
        <v>203</v>
      </c>
      <c r="L600" s="4">
        <v>40344.208333333336</v>
      </c>
      <c r="M600" s="4" t="s">
        <v>52</v>
      </c>
      <c r="N600" s="4" t="s">
        <v>140</v>
      </c>
      <c r="O600" s="4">
        <v>40373.208333333336</v>
      </c>
      <c r="P600" t="b">
        <v>0</v>
      </c>
      <c r="Q600" t="b">
        <v>0</v>
      </c>
      <c r="R600" t="s">
        <v>112</v>
      </c>
      <c r="S600" t="str" cm="1">
        <f t="array" ref="S600:T600">_xlfn.TEXTSPLIT(R600, "/", , FALSE)</f>
        <v>music</v>
      </c>
      <c r="T600" t="str">
        <v>rock</v>
      </c>
    </row>
    <row r="601" spans="1:20" ht="34" x14ac:dyDescent="0.2">
      <c r="A601">
        <v>599</v>
      </c>
      <c r="B601" t="s">
        <v>1335</v>
      </c>
      <c r="C601" s="3" t="s">
        <v>1336</v>
      </c>
      <c r="D601">
        <v>140300</v>
      </c>
      <c r="E601">
        <v>5112</v>
      </c>
      <c r="F601" s="5">
        <f t="shared" si="18"/>
        <v>3.6436208125445471E-2</v>
      </c>
      <c r="G601" t="s">
        <v>6</v>
      </c>
      <c r="H601">
        <v>82</v>
      </c>
      <c r="I601">
        <f t="shared" si="19"/>
        <v>62.341463414634148</v>
      </c>
      <c r="J601" t="s">
        <v>127</v>
      </c>
      <c r="K601" t="s">
        <v>128</v>
      </c>
      <c r="L601" s="4">
        <v>42047.25</v>
      </c>
      <c r="M601" s="4" t="s">
        <v>48</v>
      </c>
      <c r="N601" s="4" t="s">
        <v>105</v>
      </c>
      <c r="O601" s="4">
        <v>42055.25</v>
      </c>
      <c r="P601" t="b">
        <v>0</v>
      </c>
      <c r="Q601" t="b">
        <v>0</v>
      </c>
      <c r="R601" t="s">
        <v>135</v>
      </c>
      <c r="S601" t="str" cm="1">
        <f t="array" ref="S601:T601">_xlfn.TEXTSPLIT(R601, "/", , FALSE)</f>
        <v>film &amp; video</v>
      </c>
      <c r="T601" t="str">
        <v>documentary</v>
      </c>
    </row>
    <row r="602" spans="1:20" ht="17" x14ac:dyDescent="0.2">
      <c r="A602">
        <v>600</v>
      </c>
      <c r="B602" t="s">
        <v>1337</v>
      </c>
      <c r="C602" s="3" t="s">
        <v>1338</v>
      </c>
      <c r="D602">
        <v>100</v>
      </c>
      <c r="E602">
        <v>5</v>
      </c>
      <c r="F602" s="5">
        <f t="shared" si="18"/>
        <v>0.05</v>
      </c>
      <c r="G602" t="s">
        <v>6</v>
      </c>
      <c r="H602">
        <v>1</v>
      </c>
      <c r="I602">
        <f t="shared" si="19"/>
        <v>5</v>
      </c>
      <c r="J602" t="s">
        <v>132</v>
      </c>
      <c r="K602" t="s">
        <v>133</v>
      </c>
      <c r="L602" s="4">
        <v>41485.208333333336</v>
      </c>
      <c r="M602" s="4" t="s">
        <v>53</v>
      </c>
      <c r="N602" s="4" t="s">
        <v>117</v>
      </c>
      <c r="O602" s="4">
        <v>41497.208333333336</v>
      </c>
      <c r="P602" t="b">
        <v>0</v>
      </c>
      <c r="Q602" t="b">
        <v>0</v>
      </c>
      <c r="R602" t="s">
        <v>106</v>
      </c>
      <c r="S602" t="str" cm="1">
        <f t="array" ref="S602:T602">_xlfn.TEXTSPLIT(R602, "/", , FALSE)</f>
        <v>food</v>
      </c>
      <c r="T602" t="str">
        <v>food trucks</v>
      </c>
    </row>
    <row r="603" spans="1:20" ht="17" x14ac:dyDescent="0.2">
      <c r="A603">
        <v>601</v>
      </c>
      <c r="B603" t="s">
        <v>1339</v>
      </c>
      <c r="C603" s="3" t="s">
        <v>1340</v>
      </c>
      <c r="D603">
        <v>6300</v>
      </c>
      <c r="E603">
        <v>13018</v>
      </c>
      <c r="F603" s="5">
        <f t="shared" si="18"/>
        <v>2.0663492063492064</v>
      </c>
      <c r="G603" t="s">
        <v>8</v>
      </c>
      <c r="H603">
        <v>194</v>
      </c>
      <c r="I603">
        <f t="shared" si="19"/>
        <v>67.103092783505161</v>
      </c>
      <c r="J603" t="s">
        <v>109</v>
      </c>
      <c r="K603" t="s">
        <v>110</v>
      </c>
      <c r="L603" s="4">
        <v>41789.208333333336</v>
      </c>
      <c r="M603" s="4" t="s">
        <v>51</v>
      </c>
      <c r="N603" s="4" t="s">
        <v>111</v>
      </c>
      <c r="O603" s="4">
        <v>41806.208333333336</v>
      </c>
      <c r="P603" t="b">
        <v>1</v>
      </c>
      <c r="Q603" t="b">
        <v>0</v>
      </c>
      <c r="R603" t="s">
        <v>159</v>
      </c>
      <c r="S603" t="str" cm="1">
        <f t="array" ref="S603:T603">_xlfn.TEXTSPLIT(R603, "/", , FALSE)</f>
        <v>technology</v>
      </c>
      <c r="T603" t="str">
        <v>wearables</v>
      </c>
    </row>
    <row r="604" spans="1:20" ht="34" x14ac:dyDescent="0.2">
      <c r="A604">
        <v>602</v>
      </c>
      <c r="B604" t="s">
        <v>1341</v>
      </c>
      <c r="C604" s="3" t="s">
        <v>1342</v>
      </c>
      <c r="D604">
        <v>71100</v>
      </c>
      <c r="E604">
        <v>91176</v>
      </c>
      <c r="F604" s="5">
        <f t="shared" si="18"/>
        <v>1.2823628691983122</v>
      </c>
      <c r="G604" t="s">
        <v>8</v>
      </c>
      <c r="H604">
        <v>1140</v>
      </c>
      <c r="I604">
        <f t="shared" si="19"/>
        <v>79.978947368421046</v>
      </c>
      <c r="J604" t="s">
        <v>109</v>
      </c>
      <c r="K604" t="s">
        <v>110</v>
      </c>
      <c r="L604" s="4">
        <v>42160.208333333328</v>
      </c>
      <c r="M604" s="4" t="s">
        <v>52</v>
      </c>
      <c r="N604" s="4" t="s">
        <v>105</v>
      </c>
      <c r="O604" s="4">
        <v>42171.208333333328</v>
      </c>
      <c r="P604" t="b">
        <v>0</v>
      </c>
      <c r="Q604" t="b">
        <v>0</v>
      </c>
      <c r="R604" t="s">
        <v>124</v>
      </c>
      <c r="S604" t="str" cm="1">
        <f t="array" ref="S604:T604">_xlfn.TEXTSPLIT(R604, "/", , FALSE)</f>
        <v>theater</v>
      </c>
      <c r="T604" t="str">
        <v>plays</v>
      </c>
    </row>
    <row r="605" spans="1:20" ht="17" x14ac:dyDescent="0.2">
      <c r="A605">
        <v>603</v>
      </c>
      <c r="B605" t="s">
        <v>1343</v>
      </c>
      <c r="C605" s="3" t="s">
        <v>1344</v>
      </c>
      <c r="D605">
        <v>5300</v>
      </c>
      <c r="E605">
        <v>6342</v>
      </c>
      <c r="F605" s="5">
        <f t="shared" si="18"/>
        <v>1.1966037735849056</v>
      </c>
      <c r="G605" t="s">
        <v>8</v>
      </c>
      <c r="H605">
        <v>102</v>
      </c>
      <c r="I605">
        <f t="shared" si="19"/>
        <v>62.176470588235297</v>
      </c>
      <c r="J605" t="s">
        <v>109</v>
      </c>
      <c r="K605" t="s">
        <v>110</v>
      </c>
      <c r="L605" s="4">
        <v>43573.208333333328</v>
      </c>
      <c r="M605" s="4" t="s">
        <v>50</v>
      </c>
      <c r="N605" s="4" t="s">
        <v>121</v>
      </c>
      <c r="O605" s="4">
        <v>43600.208333333328</v>
      </c>
      <c r="P605" t="b">
        <v>0</v>
      </c>
      <c r="Q605" t="b">
        <v>0</v>
      </c>
      <c r="R605" t="s">
        <v>124</v>
      </c>
      <c r="S605" t="str" cm="1">
        <f t="array" ref="S605:T605">_xlfn.TEXTSPLIT(R605, "/", , FALSE)</f>
        <v>theater</v>
      </c>
      <c r="T605" t="str">
        <v>plays</v>
      </c>
    </row>
    <row r="606" spans="1:20" ht="17" x14ac:dyDescent="0.2">
      <c r="A606">
        <v>604</v>
      </c>
      <c r="B606" t="s">
        <v>1345</v>
      </c>
      <c r="C606" s="3" t="s">
        <v>1346</v>
      </c>
      <c r="D606">
        <v>88700</v>
      </c>
      <c r="E606">
        <v>151438</v>
      </c>
      <c r="F606" s="5">
        <f t="shared" si="18"/>
        <v>1.7073055242390078</v>
      </c>
      <c r="G606" t="s">
        <v>8</v>
      </c>
      <c r="H606">
        <v>2857</v>
      </c>
      <c r="I606">
        <f t="shared" si="19"/>
        <v>53.005950297514879</v>
      </c>
      <c r="J606" t="s">
        <v>109</v>
      </c>
      <c r="K606" t="s">
        <v>110</v>
      </c>
      <c r="L606" s="4">
        <v>40565.25</v>
      </c>
      <c r="M606" s="4" t="s">
        <v>47</v>
      </c>
      <c r="N606" s="4" t="s">
        <v>165</v>
      </c>
      <c r="O606" s="4">
        <v>40586.25</v>
      </c>
      <c r="P606" t="b">
        <v>0</v>
      </c>
      <c r="Q606" t="b">
        <v>0</v>
      </c>
      <c r="R606" t="s">
        <v>124</v>
      </c>
      <c r="S606" t="str" cm="1">
        <f t="array" ref="S606:T606">_xlfn.TEXTSPLIT(R606, "/", , FALSE)</f>
        <v>theater</v>
      </c>
      <c r="T606" t="str">
        <v>plays</v>
      </c>
    </row>
    <row r="607" spans="1:20" ht="17" x14ac:dyDescent="0.2">
      <c r="A607">
        <v>605</v>
      </c>
      <c r="B607" t="s">
        <v>1347</v>
      </c>
      <c r="C607" s="3" t="s">
        <v>1348</v>
      </c>
      <c r="D607">
        <v>3300</v>
      </c>
      <c r="E607">
        <v>6178</v>
      </c>
      <c r="F607" s="5">
        <f t="shared" si="18"/>
        <v>1.8721212121212121</v>
      </c>
      <c r="G607" t="s">
        <v>8</v>
      </c>
      <c r="H607">
        <v>107</v>
      </c>
      <c r="I607">
        <f t="shared" si="19"/>
        <v>57.738317757009348</v>
      </c>
      <c r="J607" t="s">
        <v>109</v>
      </c>
      <c r="K607" t="s">
        <v>110</v>
      </c>
      <c r="L607" s="4">
        <v>42280.208333333328</v>
      </c>
      <c r="M607" s="4" t="s">
        <v>56</v>
      </c>
      <c r="N607" s="4" t="s">
        <v>105</v>
      </c>
      <c r="O607" s="4">
        <v>42321.25</v>
      </c>
      <c r="P607" t="b">
        <v>0</v>
      </c>
      <c r="Q607" t="b">
        <v>0</v>
      </c>
      <c r="R607" t="s">
        <v>162</v>
      </c>
      <c r="S607" t="str" cm="1">
        <f t="array" ref="S607:T607">_xlfn.TEXTSPLIT(R607, "/", , FALSE)</f>
        <v>publishing</v>
      </c>
      <c r="T607" t="str">
        <v>nonfiction</v>
      </c>
    </row>
    <row r="608" spans="1:20" ht="17" x14ac:dyDescent="0.2">
      <c r="A608">
        <v>606</v>
      </c>
      <c r="B608" t="s">
        <v>1349</v>
      </c>
      <c r="C608" s="3" t="s">
        <v>1350</v>
      </c>
      <c r="D608">
        <v>3400</v>
      </c>
      <c r="E608">
        <v>6405</v>
      </c>
      <c r="F608" s="5">
        <f t="shared" si="18"/>
        <v>1.8838235294117647</v>
      </c>
      <c r="G608" t="s">
        <v>8</v>
      </c>
      <c r="H608">
        <v>160</v>
      </c>
      <c r="I608">
        <f t="shared" si="19"/>
        <v>40.03125</v>
      </c>
      <c r="J608" t="s">
        <v>132</v>
      </c>
      <c r="K608" t="s">
        <v>133</v>
      </c>
      <c r="L608" s="4">
        <v>42436.25</v>
      </c>
      <c r="M608" s="4" t="s">
        <v>49</v>
      </c>
      <c r="N608" s="4" t="s">
        <v>153</v>
      </c>
      <c r="O608" s="4">
        <v>42447.208333333328</v>
      </c>
      <c r="P608" t="b">
        <v>0</v>
      </c>
      <c r="Q608" t="b">
        <v>0</v>
      </c>
      <c r="R608" t="s">
        <v>112</v>
      </c>
      <c r="S608" t="str" cm="1">
        <f t="array" ref="S608:T608">_xlfn.TEXTSPLIT(R608, "/", , FALSE)</f>
        <v>music</v>
      </c>
      <c r="T608" t="str">
        <v>rock</v>
      </c>
    </row>
    <row r="609" spans="1:20" ht="17" x14ac:dyDescent="0.2">
      <c r="A609">
        <v>607</v>
      </c>
      <c r="B609" t="s">
        <v>1351</v>
      </c>
      <c r="C609" s="3" t="s">
        <v>1352</v>
      </c>
      <c r="D609">
        <v>137600</v>
      </c>
      <c r="E609">
        <v>180667</v>
      </c>
      <c r="F609" s="5">
        <f t="shared" si="18"/>
        <v>1.3129869186046512</v>
      </c>
      <c r="G609" t="s">
        <v>8</v>
      </c>
      <c r="H609">
        <v>2230</v>
      </c>
      <c r="I609">
        <f t="shared" si="19"/>
        <v>81.016591928251117</v>
      </c>
      <c r="J609" t="s">
        <v>109</v>
      </c>
      <c r="K609" t="s">
        <v>110</v>
      </c>
      <c r="L609" s="4">
        <v>41721.208333333336</v>
      </c>
      <c r="M609" s="4" t="s">
        <v>49</v>
      </c>
      <c r="N609" s="4" t="s">
        <v>111</v>
      </c>
      <c r="O609" s="4">
        <v>41723.208333333336</v>
      </c>
      <c r="P609" t="b">
        <v>0</v>
      </c>
      <c r="Q609" t="b">
        <v>0</v>
      </c>
      <c r="R609" t="s">
        <v>106</v>
      </c>
      <c r="S609" t="str" cm="1">
        <f t="array" ref="S609:T609">_xlfn.TEXTSPLIT(R609, "/", , FALSE)</f>
        <v>food</v>
      </c>
      <c r="T609" t="str">
        <v>food trucks</v>
      </c>
    </row>
    <row r="610" spans="1:20" ht="17" x14ac:dyDescent="0.2">
      <c r="A610">
        <v>608</v>
      </c>
      <c r="B610" t="s">
        <v>1353</v>
      </c>
      <c r="C610" s="3" t="s">
        <v>1354</v>
      </c>
      <c r="D610">
        <v>3900</v>
      </c>
      <c r="E610">
        <v>11075</v>
      </c>
      <c r="F610" s="5">
        <f t="shared" si="18"/>
        <v>2.8397435897435899</v>
      </c>
      <c r="G610" t="s">
        <v>8</v>
      </c>
      <c r="H610">
        <v>316</v>
      </c>
      <c r="I610">
        <f t="shared" si="19"/>
        <v>35.047468354430379</v>
      </c>
      <c r="J610" t="s">
        <v>109</v>
      </c>
      <c r="K610" t="s">
        <v>110</v>
      </c>
      <c r="L610" s="4">
        <v>43530.25</v>
      </c>
      <c r="M610" s="4" t="s">
        <v>49</v>
      </c>
      <c r="N610" s="4" t="s">
        <v>121</v>
      </c>
      <c r="O610" s="4">
        <v>43534.25</v>
      </c>
      <c r="P610" t="b">
        <v>0</v>
      </c>
      <c r="Q610" t="b">
        <v>1</v>
      </c>
      <c r="R610" t="s">
        <v>254</v>
      </c>
      <c r="S610" t="str" cm="1">
        <f t="array" ref="S610:T610">_xlfn.TEXTSPLIT(R610, "/", , FALSE)</f>
        <v>music</v>
      </c>
      <c r="T610" t="str">
        <v>jazz</v>
      </c>
    </row>
    <row r="611" spans="1:20" ht="17" x14ac:dyDescent="0.2">
      <c r="A611">
        <v>609</v>
      </c>
      <c r="B611" t="s">
        <v>1355</v>
      </c>
      <c r="C611" s="3" t="s">
        <v>1356</v>
      </c>
      <c r="D611">
        <v>10000</v>
      </c>
      <c r="E611">
        <v>12042</v>
      </c>
      <c r="F611" s="5">
        <f t="shared" si="18"/>
        <v>1.2041999999999999</v>
      </c>
      <c r="G611" t="s">
        <v>8</v>
      </c>
      <c r="H611">
        <v>117</v>
      </c>
      <c r="I611">
        <f t="shared" si="19"/>
        <v>102.92307692307692</v>
      </c>
      <c r="J611" t="s">
        <v>109</v>
      </c>
      <c r="K611" t="s">
        <v>110</v>
      </c>
      <c r="L611" s="4">
        <v>43481.25</v>
      </c>
      <c r="M611" s="4" t="s">
        <v>47</v>
      </c>
      <c r="N611" s="4" t="s">
        <v>121</v>
      </c>
      <c r="O611" s="4">
        <v>43498.25</v>
      </c>
      <c r="P611" t="b">
        <v>0</v>
      </c>
      <c r="Q611" t="b">
        <v>0</v>
      </c>
      <c r="R611" t="s">
        <v>569</v>
      </c>
      <c r="S611" t="str" cm="1">
        <f t="array" ref="S611:T611">_xlfn.TEXTSPLIT(R611, "/", , FALSE)</f>
        <v>film &amp; video</v>
      </c>
      <c r="T611" t="str">
        <v>science fiction</v>
      </c>
    </row>
    <row r="612" spans="1:20" ht="34" x14ac:dyDescent="0.2">
      <c r="A612">
        <v>610</v>
      </c>
      <c r="B612" t="s">
        <v>1357</v>
      </c>
      <c r="C612" s="3" t="s">
        <v>1358</v>
      </c>
      <c r="D612">
        <v>42800</v>
      </c>
      <c r="E612">
        <v>179356</v>
      </c>
      <c r="F612" s="5">
        <f t="shared" si="18"/>
        <v>4.1905607476635511</v>
      </c>
      <c r="G612" t="s">
        <v>8</v>
      </c>
      <c r="H612">
        <v>6406</v>
      </c>
      <c r="I612">
        <f t="shared" si="19"/>
        <v>27.998126756166094</v>
      </c>
      <c r="J612" t="s">
        <v>109</v>
      </c>
      <c r="K612" t="s">
        <v>110</v>
      </c>
      <c r="L612" s="4">
        <v>41259.25</v>
      </c>
      <c r="M612" s="4" t="s">
        <v>58</v>
      </c>
      <c r="N612" s="4" t="s">
        <v>129</v>
      </c>
      <c r="O612" s="4">
        <v>41273.25</v>
      </c>
      <c r="P612" t="b">
        <v>0</v>
      </c>
      <c r="Q612" t="b">
        <v>0</v>
      </c>
      <c r="R612" t="s">
        <v>124</v>
      </c>
      <c r="S612" t="str" cm="1">
        <f t="array" ref="S612:T612">_xlfn.TEXTSPLIT(R612, "/", , FALSE)</f>
        <v>theater</v>
      </c>
      <c r="T612" t="str">
        <v>plays</v>
      </c>
    </row>
    <row r="613" spans="1:20" ht="17" x14ac:dyDescent="0.2">
      <c r="A613">
        <v>611</v>
      </c>
      <c r="B613" t="s">
        <v>1359</v>
      </c>
      <c r="C613" s="3" t="s">
        <v>1360</v>
      </c>
      <c r="D613">
        <v>8200</v>
      </c>
      <c r="E613">
        <v>1136</v>
      </c>
      <c r="F613" s="5">
        <f t="shared" si="18"/>
        <v>0.13853658536585367</v>
      </c>
      <c r="G613" t="s">
        <v>5</v>
      </c>
      <c r="H613">
        <v>15</v>
      </c>
      <c r="I613">
        <f t="shared" si="19"/>
        <v>75.733333333333334</v>
      </c>
      <c r="J613" t="s">
        <v>109</v>
      </c>
      <c r="K613" t="s">
        <v>110</v>
      </c>
      <c r="L613" s="4">
        <v>41480.208333333336</v>
      </c>
      <c r="M613" s="4" t="s">
        <v>53</v>
      </c>
      <c r="N613" s="4" t="s">
        <v>117</v>
      </c>
      <c r="O613" s="4">
        <v>41492.208333333336</v>
      </c>
      <c r="P613" t="b">
        <v>0</v>
      </c>
      <c r="Q613" t="b">
        <v>0</v>
      </c>
      <c r="R613" t="s">
        <v>124</v>
      </c>
      <c r="S613" t="str" cm="1">
        <f t="array" ref="S613:T613">_xlfn.TEXTSPLIT(R613, "/", , FALSE)</f>
        <v>theater</v>
      </c>
      <c r="T613" t="str">
        <v>plays</v>
      </c>
    </row>
    <row r="614" spans="1:20" ht="17" x14ac:dyDescent="0.2">
      <c r="A614">
        <v>612</v>
      </c>
      <c r="B614" t="s">
        <v>1361</v>
      </c>
      <c r="C614" s="3" t="s">
        <v>1362</v>
      </c>
      <c r="D614">
        <v>6200</v>
      </c>
      <c r="E614">
        <v>8645</v>
      </c>
      <c r="F614" s="5">
        <f t="shared" si="18"/>
        <v>1.3943548387096774</v>
      </c>
      <c r="G614" t="s">
        <v>8</v>
      </c>
      <c r="H614">
        <v>192</v>
      </c>
      <c r="I614">
        <f t="shared" si="19"/>
        <v>45.026041666666664</v>
      </c>
      <c r="J614" t="s">
        <v>109</v>
      </c>
      <c r="K614" t="s">
        <v>110</v>
      </c>
      <c r="L614" s="4">
        <v>40474.208333333336</v>
      </c>
      <c r="M614" s="4" t="s">
        <v>56</v>
      </c>
      <c r="N614" s="4" t="s">
        <v>140</v>
      </c>
      <c r="O614" s="4">
        <v>40497.25</v>
      </c>
      <c r="P614" t="b">
        <v>0</v>
      </c>
      <c r="Q614" t="b">
        <v>0</v>
      </c>
      <c r="R614" t="s">
        <v>143</v>
      </c>
      <c r="S614" t="str" cm="1">
        <f t="array" ref="S614:T614">_xlfn.TEXTSPLIT(R614, "/", , FALSE)</f>
        <v>music</v>
      </c>
      <c r="T614" t="str">
        <v>electric music</v>
      </c>
    </row>
    <row r="615" spans="1:20" ht="34" x14ac:dyDescent="0.2">
      <c r="A615">
        <v>613</v>
      </c>
      <c r="B615" t="s">
        <v>1363</v>
      </c>
      <c r="C615" s="3" t="s">
        <v>1364</v>
      </c>
      <c r="D615">
        <v>1100</v>
      </c>
      <c r="E615">
        <v>1914</v>
      </c>
      <c r="F615" s="5">
        <f t="shared" si="18"/>
        <v>1.74</v>
      </c>
      <c r="G615" t="s">
        <v>8</v>
      </c>
      <c r="H615">
        <v>26</v>
      </c>
      <c r="I615">
        <f t="shared" si="19"/>
        <v>73.615384615384613</v>
      </c>
      <c r="J615" t="s">
        <v>103</v>
      </c>
      <c r="K615" t="s">
        <v>104</v>
      </c>
      <c r="L615" s="4">
        <v>42973.208333333328</v>
      </c>
      <c r="M615" s="4" t="s">
        <v>54</v>
      </c>
      <c r="N615" s="4" t="s">
        <v>134</v>
      </c>
      <c r="O615" s="4">
        <v>42982.208333333328</v>
      </c>
      <c r="P615" t="b">
        <v>0</v>
      </c>
      <c r="Q615" t="b">
        <v>0</v>
      </c>
      <c r="R615" t="s">
        <v>124</v>
      </c>
      <c r="S615" t="str" cm="1">
        <f t="array" ref="S615:T615">_xlfn.TEXTSPLIT(R615, "/", , FALSE)</f>
        <v>theater</v>
      </c>
      <c r="T615" t="str">
        <v>plays</v>
      </c>
    </row>
    <row r="616" spans="1:20" ht="34" x14ac:dyDescent="0.2">
      <c r="A616">
        <v>614</v>
      </c>
      <c r="B616" t="s">
        <v>1365</v>
      </c>
      <c r="C616" s="3" t="s">
        <v>1366</v>
      </c>
      <c r="D616">
        <v>26500</v>
      </c>
      <c r="E616">
        <v>41205</v>
      </c>
      <c r="F616" s="5">
        <f t="shared" si="18"/>
        <v>1.5549056603773586</v>
      </c>
      <c r="G616" t="s">
        <v>8</v>
      </c>
      <c r="H616">
        <v>723</v>
      </c>
      <c r="I616">
        <f t="shared" si="19"/>
        <v>56.991701244813278</v>
      </c>
      <c r="J616" t="s">
        <v>109</v>
      </c>
      <c r="K616" t="s">
        <v>110</v>
      </c>
      <c r="L616" s="4">
        <v>42746.25</v>
      </c>
      <c r="M616" s="4" t="s">
        <v>47</v>
      </c>
      <c r="N616" s="4" t="s">
        <v>134</v>
      </c>
      <c r="O616" s="4">
        <v>42764.25</v>
      </c>
      <c r="P616" t="b">
        <v>0</v>
      </c>
      <c r="Q616" t="b">
        <v>0</v>
      </c>
      <c r="R616" t="s">
        <v>124</v>
      </c>
      <c r="S616" t="str" cm="1">
        <f t="array" ref="S616:T616">_xlfn.TEXTSPLIT(R616, "/", , FALSE)</f>
        <v>theater</v>
      </c>
      <c r="T616" t="str">
        <v>plays</v>
      </c>
    </row>
    <row r="617" spans="1:20" ht="17" x14ac:dyDescent="0.2">
      <c r="A617">
        <v>615</v>
      </c>
      <c r="B617" t="s">
        <v>1367</v>
      </c>
      <c r="C617" s="3" t="s">
        <v>1368</v>
      </c>
      <c r="D617">
        <v>8500</v>
      </c>
      <c r="E617">
        <v>14488</v>
      </c>
      <c r="F617" s="5">
        <f t="shared" si="18"/>
        <v>1.7044705882352942</v>
      </c>
      <c r="G617" t="s">
        <v>8</v>
      </c>
      <c r="H617">
        <v>170</v>
      </c>
      <c r="I617">
        <f t="shared" si="19"/>
        <v>85.223529411764702</v>
      </c>
      <c r="J617" t="s">
        <v>202</v>
      </c>
      <c r="K617" t="s">
        <v>203</v>
      </c>
      <c r="L617" s="4">
        <v>42489.208333333328</v>
      </c>
      <c r="M617" s="4" t="s">
        <v>50</v>
      </c>
      <c r="N617" s="4" t="s">
        <v>153</v>
      </c>
      <c r="O617" s="4">
        <v>42499.208333333328</v>
      </c>
      <c r="P617" t="b">
        <v>0</v>
      </c>
      <c r="Q617" t="b">
        <v>0</v>
      </c>
      <c r="R617" t="s">
        <v>124</v>
      </c>
      <c r="S617" t="str" cm="1">
        <f t="array" ref="S617:T617">_xlfn.TEXTSPLIT(R617, "/", , FALSE)</f>
        <v>theater</v>
      </c>
      <c r="T617" t="str">
        <v>plays</v>
      </c>
    </row>
    <row r="618" spans="1:20" ht="17" x14ac:dyDescent="0.2">
      <c r="A618">
        <v>616</v>
      </c>
      <c r="B618" t="s">
        <v>1369</v>
      </c>
      <c r="C618" s="3" t="s">
        <v>1370</v>
      </c>
      <c r="D618">
        <v>6400</v>
      </c>
      <c r="E618">
        <v>12129</v>
      </c>
      <c r="F618" s="5">
        <f t="shared" si="18"/>
        <v>1.8951562500000001</v>
      </c>
      <c r="G618" t="s">
        <v>8</v>
      </c>
      <c r="H618">
        <v>238</v>
      </c>
      <c r="I618">
        <f t="shared" si="19"/>
        <v>50.962184873949582</v>
      </c>
      <c r="J618" t="s">
        <v>132</v>
      </c>
      <c r="K618" t="s">
        <v>133</v>
      </c>
      <c r="L618" s="4">
        <v>41537.208333333336</v>
      </c>
      <c r="M618" s="4" t="s">
        <v>55</v>
      </c>
      <c r="N618" s="4" t="s">
        <v>117</v>
      </c>
      <c r="O618" s="4">
        <v>41538.208333333336</v>
      </c>
      <c r="P618" t="b">
        <v>0</v>
      </c>
      <c r="Q618" t="b">
        <v>1</v>
      </c>
      <c r="R618" t="s">
        <v>154</v>
      </c>
      <c r="S618" t="str" cm="1">
        <f t="array" ref="S618:T618">_xlfn.TEXTSPLIT(R618, "/", , FALSE)</f>
        <v>music</v>
      </c>
      <c r="T618" t="str">
        <v>indie rock</v>
      </c>
    </row>
    <row r="619" spans="1:20" ht="17" x14ac:dyDescent="0.2">
      <c r="A619">
        <v>617</v>
      </c>
      <c r="B619" t="s">
        <v>1371</v>
      </c>
      <c r="C619" s="3" t="s">
        <v>1372</v>
      </c>
      <c r="D619">
        <v>1400</v>
      </c>
      <c r="E619">
        <v>3496</v>
      </c>
      <c r="F619" s="5">
        <f t="shared" si="18"/>
        <v>2.4971428571428573</v>
      </c>
      <c r="G619" t="s">
        <v>8</v>
      </c>
      <c r="H619">
        <v>55</v>
      </c>
      <c r="I619">
        <f t="shared" si="19"/>
        <v>63.563636363636363</v>
      </c>
      <c r="J619" t="s">
        <v>109</v>
      </c>
      <c r="K619" t="s">
        <v>110</v>
      </c>
      <c r="L619" s="4">
        <v>41794.208333333336</v>
      </c>
      <c r="M619" s="4" t="s">
        <v>52</v>
      </c>
      <c r="N619" s="4" t="s">
        <v>111</v>
      </c>
      <c r="O619" s="4">
        <v>41804.208333333336</v>
      </c>
      <c r="P619" t="b">
        <v>0</v>
      </c>
      <c r="Q619" t="b">
        <v>0</v>
      </c>
      <c r="R619" t="s">
        <v>124</v>
      </c>
      <c r="S619" t="str" cm="1">
        <f t="array" ref="S619:T619">_xlfn.TEXTSPLIT(R619, "/", , FALSE)</f>
        <v>theater</v>
      </c>
      <c r="T619" t="str">
        <v>plays</v>
      </c>
    </row>
    <row r="620" spans="1:20" ht="17" x14ac:dyDescent="0.2">
      <c r="A620">
        <v>618</v>
      </c>
      <c r="B620" t="s">
        <v>1373</v>
      </c>
      <c r="C620" s="3" t="s">
        <v>1374</v>
      </c>
      <c r="D620">
        <v>198600</v>
      </c>
      <c r="E620">
        <v>97037</v>
      </c>
      <c r="F620" s="5">
        <f t="shared" si="18"/>
        <v>0.48860523665659616</v>
      </c>
      <c r="G620" t="s">
        <v>6</v>
      </c>
      <c r="H620">
        <v>1198</v>
      </c>
      <c r="I620">
        <f t="shared" si="19"/>
        <v>80.999165275459092</v>
      </c>
      <c r="J620" t="s">
        <v>109</v>
      </c>
      <c r="K620" t="s">
        <v>110</v>
      </c>
      <c r="L620" s="4">
        <v>41396.208333333336</v>
      </c>
      <c r="M620" s="4" t="s">
        <v>51</v>
      </c>
      <c r="N620" s="4" t="s">
        <v>117</v>
      </c>
      <c r="O620" s="4">
        <v>41417.208333333336</v>
      </c>
      <c r="P620" t="b">
        <v>0</v>
      </c>
      <c r="Q620" t="b">
        <v>0</v>
      </c>
      <c r="R620" t="s">
        <v>162</v>
      </c>
      <c r="S620" t="str" cm="1">
        <f t="array" ref="S620:T620">_xlfn.TEXTSPLIT(R620, "/", , FALSE)</f>
        <v>publishing</v>
      </c>
      <c r="T620" t="str">
        <v>nonfiction</v>
      </c>
    </row>
    <row r="621" spans="1:20" ht="17" x14ac:dyDescent="0.2">
      <c r="A621">
        <v>619</v>
      </c>
      <c r="B621" t="s">
        <v>1375</v>
      </c>
      <c r="C621" s="3" t="s">
        <v>1376</v>
      </c>
      <c r="D621">
        <v>195900</v>
      </c>
      <c r="E621">
        <v>55757</v>
      </c>
      <c r="F621" s="5">
        <f t="shared" si="18"/>
        <v>0.28461970393057684</v>
      </c>
      <c r="G621" t="s">
        <v>6</v>
      </c>
      <c r="H621">
        <v>648</v>
      </c>
      <c r="I621">
        <f t="shared" si="19"/>
        <v>86.044753086419746</v>
      </c>
      <c r="J621" t="s">
        <v>109</v>
      </c>
      <c r="K621" t="s">
        <v>110</v>
      </c>
      <c r="L621" s="4">
        <v>40669.208333333336</v>
      </c>
      <c r="M621" s="4" t="s">
        <v>51</v>
      </c>
      <c r="N621" s="4" t="s">
        <v>165</v>
      </c>
      <c r="O621" s="4">
        <v>40670.208333333336</v>
      </c>
      <c r="P621" t="b">
        <v>1</v>
      </c>
      <c r="Q621" t="b">
        <v>1</v>
      </c>
      <c r="R621" t="s">
        <v>124</v>
      </c>
      <c r="S621" t="str" cm="1">
        <f t="array" ref="S621:T621">_xlfn.TEXTSPLIT(R621, "/", , FALSE)</f>
        <v>theater</v>
      </c>
      <c r="T621" t="str">
        <v>plays</v>
      </c>
    </row>
    <row r="622" spans="1:20" ht="17" x14ac:dyDescent="0.2">
      <c r="A622">
        <v>620</v>
      </c>
      <c r="B622" t="s">
        <v>1377</v>
      </c>
      <c r="C622" s="3" t="s">
        <v>1378</v>
      </c>
      <c r="D622">
        <v>4300</v>
      </c>
      <c r="E622">
        <v>11525</v>
      </c>
      <c r="F622" s="5">
        <f t="shared" si="18"/>
        <v>2.6802325581395348</v>
      </c>
      <c r="G622" t="s">
        <v>8</v>
      </c>
      <c r="H622">
        <v>128</v>
      </c>
      <c r="I622">
        <f t="shared" si="19"/>
        <v>90.0390625</v>
      </c>
      <c r="J622" t="s">
        <v>115</v>
      </c>
      <c r="K622" t="s">
        <v>116</v>
      </c>
      <c r="L622" s="4">
        <v>42559.208333333328</v>
      </c>
      <c r="M622" s="4" t="s">
        <v>53</v>
      </c>
      <c r="N622" s="4" t="s">
        <v>153</v>
      </c>
      <c r="O622" s="4">
        <v>42563.208333333328</v>
      </c>
      <c r="P622" t="b">
        <v>0</v>
      </c>
      <c r="Q622" t="b">
        <v>0</v>
      </c>
      <c r="R622" t="s">
        <v>217</v>
      </c>
      <c r="S622" t="str" cm="1">
        <f t="array" ref="S622:T622">_xlfn.TEXTSPLIT(R622, "/", , FALSE)</f>
        <v>photography</v>
      </c>
      <c r="T622" t="str">
        <v>photography books</v>
      </c>
    </row>
    <row r="623" spans="1:20" ht="17" x14ac:dyDescent="0.2">
      <c r="A623">
        <v>621</v>
      </c>
      <c r="B623" t="s">
        <v>1379</v>
      </c>
      <c r="C623" s="3" t="s">
        <v>1380</v>
      </c>
      <c r="D623">
        <v>25600</v>
      </c>
      <c r="E623">
        <v>158669</v>
      </c>
      <c r="F623" s="5">
        <f t="shared" si="18"/>
        <v>6.1980078125000002</v>
      </c>
      <c r="G623" t="s">
        <v>8</v>
      </c>
      <c r="H623">
        <v>2144</v>
      </c>
      <c r="I623">
        <f t="shared" si="19"/>
        <v>74.006063432835816</v>
      </c>
      <c r="J623" t="s">
        <v>109</v>
      </c>
      <c r="K623" t="s">
        <v>110</v>
      </c>
      <c r="L623" s="4">
        <v>42626.208333333328</v>
      </c>
      <c r="M623" s="4" t="s">
        <v>55</v>
      </c>
      <c r="N623" s="4" t="s">
        <v>153</v>
      </c>
      <c r="O623" s="4">
        <v>42631.208333333328</v>
      </c>
      <c r="P623" t="b">
        <v>0</v>
      </c>
      <c r="Q623" t="b">
        <v>0</v>
      </c>
      <c r="R623" t="s">
        <v>124</v>
      </c>
      <c r="S623" t="str" cm="1">
        <f t="array" ref="S623:T623">_xlfn.TEXTSPLIT(R623, "/", , FALSE)</f>
        <v>theater</v>
      </c>
      <c r="T623" t="str">
        <v>plays</v>
      </c>
    </row>
    <row r="624" spans="1:20" ht="17" x14ac:dyDescent="0.2">
      <c r="A624">
        <v>622</v>
      </c>
      <c r="B624" t="s">
        <v>1381</v>
      </c>
      <c r="C624" s="3" t="s">
        <v>1382</v>
      </c>
      <c r="D624">
        <v>189000</v>
      </c>
      <c r="E624">
        <v>5916</v>
      </c>
      <c r="F624" s="5">
        <f t="shared" si="18"/>
        <v>3.1301587301587303E-2</v>
      </c>
      <c r="G624" t="s">
        <v>6</v>
      </c>
      <c r="H624">
        <v>64</v>
      </c>
      <c r="I624">
        <f t="shared" si="19"/>
        <v>92.4375</v>
      </c>
      <c r="J624" t="s">
        <v>109</v>
      </c>
      <c r="K624" t="s">
        <v>110</v>
      </c>
      <c r="L624" s="4">
        <v>43205.208333333328</v>
      </c>
      <c r="M624" s="4" t="s">
        <v>50</v>
      </c>
      <c r="N624" s="4" t="s">
        <v>169</v>
      </c>
      <c r="O624" s="4">
        <v>43231.208333333328</v>
      </c>
      <c r="P624" t="b">
        <v>0</v>
      </c>
      <c r="Q624" t="b">
        <v>0</v>
      </c>
      <c r="R624" t="s">
        <v>154</v>
      </c>
      <c r="S624" t="str" cm="1">
        <f t="array" ref="S624:T624">_xlfn.TEXTSPLIT(R624, "/", , FALSE)</f>
        <v>music</v>
      </c>
      <c r="T624" t="str">
        <v>indie rock</v>
      </c>
    </row>
    <row r="625" spans="1:20" ht="17" x14ac:dyDescent="0.2">
      <c r="A625">
        <v>623</v>
      </c>
      <c r="B625" t="s">
        <v>1383</v>
      </c>
      <c r="C625" s="3" t="s">
        <v>1384</v>
      </c>
      <c r="D625">
        <v>94300</v>
      </c>
      <c r="E625">
        <v>150806</v>
      </c>
      <c r="F625" s="5">
        <f t="shared" si="18"/>
        <v>1.5992152704135738</v>
      </c>
      <c r="G625" t="s">
        <v>8</v>
      </c>
      <c r="H625">
        <v>2693</v>
      </c>
      <c r="I625">
        <f t="shared" si="19"/>
        <v>55.999257333828446</v>
      </c>
      <c r="J625" t="s">
        <v>132</v>
      </c>
      <c r="K625" t="s">
        <v>133</v>
      </c>
      <c r="L625" s="4">
        <v>42201.208333333328</v>
      </c>
      <c r="M625" s="4" t="s">
        <v>53</v>
      </c>
      <c r="N625" s="4" t="s">
        <v>105</v>
      </c>
      <c r="O625" s="4">
        <v>42206.208333333328</v>
      </c>
      <c r="P625" t="b">
        <v>0</v>
      </c>
      <c r="Q625" t="b">
        <v>0</v>
      </c>
      <c r="R625" t="s">
        <v>124</v>
      </c>
      <c r="S625" t="str" cm="1">
        <f t="array" ref="S625:T625">_xlfn.TEXTSPLIT(R625, "/", , FALSE)</f>
        <v>theater</v>
      </c>
      <c r="T625" t="str">
        <v>plays</v>
      </c>
    </row>
    <row r="626" spans="1:20" ht="17" x14ac:dyDescent="0.2">
      <c r="A626">
        <v>624</v>
      </c>
      <c r="B626" t="s">
        <v>1385</v>
      </c>
      <c r="C626" s="3" t="s">
        <v>1386</v>
      </c>
      <c r="D626">
        <v>5100</v>
      </c>
      <c r="E626">
        <v>14249</v>
      </c>
      <c r="F626" s="5">
        <f t="shared" si="18"/>
        <v>2.793921568627451</v>
      </c>
      <c r="G626" t="s">
        <v>8</v>
      </c>
      <c r="H626">
        <v>432</v>
      </c>
      <c r="I626">
        <f t="shared" si="19"/>
        <v>32.983796296296298</v>
      </c>
      <c r="J626" t="s">
        <v>109</v>
      </c>
      <c r="K626" t="s">
        <v>110</v>
      </c>
      <c r="L626" s="4">
        <v>42029.25</v>
      </c>
      <c r="M626" s="4" t="s">
        <v>47</v>
      </c>
      <c r="N626" s="4" t="s">
        <v>105</v>
      </c>
      <c r="O626" s="4">
        <v>42035.25</v>
      </c>
      <c r="P626" t="b">
        <v>0</v>
      </c>
      <c r="Q626" t="b">
        <v>0</v>
      </c>
      <c r="R626" t="s">
        <v>217</v>
      </c>
      <c r="S626" t="str" cm="1">
        <f t="array" ref="S626:T626">_xlfn.TEXTSPLIT(R626, "/", , FALSE)</f>
        <v>photography</v>
      </c>
      <c r="T626" t="str">
        <v>photography books</v>
      </c>
    </row>
    <row r="627" spans="1:20" ht="34" x14ac:dyDescent="0.2">
      <c r="A627">
        <v>625</v>
      </c>
      <c r="B627" t="s">
        <v>1387</v>
      </c>
      <c r="C627" s="3" t="s">
        <v>1388</v>
      </c>
      <c r="D627">
        <v>7500</v>
      </c>
      <c r="E627">
        <v>5803</v>
      </c>
      <c r="F627" s="5">
        <f t="shared" si="18"/>
        <v>0.77373333333333338</v>
      </c>
      <c r="G627" t="s">
        <v>6</v>
      </c>
      <c r="H627">
        <v>62</v>
      </c>
      <c r="I627">
        <f t="shared" si="19"/>
        <v>93.596774193548384</v>
      </c>
      <c r="J627" t="s">
        <v>109</v>
      </c>
      <c r="K627" t="s">
        <v>110</v>
      </c>
      <c r="L627" s="4">
        <v>43857.25</v>
      </c>
      <c r="M627" s="4" t="s">
        <v>47</v>
      </c>
      <c r="N627" s="4" t="s">
        <v>1389</v>
      </c>
      <c r="O627" s="4">
        <v>43871.25</v>
      </c>
      <c r="P627" t="b">
        <v>0</v>
      </c>
      <c r="Q627" t="b">
        <v>0</v>
      </c>
      <c r="R627" t="s">
        <v>124</v>
      </c>
      <c r="S627" t="str" cm="1">
        <f t="array" ref="S627:T627">_xlfn.TEXTSPLIT(R627, "/", , FALSE)</f>
        <v>theater</v>
      </c>
      <c r="T627" t="str">
        <v>plays</v>
      </c>
    </row>
    <row r="628" spans="1:20" ht="34" x14ac:dyDescent="0.2">
      <c r="A628">
        <v>626</v>
      </c>
      <c r="B628" t="s">
        <v>1390</v>
      </c>
      <c r="C628" s="3" t="s">
        <v>1391</v>
      </c>
      <c r="D628">
        <v>6400</v>
      </c>
      <c r="E628">
        <v>13205</v>
      </c>
      <c r="F628" s="5">
        <f t="shared" si="18"/>
        <v>2.0632812500000002</v>
      </c>
      <c r="G628" t="s">
        <v>8</v>
      </c>
      <c r="H628">
        <v>189</v>
      </c>
      <c r="I628">
        <f t="shared" si="19"/>
        <v>69.867724867724874</v>
      </c>
      <c r="J628" t="s">
        <v>109</v>
      </c>
      <c r="K628" t="s">
        <v>110</v>
      </c>
      <c r="L628" s="4">
        <v>40449.208333333336</v>
      </c>
      <c r="M628" s="4" t="s">
        <v>55</v>
      </c>
      <c r="N628" s="4" t="s">
        <v>140</v>
      </c>
      <c r="O628" s="4">
        <v>40458.208333333336</v>
      </c>
      <c r="P628" t="b">
        <v>0</v>
      </c>
      <c r="Q628" t="b">
        <v>1</v>
      </c>
      <c r="R628" t="s">
        <v>124</v>
      </c>
      <c r="S628" t="str" cm="1">
        <f t="array" ref="S628:T628">_xlfn.TEXTSPLIT(R628, "/", , FALSE)</f>
        <v>theater</v>
      </c>
      <c r="T628" t="str">
        <v>plays</v>
      </c>
    </row>
    <row r="629" spans="1:20" ht="17" x14ac:dyDescent="0.2">
      <c r="A629">
        <v>627</v>
      </c>
      <c r="B629" t="s">
        <v>1392</v>
      </c>
      <c r="C629" s="3" t="s">
        <v>1393</v>
      </c>
      <c r="D629">
        <v>1600</v>
      </c>
      <c r="E629">
        <v>11108</v>
      </c>
      <c r="F629" s="5">
        <f t="shared" si="18"/>
        <v>6.9424999999999999</v>
      </c>
      <c r="G629" t="s">
        <v>8</v>
      </c>
      <c r="H629">
        <v>154</v>
      </c>
      <c r="I629">
        <f t="shared" si="19"/>
        <v>72.129870129870127</v>
      </c>
      <c r="J629" t="s">
        <v>132</v>
      </c>
      <c r="K629" t="s">
        <v>133</v>
      </c>
      <c r="L629" s="4">
        <v>40345.208333333336</v>
      </c>
      <c r="M629" s="4" t="s">
        <v>52</v>
      </c>
      <c r="N629" s="4" t="s">
        <v>140</v>
      </c>
      <c r="O629" s="4">
        <v>40369.208333333336</v>
      </c>
      <c r="P629" t="b">
        <v>1</v>
      </c>
      <c r="Q629" t="b">
        <v>0</v>
      </c>
      <c r="R629" t="s">
        <v>106</v>
      </c>
      <c r="S629" t="str" cm="1">
        <f t="array" ref="S629:T629">_xlfn.TEXTSPLIT(R629, "/", , FALSE)</f>
        <v>food</v>
      </c>
      <c r="T629" t="str">
        <v>food trucks</v>
      </c>
    </row>
    <row r="630" spans="1:20" ht="17" x14ac:dyDescent="0.2">
      <c r="A630">
        <v>628</v>
      </c>
      <c r="B630" t="s">
        <v>1394</v>
      </c>
      <c r="C630" s="3" t="s">
        <v>1395</v>
      </c>
      <c r="D630">
        <v>1900</v>
      </c>
      <c r="E630">
        <v>2884</v>
      </c>
      <c r="F630" s="5">
        <f t="shared" si="18"/>
        <v>1.5178947368421052</v>
      </c>
      <c r="G630" t="s">
        <v>8</v>
      </c>
      <c r="H630">
        <v>96</v>
      </c>
      <c r="I630">
        <f t="shared" si="19"/>
        <v>30.041666666666668</v>
      </c>
      <c r="J630" t="s">
        <v>109</v>
      </c>
      <c r="K630" t="s">
        <v>110</v>
      </c>
      <c r="L630" s="4">
        <v>40455.208333333336</v>
      </c>
      <c r="M630" s="4" t="s">
        <v>56</v>
      </c>
      <c r="N630" s="4" t="s">
        <v>140</v>
      </c>
      <c r="O630" s="4">
        <v>40458.208333333336</v>
      </c>
      <c r="P630" t="b">
        <v>0</v>
      </c>
      <c r="Q630" t="b">
        <v>0</v>
      </c>
      <c r="R630" t="s">
        <v>154</v>
      </c>
      <c r="S630" t="str" cm="1">
        <f t="array" ref="S630:T630">_xlfn.TEXTSPLIT(R630, "/", , FALSE)</f>
        <v>music</v>
      </c>
      <c r="T630" t="str">
        <v>indie rock</v>
      </c>
    </row>
    <row r="631" spans="1:20" ht="17" x14ac:dyDescent="0.2">
      <c r="A631">
        <v>629</v>
      </c>
      <c r="B631" t="s">
        <v>1396</v>
      </c>
      <c r="C631" s="3" t="s">
        <v>1397</v>
      </c>
      <c r="D631">
        <v>85900</v>
      </c>
      <c r="E631">
        <v>55476</v>
      </c>
      <c r="F631" s="5">
        <f t="shared" si="18"/>
        <v>0.64582072176949945</v>
      </c>
      <c r="G631" t="s">
        <v>6</v>
      </c>
      <c r="H631">
        <v>750</v>
      </c>
      <c r="I631">
        <f t="shared" si="19"/>
        <v>73.968000000000004</v>
      </c>
      <c r="J631" t="s">
        <v>109</v>
      </c>
      <c r="K631" t="s">
        <v>110</v>
      </c>
      <c r="L631" s="4">
        <v>42557.208333333328</v>
      </c>
      <c r="M631" s="4" t="s">
        <v>53</v>
      </c>
      <c r="N631" s="4" t="s">
        <v>153</v>
      </c>
      <c r="O631" s="4">
        <v>42559.208333333328</v>
      </c>
      <c r="P631" t="b">
        <v>0</v>
      </c>
      <c r="Q631" t="b">
        <v>1</v>
      </c>
      <c r="R631" t="s">
        <v>124</v>
      </c>
      <c r="S631" t="str" cm="1">
        <f t="array" ref="S631:T631">_xlfn.TEXTSPLIT(R631, "/", , FALSE)</f>
        <v>theater</v>
      </c>
      <c r="T631" t="str">
        <v>plays</v>
      </c>
    </row>
    <row r="632" spans="1:20" ht="17" x14ac:dyDescent="0.2">
      <c r="A632">
        <v>630</v>
      </c>
      <c r="B632" t="s">
        <v>1398</v>
      </c>
      <c r="C632" s="3" t="s">
        <v>1399</v>
      </c>
      <c r="D632">
        <v>9500</v>
      </c>
      <c r="E632">
        <v>5973</v>
      </c>
      <c r="F632" s="5">
        <f t="shared" si="18"/>
        <v>0.62873684210526315</v>
      </c>
      <c r="G632" t="s">
        <v>5</v>
      </c>
      <c r="H632">
        <v>87</v>
      </c>
      <c r="I632">
        <f t="shared" si="19"/>
        <v>68.65517241379311</v>
      </c>
      <c r="J632" t="s">
        <v>109</v>
      </c>
      <c r="K632" t="s">
        <v>110</v>
      </c>
      <c r="L632" s="4">
        <v>43586.208333333328</v>
      </c>
      <c r="M632" s="4" t="s">
        <v>51</v>
      </c>
      <c r="N632" s="4" t="s">
        <v>121</v>
      </c>
      <c r="O632" s="4">
        <v>43597.208333333328</v>
      </c>
      <c r="P632" t="b">
        <v>0</v>
      </c>
      <c r="Q632" t="b">
        <v>1</v>
      </c>
      <c r="R632" t="s">
        <v>124</v>
      </c>
      <c r="S632" t="str" cm="1">
        <f t="array" ref="S632:T632">_xlfn.TEXTSPLIT(R632, "/", , FALSE)</f>
        <v>theater</v>
      </c>
      <c r="T632" t="str">
        <v>plays</v>
      </c>
    </row>
    <row r="633" spans="1:20" ht="17" x14ac:dyDescent="0.2">
      <c r="A633">
        <v>631</v>
      </c>
      <c r="B633" t="s">
        <v>1400</v>
      </c>
      <c r="C633" s="3" t="s">
        <v>1401</v>
      </c>
      <c r="D633">
        <v>59200</v>
      </c>
      <c r="E633">
        <v>183756</v>
      </c>
      <c r="F633" s="5">
        <f t="shared" si="18"/>
        <v>3.1039864864864866</v>
      </c>
      <c r="G633" t="s">
        <v>8</v>
      </c>
      <c r="H633">
        <v>3063</v>
      </c>
      <c r="I633">
        <f t="shared" si="19"/>
        <v>59.992164544564154</v>
      </c>
      <c r="J633" t="s">
        <v>109</v>
      </c>
      <c r="K633" t="s">
        <v>110</v>
      </c>
      <c r="L633" s="4">
        <v>43550.208333333328</v>
      </c>
      <c r="M633" s="4" t="s">
        <v>49</v>
      </c>
      <c r="N633" s="4" t="s">
        <v>121</v>
      </c>
      <c r="O633" s="4">
        <v>43554.208333333328</v>
      </c>
      <c r="P633" t="b">
        <v>0</v>
      </c>
      <c r="Q633" t="b">
        <v>0</v>
      </c>
      <c r="R633" t="s">
        <v>124</v>
      </c>
      <c r="S633" t="str" cm="1">
        <f t="array" ref="S633:T633">_xlfn.TEXTSPLIT(R633, "/", , FALSE)</f>
        <v>theater</v>
      </c>
      <c r="T633" t="str">
        <v>plays</v>
      </c>
    </row>
    <row r="634" spans="1:20" ht="17" x14ac:dyDescent="0.2">
      <c r="A634">
        <v>632</v>
      </c>
      <c r="B634" t="s">
        <v>1402</v>
      </c>
      <c r="C634" s="3" t="s">
        <v>1403</v>
      </c>
      <c r="D634">
        <v>72100</v>
      </c>
      <c r="E634">
        <v>30902</v>
      </c>
      <c r="F634" s="5">
        <f t="shared" si="18"/>
        <v>0.42859916782246882</v>
      </c>
      <c r="G634" t="s">
        <v>7</v>
      </c>
      <c r="H634">
        <v>278</v>
      </c>
      <c r="I634">
        <f t="shared" si="19"/>
        <v>111.15827338129496</v>
      </c>
      <c r="J634" t="s">
        <v>109</v>
      </c>
      <c r="K634" t="s">
        <v>110</v>
      </c>
      <c r="L634" s="4">
        <v>41945.208333333336</v>
      </c>
      <c r="M634" s="4" t="s">
        <v>57</v>
      </c>
      <c r="N634" s="4" t="s">
        <v>111</v>
      </c>
      <c r="O634" s="4">
        <v>41963.25</v>
      </c>
      <c r="P634" t="b">
        <v>0</v>
      </c>
      <c r="Q634" t="b">
        <v>0</v>
      </c>
      <c r="R634" t="s">
        <v>124</v>
      </c>
      <c r="S634" t="str" cm="1">
        <f t="array" ref="S634:T634">_xlfn.TEXTSPLIT(R634, "/", , FALSE)</f>
        <v>theater</v>
      </c>
      <c r="T634" t="str">
        <v>plays</v>
      </c>
    </row>
    <row r="635" spans="1:20" ht="34" x14ac:dyDescent="0.2">
      <c r="A635">
        <v>633</v>
      </c>
      <c r="B635" t="s">
        <v>1404</v>
      </c>
      <c r="C635" s="3" t="s">
        <v>1405</v>
      </c>
      <c r="D635">
        <v>6700</v>
      </c>
      <c r="E635">
        <v>5569</v>
      </c>
      <c r="F635" s="5">
        <f t="shared" si="18"/>
        <v>0.83119402985074631</v>
      </c>
      <c r="G635" t="s">
        <v>6</v>
      </c>
      <c r="H635">
        <v>105</v>
      </c>
      <c r="I635">
        <f t="shared" si="19"/>
        <v>53.038095238095238</v>
      </c>
      <c r="J635" t="s">
        <v>109</v>
      </c>
      <c r="K635" t="s">
        <v>110</v>
      </c>
      <c r="L635" s="4">
        <v>42315.25</v>
      </c>
      <c r="M635" s="4" t="s">
        <v>57</v>
      </c>
      <c r="N635" s="4" t="s">
        <v>105</v>
      </c>
      <c r="O635" s="4">
        <v>42319.25</v>
      </c>
      <c r="P635" t="b">
        <v>0</v>
      </c>
      <c r="Q635" t="b">
        <v>0</v>
      </c>
      <c r="R635" t="s">
        <v>166</v>
      </c>
      <c r="S635" t="str" cm="1">
        <f t="array" ref="S635:T635">_xlfn.TEXTSPLIT(R635, "/", , FALSE)</f>
        <v>film &amp; video</v>
      </c>
      <c r="T635" t="str">
        <v>animation</v>
      </c>
    </row>
    <row r="636" spans="1:20" ht="17" x14ac:dyDescent="0.2">
      <c r="A636">
        <v>634</v>
      </c>
      <c r="B636" t="s">
        <v>1406</v>
      </c>
      <c r="C636" s="3" t="s">
        <v>1407</v>
      </c>
      <c r="D636">
        <v>118200</v>
      </c>
      <c r="E636">
        <v>92824</v>
      </c>
      <c r="F636" s="5">
        <f t="shared" si="18"/>
        <v>0.78531302876480547</v>
      </c>
      <c r="G636" t="s">
        <v>5</v>
      </c>
      <c r="H636">
        <v>1658</v>
      </c>
      <c r="I636">
        <f t="shared" si="19"/>
        <v>55.985524728588658</v>
      </c>
      <c r="J636" t="s">
        <v>109</v>
      </c>
      <c r="K636" t="s">
        <v>110</v>
      </c>
      <c r="L636" s="4">
        <v>42819.208333333328</v>
      </c>
      <c r="M636" s="4" t="s">
        <v>49</v>
      </c>
      <c r="N636" s="4" t="s">
        <v>134</v>
      </c>
      <c r="O636" s="4">
        <v>42833.208333333328</v>
      </c>
      <c r="P636" t="b">
        <v>0</v>
      </c>
      <c r="Q636" t="b">
        <v>0</v>
      </c>
      <c r="R636" t="s">
        <v>364</v>
      </c>
      <c r="S636" t="str" cm="1">
        <f t="array" ref="S636:T636">_xlfn.TEXTSPLIT(R636, "/", , FALSE)</f>
        <v>film &amp; video</v>
      </c>
      <c r="T636" t="str">
        <v>television</v>
      </c>
    </row>
    <row r="637" spans="1:20" ht="17" x14ac:dyDescent="0.2">
      <c r="A637">
        <v>635</v>
      </c>
      <c r="B637" t="s">
        <v>1408</v>
      </c>
      <c r="C637" s="3" t="s">
        <v>1409</v>
      </c>
      <c r="D637">
        <v>139000</v>
      </c>
      <c r="E637">
        <v>158590</v>
      </c>
      <c r="F637" s="5">
        <f t="shared" si="18"/>
        <v>1.1409352517985611</v>
      </c>
      <c r="G637" t="s">
        <v>8</v>
      </c>
      <c r="H637">
        <v>2266</v>
      </c>
      <c r="I637">
        <f t="shared" si="19"/>
        <v>69.986760812003524</v>
      </c>
      <c r="J637" t="s">
        <v>109</v>
      </c>
      <c r="K637" t="s">
        <v>110</v>
      </c>
      <c r="L637" s="4">
        <v>41314.25</v>
      </c>
      <c r="M637" s="4" t="s">
        <v>48</v>
      </c>
      <c r="N637" s="4" t="s">
        <v>117</v>
      </c>
      <c r="O637" s="4">
        <v>41346.208333333336</v>
      </c>
      <c r="P637" t="b">
        <v>0</v>
      </c>
      <c r="Q637" t="b">
        <v>0</v>
      </c>
      <c r="R637" t="s">
        <v>364</v>
      </c>
      <c r="S637" t="str" cm="1">
        <f t="array" ref="S637:T637">_xlfn.TEXTSPLIT(R637, "/", , FALSE)</f>
        <v>film &amp; video</v>
      </c>
      <c r="T637" t="str">
        <v>television</v>
      </c>
    </row>
    <row r="638" spans="1:20" ht="17" x14ac:dyDescent="0.2">
      <c r="A638">
        <v>636</v>
      </c>
      <c r="B638" t="s">
        <v>1410</v>
      </c>
      <c r="C638" s="3" t="s">
        <v>1411</v>
      </c>
      <c r="D638">
        <v>197700</v>
      </c>
      <c r="E638">
        <v>127591</v>
      </c>
      <c r="F638" s="5">
        <f t="shared" si="18"/>
        <v>0.64537683358624176</v>
      </c>
      <c r="G638" t="s">
        <v>6</v>
      </c>
      <c r="H638">
        <v>2604</v>
      </c>
      <c r="I638">
        <f t="shared" si="19"/>
        <v>48.998079877112133</v>
      </c>
      <c r="J638" t="s">
        <v>127</v>
      </c>
      <c r="K638" t="s">
        <v>128</v>
      </c>
      <c r="L638" s="4">
        <v>40926.25</v>
      </c>
      <c r="M638" s="4" t="s">
        <v>47</v>
      </c>
      <c r="N638" s="4" t="s">
        <v>129</v>
      </c>
      <c r="O638" s="4">
        <v>40971.25</v>
      </c>
      <c r="P638" t="b">
        <v>0</v>
      </c>
      <c r="Q638" t="b">
        <v>1</v>
      </c>
      <c r="R638" t="s">
        <v>166</v>
      </c>
      <c r="S638" t="str" cm="1">
        <f t="array" ref="S638:T638">_xlfn.TEXTSPLIT(R638, "/", , FALSE)</f>
        <v>film &amp; video</v>
      </c>
      <c r="T638" t="str">
        <v>animation</v>
      </c>
    </row>
    <row r="639" spans="1:20" ht="17" x14ac:dyDescent="0.2">
      <c r="A639">
        <v>637</v>
      </c>
      <c r="B639" t="s">
        <v>1412</v>
      </c>
      <c r="C639" s="3" t="s">
        <v>1413</v>
      </c>
      <c r="D639">
        <v>8500</v>
      </c>
      <c r="E639">
        <v>6750</v>
      </c>
      <c r="F639" s="5">
        <f t="shared" si="18"/>
        <v>0.79411764705882348</v>
      </c>
      <c r="G639" t="s">
        <v>6</v>
      </c>
      <c r="H639">
        <v>65</v>
      </c>
      <c r="I639">
        <f t="shared" si="19"/>
        <v>103.84615384615384</v>
      </c>
      <c r="J639" t="s">
        <v>109</v>
      </c>
      <c r="K639" t="s">
        <v>110</v>
      </c>
      <c r="L639" s="4">
        <v>42688.25</v>
      </c>
      <c r="M639" s="4" t="s">
        <v>57</v>
      </c>
      <c r="N639" s="4" t="s">
        <v>153</v>
      </c>
      <c r="O639" s="4">
        <v>42696.25</v>
      </c>
      <c r="P639" t="b">
        <v>0</v>
      </c>
      <c r="Q639" t="b">
        <v>0</v>
      </c>
      <c r="R639" t="s">
        <v>124</v>
      </c>
      <c r="S639" t="str" cm="1">
        <f t="array" ref="S639:T639">_xlfn.TEXTSPLIT(R639, "/", , FALSE)</f>
        <v>theater</v>
      </c>
      <c r="T639" t="str">
        <v>plays</v>
      </c>
    </row>
    <row r="640" spans="1:20" ht="17" x14ac:dyDescent="0.2">
      <c r="A640">
        <v>638</v>
      </c>
      <c r="B640" t="s">
        <v>1414</v>
      </c>
      <c r="C640" s="3" t="s">
        <v>1415</v>
      </c>
      <c r="D640">
        <v>81600</v>
      </c>
      <c r="E640">
        <v>9318</v>
      </c>
      <c r="F640" s="5">
        <f t="shared" si="18"/>
        <v>0.11419117647058824</v>
      </c>
      <c r="G640" t="s">
        <v>6</v>
      </c>
      <c r="H640">
        <v>94</v>
      </c>
      <c r="I640">
        <f t="shared" si="19"/>
        <v>99.127659574468083</v>
      </c>
      <c r="J640" t="s">
        <v>109</v>
      </c>
      <c r="K640" t="s">
        <v>110</v>
      </c>
      <c r="L640" s="4">
        <v>40386.208333333336</v>
      </c>
      <c r="M640" s="4" t="s">
        <v>53</v>
      </c>
      <c r="N640" s="4" t="s">
        <v>140</v>
      </c>
      <c r="O640" s="4">
        <v>40398.208333333336</v>
      </c>
      <c r="P640" t="b">
        <v>0</v>
      </c>
      <c r="Q640" t="b">
        <v>1</v>
      </c>
      <c r="R640" t="s">
        <v>124</v>
      </c>
      <c r="S640" t="str" cm="1">
        <f t="array" ref="S640:T640">_xlfn.TEXTSPLIT(R640, "/", , FALSE)</f>
        <v>theater</v>
      </c>
      <c r="T640" t="str">
        <v>plays</v>
      </c>
    </row>
    <row r="641" spans="1:20" ht="17" x14ac:dyDescent="0.2">
      <c r="A641">
        <v>639</v>
      </c>
      <c r="B641" t="s">
        <v>1416</v>
      </c>
      <c r="C641" s="3" t="s">
        <v>1417</v>
      </c>
      <c r="D641">
        <v>8600</v>
      </c>
      <c r="E641">
        <v>4832</v>
      </c>
      <c r="F641" s="5">
        <f t="shared" si="18"/>
        <v>0.56186046511627907</v>
      </c>
      <c r="G641" t="s">
        <v>7</v>
      </c>
      <c r="H641">
        <v>45</v>
      </c>
      <c r="I641">
        <f t="shared" si="19"/>
        <v>107.37777777777778</v>
      </c>
      <c r="J641" t="s">
        <v>109</v>
      </c>
      <c r="K641" t="s">
        <v>110</v>
      </c>
      <c r="L641" s="4">
        <v>43309.208333333328</v>
      </c>
      <c r="M641" s="4" t="s">
        <v>53</v>
      </c>
      <c r="N641" s="4" t="s">
        <v>169</v>
      </c>
      <c r="O641" s="4">
        <v>43309.208333333328</v>
      </c>
      <c r="P641" t="b">
        <v>0</v>
      </c>
      <c r="Q641" t="b">
        <v>1</v>
      </c>
      <c r="R641" t="s">
        <v>146</v>
      </c>
      <c r="S641" t="str" cm="1">
        <f t="array" ref="S641:T641">_xlfn.TEXTSPLIT(R641, "/", , FALSE)</f>
        <v>film &amp; video</v>
      </c>
      <c r="T641" t="str">
        <v>drama</v>
      </c>
    </row>
    <row r="642" spans="1:20" ht="17" x14ac:dyDescent="0.2">
      <c r="A642">
        <v>640</v>
      </c>
      <c r="B642" t="s">
        <v>1418</v>
      </c>
      <c r="C642" s="3" t="s">
        <v>1419</v>
      </c>
      <c r="D642">
        <v>119800</v>
      </c>
      <c r="E642">
        <v>19769</v>
      </c>
      <c r="F642" s="5">
        <f t="shared" si="18"/>
        <v>0.16501669449081802</v>
      </c>
      <c r="G642" t="s">
        <v>6</v>
      </c>
      <c r="H642">
        <v>257</v>
      </c>
      <c r="I642">
        <f t="shared" si="19"/>
        <v>76.922178988326849</v>
      </c>
      <c r="J642" t="s">
        <v>109</v>
      </c>
      <c r="K642" t="s">
        <v>110</v>
      </c>
      <c r="L642" s="4">
        <v>42387.25</v>
      </c>
      <c r="M642" s="4" t="s">
        <v>47</v>
      </c>
      <c r="N642" s="4" t="s">
        <v>153</v>
      </c>
      <c r="O642" s="4">
        <v>42390.25</v>
      </c>
      <c r="P642" t="b">
        <v>0</v>
      </c>
      <c r="Q642" t="b">
        <v>0</v>
      </c>
      <c r="R642" t="s">
        <v>124</v>
      </c>
      <c r="S642" t="str" cm="1">
        <f t="array" ref="S642:T642">_xlfn.TEXTSPLIT(R642, "/", , FALSE)</f>
        <v>theater</v>
      </c>
      <c r="T642" t="str">
        <v>plays</v>
      </c>
    </row>
    <row r="643" spans="1:20" ht="34" x14ac:dyDescent="0.2">
      <c r="A643">
        <v>641</v>
      </c>
      <c r="B643" t="s">
        <v>1420</v>
      </c>
      <c r="C643" s="3" t="s">
        <v>1421</v>
      </c>
      <c r="D643">
        <v>9400</v>
      </c>
      <c r="E643">
        <v>11277</v>
      </c>
      <c r="F643" s="5">
        <f t="shared" ref="F643:F706" si="20">E643/D643</f>
        <v>1.1996808510638297</v>
      </c>
      <c r="G643" t="s">
        <v>8</v>
      </c>
      <c r="H643">
        <v>194</v>
      </c>
      <c r="I643">
        <f t="shared" ref="I643:I706" si="21">E643/H643</f>
        <v>58.128865979381445</v>
      </c>
      <c r="J643" t="s">
        <v>193</v>
      </c>
      <c r="K643" t="s">
        <v>194</v>
      </c>
      <c r="L643" s="4">
        <v>42786.25</v>
      </c>
      <c r="M643" s="4" t="s">
        <v>48</v>
      </c>
      <c r="N643" s="4" t="s">
        <v>134</v>
      </c>
      <c r="O643" s="4">
        <v>42814.208333333328</v>
      </c>
      <c r="P643" t="b">
        <v>0</v>
      </c>
      <c r="Q643" t="b">
        <v>0</v>
      </c>
      <c r="R643" t="s">
        <v>124</v>
      </c>
      <c r="S643" t="str" cm="1">
        <f t="array" ref="S643:T643">_xlfn.TEXTSPLIT(R643, "/", , FALSE)</f>
        <v>theater</v>
      </c>
      <c r="T643" t="str">
        <v>plays</v>
      </c>
    </row>
    <row r="644" spans="1:20" ht="17" x14ac:dyDescent="0.2">
      <c r="A644">
        <v>642</v>
      </c>
      <c r="B644" t="s">
        <v>1422</v>
      </c>
      <c r="C644" s="3" t="s">
        <v>1423</v>
      </c>
      <c r="D644">
        <v>9200</v>
      </c>
      <c r="E644">
        <v>13382</v>
      </c>
      <c r="F644" s="5">
        <f t="shared" si="20"/>
        <v>1.4545652173913044</v>
      </c>
      <c r="G644" t="s">
        <v>8</v>
      </c>
      <c r="H644">
        <v>129</v>
      </c>
      <c r="I644">
        <f t="shared" si="21"/>
        <v>103.73643410852713</v>
      </c>
      <c r="J644" t="s">
        <v>103</v>
      </c>
      <c r="K644" t="s">
        <v>104</v>
      </c>
      <c r="L644" s="4">
        <v>43451.25</v>
      </c>
      <c r="M644" s="4" t="s">
        <v>58</v>
      </c>
      <c r="N644" s="4" t="s">
        <v>169</v>
      </c>
      <c r="O644" s="4">
        <v>43460.25</v>
      </c>
      <c r="P644" t="b">
        <v>0</v>
      </c>
      <c r="Q644" t="b">
        <v>0</v>
      </c>
      <c r="R644" t="s">
        <v>159</v>
      </c>
      <c r="S644" t="str" cm="1">
        <f t="array" ref="S644:T644">_xlfn.TEXTSPLIT(R644, "/", , FALSE)</f>
        <v>technology</v>
      </c>
      <c r="T644" t="str">
        <v>wearables</v>
      </c>
    </row>
    <row r="645" spans="1:20" ht="17" x14ac:dyDescent="0.2">
      <c r="A645">
        <v>643</v>
      </c>
      <c r="B645" t="s">
        <v>1424</v>
      </c>
      <c r="C645" s="3" t="s">
        <v>1425</v>
      </c>
      <c r="D645">
        <v>14900</v>
      </c>
      <c r="E645">
        <v>32986</v>
      </c>
      <c r="F645" s="5">
        <f t="shared" si="20"/>
        <v>2.2138255033557046</v>
      </c>
      <c r="G645" t="s">
        <v>8</v>
      </c>
      <c r="H645">
        <v>375</v>
      </c>
      <c r="I645">
        <f t="shared" si="21"/>
        <v>87.962666666666664</v>
      </c>
      <c r="J645" t="s">
        <v>109</v>
      </c>
      <c r="K645" t="s">
        <v>110</v>
      </c>
      <c r="L645" s="4">
        <v>42795.25</v>
      </c>
      <c r="M645" s="4" t="s">
        <v>49</v>
      </c>
      <c r="N645" s="4" t="s">
        <v>134</v>
      </c>
      <c r="O645" s="4">
        <v>42813.208333333328</v>
      </c>
      <c r="P645" t="b">
        <v>0</v>
      </c>
      <c r="Q645" t="b">
        <v>0</v>
      </c>
      <c r="R645" t="s">
        <v>124</v>
      </c>
      <c r="S645" t="str" cm="1">
        <f t="array" ref="S645:T645">_xlfn.TEXTSPLIT(R645, "/", , FALSE)</f>
        <v>theater</v>
      </c>
      <c r="T645" t="str">
        <v>plays</v>
      </c>
    </row>
    <row r="646" spans="1:20" ht="17" x14ac:dyDescent="0.2">
      <c r="A646">
        <v>644</v>
      </c>
      <c r="B646" t="s">
        <v>1426</v>
      </c>
      <c r="C646" s="3" t="s">
        <v>1427</v>
      </c>
      <c r="D646">
        <v>169400</v>
      </c>
      <c r="E646">
        <v>81984</v>
      </c>
      <c r="F646" s="5">
        <f t="shared" si="20"/>
        <v>0.48396694214876035</v>
      </c>
      <c r="G646" t="s">
        <v>6</v>
      </c>
      <c r="H646">
        <v>2928</v>
      </c>
      <c r="I646">
        <f t="shared" si="21"/>
        <v>28</v>
      </c>
      <c r="J646" t="s">
        <v>103</v>
      </c>
      <c r="K646" t="s">
        <v>104</v>
      </c>
      <c r="L646" s="4">
        <v>43452.25</v>
      </c>
      <c r="M646" s="4" t="s">
        <v>58</v>
      </c>
      <c r="N646" s="4" t="s">
        <v>169</v>
      </c>
      <c r="O646" s="4">
        <v>43468.25</v>
      </c>
      <c r="P646" t="b">
        <v>0</v>
      </c>
      <c r="Q646" t="b">
        <v>0</v>
      </c>
      <c r="R646" t="s">
        <v>124</v>
      </c>
      <c r="S646" t="str" cm="1">
        <f t="array" ref="S646:T646">_xlfn.TEXTSPLIT(R646, "/", , FALSE)</f>
        <v>theater</v>
      </c>
      <c r="T646" t="str">
        <v>plays</v>
      </c>
    </row>
    <row r="647" spans="1:20" ht="17" x14ac:dyDescent="0.2">
      <c r="A647">
        <v>645</v>
      </c>
      <c r="B647" t="s">
        <v>1428</v>
      </c>
      <c r="C647" s="3" t="s">
        <v>1429</v>
      </c>
      <c r="D647">
        <v>192100</v>
      </c>
      <c r="E647">
        <v>178483</v>
      </c>
      <c r="F647" s="5">
        <f t="shared" si="20"/>
        <v>0.92911504424778757</v>
      </c>
      <c r="G647" t="s">
        <v>6</v>
      </c>
      <c r="H647">
        <v>4697</v>
      </c>
      <c r="I647">
        <f t="shared" si="21"/>
        <v>37.999361294443261</v>
      </c>
      <c r="J647" t="s">
        <v>109</v>
      </c>
      <c r="K647" t="s">
        <v>110</v>
      </c>
      <c r="L647" s="4">
        <v>43369.208333333328</v>
      </c>
      <c r="M647" s="4" t="s">
        <v>55</v>
      </c>
      <c r="N647" s="4" t="s">
        <v>169</v>
      </c>
      <c r="O647" s="4">
        <v>43390.208333333328</v>
      </c>
      <c r="P647" t="b">
        <v>0</v>
      </c>
      <c r="Q647" t="b">
        <v>1</v>
      </c>
      <c r="R647" t="s">
        <v>112</v>
      </c>
      <c r="S647" t="str" cm="1">
        <f t="array" ref="S647:T647">_xlfn.TEXTSPLIT(R647, "/", , FALSE)</f>
        <v>music</v>
      </c>
      <c r="T647" t="str">
        <v>rock</v>
      </c>
    </row>
    <row r="648" spans="1:20" ht="17" x14ac:dyDescent="0.2">
      <c r="A648">
        <v>646</v>
      </c>
      <c r="B648" t="s">
        <v>1430</v>
      </c>
      <c r="C648" s="3" t="s">
        <v>1431</v>
      </c>
      <c r="D648">
        <v>98700</v>
      </c>
      <c r="E648">
        <v>87448</v>
      </c>
      <c r="F648" s="5">
        <f t="shared" si="20"/>
        <v>0.88599797365754818</v>
      </c>
      <c r="G648" t="s">
        <v>6</v>
      </c>
      <c r="H648">
        <v>2915</v>
      </c>
      <c r="I648">
        <f t="shared" si="21"/>
        <v>29.999313893653515</v>
      </c>
      <c r="J648" t="s">
        <v>109</v>
      </c>
      <c r="K648" t="s">
        <v>110</v>
      </c>
      <c r="L648" s="4">
        <v>41346.208333333336</v>
      </c>
      <c r="M648" s="4" t="s">
        <v>49</v>
      </c>
      <c r="N648" s="4" t="s">
        <v>117</v>
      </c>
      <c r="O648" s="4">
        <v>41357.208333333336</v>
      </c>
      <c r="P648" t="b">
        <v>0</v>
      </c>
      <c r="Q648" t="b">
        <v>0</v>
      </c>
      <c r="R648" t="s">
        <v>184</v>
      </c>
      <c r="S648" t="str" cm="1">
        <f t="array" ref="S648:T648">_xlfn.TEXTSPLIT(R648, "/", , FALSE)</f>
        <v>games</v>
      </c>
      <c r="T648" t="str">
        <v>video games</v>
      </c>
    </row>
    <row r="649" spans="1:20" ht="17" x14ac:dyDescent="0.2">
      <c r="A649">
        <v>647</v>
      </c>
      <c r="B649" t="s">
        <v>1432</v>
      </c>
      <c r="C649" s="3" t="s">
        <v>1433</v>
      </c>
      <c r="D649">
        <v>4500</v>
      </c>
      <c r="E649">
        <v>1863</v>
      </c>
      <c r="F649" s="5">
        <f t="shared" si="20"/>
        <v>0.41399999999999998</v>
      </c>
      <c r="G649" t="s">
        <v>6</v>
      </c>
      <c r="H649">
        <v>18</v>
      </c>
      <c r="I649">
        <f t="shared" si="21"/>
        <v>103.5</v>
      </c>
      <c r="J649" t="s">
        <v>109</v>
      </c>
      <c r="K649" t="s">
        <v>110</v>
      </c>
      <c r="L649" s="4">
        <v>43199.208333333328</v>
      </c>
      <c r="M649" s="4" t="s">
        <v>50</v>
      </c>
      <c r="N649" s="4" t="s">
        <v>169</v>
      </c>
      <c r="O649" s="4">
        <v>43223.208333333328</v>
      </c>
      <c r="P649" t="b">
        <v>0</v>
      </c>
      <c r="Q649" t="b">
        <v>0</v>
      </c>
      <c r="R649" t="s">
        <v>301</v>
      </c>
      <c r="S649" t="str" cm="1">
        <f t="array" ref="S649:T649">_xlfn.TEXTSPLIT(R649, "/", , FALSE)</f>
        <v>publishing</v>
      </c>
      <c r="T649" t="str">
        <v>translations</v>
      </c>
    </row>
    <row r="650" spans="1:20" ht="17" x14ac:dyDescent="0.2">
      <c r="A650">
        <v>648</v>
      </c>
      <c r="B650" t="s">
        <v>1434</v>
      </c>
      <c r="C650" s="3" t="s">
        <v>1435</v>
      </c>
      <c r="D650">
        <v>98600</v>
      </c>
      <c r="E650">
        <v>62174</v>
      </c>
      <c r="F650" s="5">
        <f t="shared" si="20"/>
        <v>0.63056795131845844</v>
      </c>
      <c r="G650" t="s">
        <v>5</v>
      </c>
      <c r="H650">
        <v>723</v>
      </c>
      <c r="I650">
        <f t="shared" si="21"/>
        <v>85.994467496542185</v>
      </c>
      <c r="J650" t="s">
        <v>109</v>
      </c>
      <c r="K650" t="s">
        <v>110</v>
      </c>
      <c r="L650" s="4">
        <v>42922.208333333328</v>
      </c>
      <c r="M650" s="4" t="s">
        <v>53</v>
      </c>
      <c r="N650" s="4" t="s">
        <v>134</v>
      </c>
      <c r="O650" s="4">
        <v>42940.208333333328</v>
      </c>
      <c r="P650" t="b">
        <v>1</v>
      </c>
      <c r="Q650" t="b">
        <v>0</v>
      </c>
      <c r="R650" t="s">
        <v>106</v>
      </c>
      <c r="S650" t="str" cm="1">
        <f t="array" ref="S650:T650">_xlfn.TEXTSPLIT(R650, "/", , FALSE)</f>
        <v>food</v>
      </c>
      <c r="T650" t="str">
        <v>food trucks</v>
      </c>
    </row>
    <row r="651" spans="1:20" ht="17" x14ac:dyDescent="0.2">
      <c r="A651">
        <v>649</v>
      </c>
      <c r="B651" t="s">
        <v>1436</v>
      </c>
      <c r="C651" s="3" t="s">
        <v>1437</v>
      </c>
      <c r="D651">
        <v>121700</v>
      </c>
      <c r="E651">
        <v>59003</v>
      </c>
      <c r="F651" s="5">
        <f t="shared" si="20"/>
        <v>0.48482333607230893</v>
      </c>
      <c r="G651" t="s">
        <v>6</v>
      </c>
      <c r="H651">
        <v>602</v>
      </c>
      <c r="I651">
        <f t="shared" si="21"/>
        <v>98.011627906976742</v>
      </c>
      <c r="J651" t="s">
        <v>193</v>
      </c>
      <c r="K651" t="s">
        <v>194</v>
      </c>
      <c r="L651" s="4">
        <v>40471.208333333336</v>
      </c>
      <c r="M651" s="4" t="s">
        <v>56</v>
      </c>
      <c r="N651" s="4" t="s">
        <v>140</v>
      </c>
      <c r="O651" s="4">
        <v>40482.208333333336</v>
      </c>
      <c r="P651" t="b">
        <v>1</v>
      </c>
      <c r="Q651" t="b">
        <v>1</v>
      </c>
      <c r="R651" t="s">
        <v>124</v>
      </c>
      <c r="S651" t="str" cm="1">
        <f t="array" ref="S651:T651">_xlfn.TEXTSPLIT(R651, "/", , FALSE)</f>
        <v>theater</v>
      </c>
      <c r="T651" t="str">
        <v>plays</v>
      </c>
    </row>
    <row r="652" spans="1:20" ht="17" x14ac:dyDescent="0.2">
      <c r="A652">
        <v>650</v>
      </c>
      <c r="B652" t="s">
        <v>1438</v>
      </c>
      <c r="C652" s="3" t="s">
        <v>1439</v>
      </c>
      <c r="D652">
        <v>100</v>
      </c>
      <c r="E652">
        <v>2</v>
      </c>
      <c r="F652" s="5">
        <f t="shared" si="20"/>
        <v>0.02</v>
      </c>
      <c r="G652" t="s">
        <v>6</v>
      </c>
      <c r="H652">
        <v>1</v>
      </c>
      <c r="I652">
        <f t="shared" si="21"/>
        <v>2</v>
      </c>
      <c r="J652" t="s">
        <v>109</v>
      </c>
      <c r="K652" t="s">
        <v>110</v>
      </c>
      <c r="L652" s="4">
        <v>41828.208333333336</v>
      </c>
      <c r="M652" s="4" t="s">
        <v>53</v>
      </c>
      <c r="N652" s="4" t="s">
        <v>111</v>
      </c>
      <c r="O652" s="4">
        <v>41855.208333333336</v>
      </c>
      <c r="P652" t="b">
        <v>0</v>
      </c>
      <c r="Q652" t="b">
        <v>0</v>
      </c>
      <c r="R652" t="s">
        <v>254</v>
      </c>
      <c r="S652" t="str" cm="1">
        <f t="array" ref="S652:T652">_xlfn.TEXTSPLIT(R652, "/", , FALSE)</f>
        <v>music</v>
      </c>
      <c r="T652" t="str">
        <v>jazz</v>
      </c>
    </row>
    <row r="653" spans="1:20" ht="17" x14ac:dyDescent="0.2">
      <c r="A653">
        <v>651</v>
      </c>
      <c r="B653" t="s">
        <v>1440</v>
      </c>
      <c r="C653" s="3" t="s">
        <v>1441</v>
      </c>
      <c r="D653">
        <v>196700</v>
      </c>
      <c r="E653">
        <v>174039</v>
      </c>
      <c r="F653" s="5">
        <f t="shared" si="20"/>
        <v>0.88479410269445857</v>
      </c>
      <c r="G653" t="s">
        <v>6</v>
      </c>
      <c r="H653">
        <v>3868</v>
      </c>
      <c r="I653">
        <f t="shared" si="21"/>
        <v>44.994570837642193</v>
      </c>
      <c r="J653" t="s">
        <v>202</v>
      </c>
      <c r="K653" t="s">
        <v>203</v>
      </c>
      <c r="L653" s="4">
        <v>41692.25</v>
      </c>
      <c r="M653" s="4" t="s">
        <v>48</v>
      </c>
      <c r="N653" s="4" t="s">
        <v>111</v>
      </c>
      <c r="O653" s="4">
        <v>41707.25</v>
      </c>
      <c r="P653" t="b">
        <v>0</v>
      </c>
      <c r="Q653" t="b">
        <v>0</v>
      </c>
      <c r="R653" t="s">
        <v>195</v>
      </c>
      <c r="S653" t="str" cm="1">
        <f t="array" ref="S653:T653">_xlfn.TEXTSPLIT(R653, "/", , FALSE)</f>
        <v>film &amp; video</v>
      </c>
      <c r="T653" t="str">
        <v>shorts</v>
      </c>
    </row>
    <row r="654" spans="1:20" ht="17" x14ac:dyDescent="0.2">
      <c r="A654">
        <v>652</v>
      </c>
      <c r="B654" t="s">
        <v>1442</v>
      </c>
      <c r="C654" s="3" t="s">
        <v>1443</v>
      </c>
      <c r="D654">
        <v>10000</v>
      </c>
      <c r="E654">
        <v>12684</v>
      </c>
      <c r="F654" s="5">
        <f t="shared" si="20"/>
        <v>1.2684</v>
      </c>
      <c r="G654" t="s">
        <v>8</v>
      </c>
      <c r="H654">
        <v>409</v>
      </c>
      <c r="I654">
        <f t="shared" si="21"/>
        <v>31.012224938875306</v>
      </c>
      <c r="J654" t="s">
        <v>109</v>
      </c>
      <c r="K654" t="s">
        <v>110</v>
      </c>
      <c r="L654" s="4">
        <v>42587.208333333328</v>
      </c>
      <c r="M654" s="4" t="s">
        <v>54</v>
      </c>
      <c r="N654" s="4" t="s">
        <v>153</v>
      </c>
      <c r="O654" s="4">
        <v>42630.208333333328</v>
      </c>
      <c r="P654" t="b">
        <v>0</v>
      </c>
      <c r="Q654" t="b">
        <v>0</v>
      </c>
      <c r="R654" t="s">
        <v>118</v>
      </c>
      <c r="S654" t="str" cm="1">
        <f t="array" ref="S654:T654">_xlfn.TEXTSPLIT(R654, "/", , FALSE)</f>
        <v>technology</v>
      </c>
      <c r="T654" t="str">
        <v>web</v>
      </c>
    </row>
    <row r="655" spans="1:20" ht="17" x14ac:dyDescent="0.2">
      <c r="A655">
        <v>653</v>
      </c>
      <c r="B655" t="s">
        <v>1444</v>
      </c>
      <c r="C655" s="3" t="s">
        <v>1445</v>
      </c>
      <c r="D655">
        <v>600</v>
      </c>
      <c r="E655">
        <v>14033</v>
      </c>
      <c r="F655" s="5">
        <f t="shared" si="20"/>
        <v>23.388333333333332</v>
      </c>
      <c r="G655" t="s">
        <v>8</v>
      </c>
      <c r="H655">
        <v>234</v>
      </c>
      <c r="I655">
        <f t="shared" si="21"/>
        <v>59.970085470085472</v>
      </c>
      <c r="J655" t="s">
        <v>109</v>
      </c>
      <c r="K655" t="s">
        <v>110</v>
      </c>
      <c r="L655" s="4">
        <v>42468.208333333328</v>
      </c>
      <c r="M655" s="4" t="s">
        <v>50</v>
      </c>
      <c r="N655" s="4" t="s">
        <v>153</v>
      </c>
      <c r="O655" s="4">
        <v>42470.208333333328</v>
      </c>
      <c r="P655" t="b">
        <v>0</v>
      </c>
      <c r="Q655" t="b">
        <v>0</v>
      </c>
      <c r="R655" t="s">
        <v>118</v>
      </c>
      <c r="S655" t="str" cm="1">
        <f t="array" ref="S655:T655">_xlfn.TEXTSPLIT(R655, "/", , FALSE)</f>
        <v>technology</v>
      </c>
      <c r="T655" t="str">
        <v>web</v>
      </c>
    </row>
    <row r="656" spans="1:20" ht="17" x14ac:dyDescent="0.2">
      <c r="A656">
        <v>654</v>
      </c>
      <c r="B656" t="s">
        <v>1446</v>
      </c>
      <c r="C656" s="3" t="s">
        <v>1447</v>
      </c>
      <c r="D656">
        <v>35000</v>
      </c>
      <c r="E656">
        <v>177936</v>
      </c>
      <c r="F656" s="5">
        <f t="shared" si="20"/>
        <v>5.0838857142857146</v>
      </c>
      <c r="G656" t="s">
        <v>8</v>
      </c>
      <c r="H656">
        <v>3016</v>
      </c>
      <c r="I656">
        <f t="shared" si="21"/>
        <v>58.9973474801061</v>
      </c>
      <c r="J656" t="s">
        <v>109</v>
      </c>
      <c r="K656" t="s">
        <v>110</v>
      </c>
      <c r="L656" s="4">
        <v>42240.208333333328</v>
      </c>
      <c r="M656" s="4" t="s">
        <v>54</v>
      </c>
      <c r="N656" s="4" t="s">
        <v>105</v>
      </c>
      <c r="O656" s="4">
        <v>42245.208333333328</v>
      </c>
      <c r="P656" t="b">
        <v>0</v>
      </c>
      <c r="Q656" t="b">
        <v>0</v>
      </c>
      <c r="R656" t="s">
        <v>243</v>
      </c>
      <c r="S656" t="str" cm="1">
        <f t="array" ref="S656:T656">_xlfn.TEXTSPLIT(R656, "/", , FALSE)</f>
        <v>music</v>
      </c>
      <c r="T656" t="str">
        <v>metal</v>
      </c>
    </row>
    <row r="657" spans="1:20" ht="17" x14ac:dyDescent="0.2">
      <c r="A657">
        <v>655</v>
      </c>
      <c r="B657" t="s">
        <v>1448</v>
      </c>
      <c r="C657" s="3" t="s">
        <v>1449</v>
      </c>
      <c r="D657">
        <v>6900</v>
      </c>
      <c r="E657">
        <v>13212</v>
      </c>
      <c r="F657" s="5">
        <f t="shared" si="20"/>
        <v>1.9147826086956521</v>
      </c>
      <c r="G657" t="s">
        <v>8</v>
      </c>
      <c r="H657">
        <v>264</v>
      </c>
      <c r="I657">
        <f t="shared" si="21"/>
        <v>50.045454545454547</v>
      </c>
      <c r="J657" t="s">
        <v>109</v>
      </c>
      <c r="K657" t="s">
        <v>110</v>
      </c>
      <c r="L657" s="4">
        <v>42796.25</v>
      </c>
      <c r="M657" s="4" t="s">
        <v>49</v>
      </c>
      <c r="N657" s="4" t="s">
        <v>134</v>
      </c>
      <c r="O657" s="4">
        <v>42809.208333333328</v>
      </c>
      <c r="P657" t="b">
        <v>1</v>
      </c>
      <c r="Q657" t="b">
        <v>0</v>
      </c>
      <c r="R657" t="s">
        <v>217</v>
      </c>
      <c r="S657" t="str" cm="1">
        <f t="array" ref="S657:T657">_xlfn.TEXTSPLIT(R657, "/", , FALSE)</f>
        <v>photography</v>
      </c>
      <c r="T657" t="str">
        <v>photography books</v>
      </c>
    </row>
    <row r="658" spans="1:20" ht="34" x14ac:dyDescent="0.2">
      <c r="A658">
        <v>656</v>
      </c>
      <c r="B658" t="s">
        <v>1450</v>
      </c>
      <c r="C658" s="3" t="s">
        <v>1451</v>
      </c>
      <c r="D658">
        <v>118400</v>
      </c>
      <c r="E658">
        <v>49879</v>
      </c>
      <c r="F658" s="5">
        <f t="shared" si="20"/>
        <v>0.42127533783783783</v>
      </c>
      <c r="G658" t="s">
        <v>6</v>
      </c>
      <c r="H658">
        <v>504</v>
      </c>
      <c r="I658">
        <f t="shared" si="21"/>
        <v>98.966269841269835</v>
      </c>
      <c r="J658" t="s">
        <v>115</v>
      </c>
      <c r="K658" t="s">
        <v>116</v>
      </c>
      <c r="L658" s="4">
        <v>43097.25</v>
      </c>
      <c r="M658" s="4" t="s">
        <v>58</v>
      </c>
      <c r="N658" s="4" t="s">
        <v>134</v>
      </c>
      <c r="O658" s="4">
        <v>43102.25</v>
      </c>
      <c r="P658" t="b">
        <v>0</v>
      </c>
      <c r="Q658" t="b">
        <v>0</v>
      </c>
      <c r="R658" t="s">
        <v>106</v>
      </c>
      <c r="S658" t="str" cm="1">
        <f t="array" ref="S658:T658">_xlfn.TEXTSPLIT(R658, "/", , FALSE)</f>
        <v>food</v>
      </c>
      <c r="T658" t="str">
        <v>food trucks</v>
      </c>
    </row>
    <row r="659" spans="1:20" ht="17" x14ac:dyDescent="0.2">
      <c r="A659">
        <v>657</v>
      </c>
      <c r="B659" t="s">
        <v>1452</v>
      </c>
      <c r="C659" s="3" t="s">
        <v>1453</v>
      </c>
      <c r="D659">
        <v>10000</v>
      </c>
      <c r="E659">
        <v>824</v>
      </c>
      <c r="F659" s="5">
        <f t="shared" si="20"/>
        <v>8.2400000000000001E-2</v>
      </c>
      <c r="G659" t="s">
        <v>6</v>
      </c>
      <c r="H659">
        <v>14</v>
      </c>
      <c r="I659">
        <f t="shared" si="21"/>
        <v>58.857142857142854</v>
      </c>
      <c r="J659" t="s">
        <v>109</v>
      </c>
      <c r="K659" t="s">
        <v>110</v>
      </c>
      <c r="L659" s="4">
        <v>43096.25</v>
      </c>
      <c r="M659" s="4" t="s">
        <v>58</v>
      </c>
      <c r="N659" s="4" t="s">
        <v>134</v>
      </c>
      <c r="O659" s="4">
        <v>43112.25</v>
      </c>
      <c r="P659" t="b">
        <v>0</v>
      </c>
      <c r="Q659" t="b">
        <v>0</v>
      </c>
      <c r="R659" t="s">
        <v>569</v>
      </c>
      <c r="S659" t="str" cm="1">
        <f t="array" ref="S659:T659">_xlfn.TEXTSPLIT(R659, "/", , FALSE)</f>
        <v>film &amp; video</v>
      </c>
      <c r="T659" t="str">
        <v>science fiction</v>
      </c>
    </row>
    <row r="660" spans="1:20" ht="17" x14ac:dyDescent="0.2">
      <c r="A660">
        <v>658</v>
      </c>
      <c r="B660" t="s">
        <v>1454</v>
      </c>
      <c r="C660" s="3" t="s">
        <v>1455</v>
      </c>
      <c r="D660">
        <v>52600</v>
      </c>
      <c r="E660">
        <v>31594</v>
      </c>
      <c r="F660" s="5">
        <f t="shared" si="20"/>
        <v>0.60064638783269964</v>
      </c>
      <c r="G660" t="s">
        <v>5</v>
      </c>
      <c r="H660">
        <v>390</v>
      </c>
      <c r="I660">
        <f t="shared" si="21"/>
        <v>81.010256410256417</v>
      </c>
      <c r="J660" t="s">
        <v>109</v>
      </c>
      <c r="K660" t="s">
        <v>110</v>
      </c>
      <c r="L660" s="4">
        <v>42246.208333333328</v>
      </c>
      <c r="M660" s="4" t="s">
        <v>54</v>
      </c>
      <c r="N660" s="4" t="s">
        <v>105</v>
      </c>
      <c r="O660" s="4">
        <v>42269.208333333328</v>
      </c>
      <c r="P660" t="b">
        <v>0</v>
      </c>
      <c r="Q660" t="b">
        <v>0</v>
      </c>
      <c r="R660" t="s">
        <v>112</v>
      </c>
      <c r="S660" t="str" cm="1">
        <f t="array" ref="S660:T660">_xlfn.TEXTSPLIT(R660, "/", , FALSE)</f>
        <v>music</v>
      </c>
      <c r="T660" t="str">
        <v>rock</v>
      </c>
    </row>
    <row r="661" spans="1:20" ht="17" x14ac:dyDescent="0.2">
      <c r="A661">
        <v>659</v>
      </c>
      <c r="B661" t="s">
        <v>1456</v>
      </c>
      <c r="C661" s="3" t="s">
        <v>1457</v>
      </c>
      <c r="D661">
        <v>120700</v>
      </c>
      <c r="E661">
        <v>57010</v>
      </c>
      <c r="F661" s="5">
        <f t="shared" si="20"/>
        <v>0.47232808616404309</v>
      </c>
      <c r="G661" t="s">
        <v>6</v>
      </c>
      <c r="H661">
        <v>750</v>
      </c>
      <c r="I661">
        <f t="shared" si="21"/>
        <v>76.013333333333335</v>
      </c>
      <c r="J661" t="s">
        <v>132</v>
      </c>
      <c r="K661" t="s">
        <v>133</v>
      </c>
      <c r="L661" s="4">
        <v>40570.25</v>
      </c>
      <c r="M661" s="4" t="s">
        <v>47</v>
      </c>
      <c r="N661" s="4" t="s">
        <v>165</v>
      </c>
      <c r="O661" s="4">
        <v>40571.25</v>
      </c>
      <c r="P661" t="b">
        <v>0</v>
      </c>
      <c r="Q661" t="b">
        <v>0</v>
      </c>
      <c r="R661" t="s">
        <v>135</v>
      </c>
      <c r="S661" t="str" cm="1">
        <f t="array" ref="S661:T661">_xlfn.TEXTSPLIT(R661, "/", , FALSE)</f>
        <v>film &amp; video</v>
      </c>
      <c r="T661" t="str">
        <v>documentary</v>
      </c>
    </row>
    <row r="662" spans="1:20" ht="17" x14ac:dyDescent="0.2">
      <c r="A662">
        <v>660</v>
      </c>
      <c r="B662" t="s">
        <v>1458</v>
      </c>
      <c r="C662" s="3" t="s">
        <v>1459</v>
      </c>
      <c r="D662">
        <v>9100</v>
      </c>
      <c r="E662">
        <v>7438</v>
      </c>
      <c r="F662" s="5">
        <f t="shared" si="20"/>
        <v>0.81736263736263737</v>
      </c>
      <c r="G662" t="s">
        <v>6</v>
      </c>
      <c r="H662">
        <v>77</v>
      </c>
      <c r="I662">
        <f t="shared" si="21"/>
        <v>96.597402597402592</v>
      </c>
      <c r="J662" t="s">
        <v>109</v>
      </c>
      <c r="K662" t="s">
        <v>110</v>
      </c>
      <c r="L662" s="4">
        <v>42237.208333333328</v>
      </c>
      <c r="M662" s="4" t="s">
        <v>54</v>
      </c>
      <c r="N662" s="4" t="s">
        <v>105</v>
      </c>
      <c r="O662" s="4">
        <v>42246.208333333328</v>
      </c>
      <c r="P662" t="b">
        <v>1</v>
      </c>
      <c r="Q662" t="b">
        <v>0</v>
      </c>
      <c r="R662" t="s">
        <v>124</v>
      </c>
      <c r="S662" t="str" cm="1">
        <f t="array" ref="S662:T662">_xlfn.TEXTSPLIT(R662, "/", , FALSE)</f>
        <v>theater</v>
      </c>
      <c r="T662" t="str">
        <v>plays</v>
      </c>
    </row>
    <row r="663" spans="1:20" ht="17" x14ac:dyDescent="0.2">
      <c r="A663">
        <v>661</v>
      </c>
      <c r="B663" t="s">
        <v>1460</v>
      </c>
      <c r="C663" s="3" t="s">
        <v>1461</v>
      </c>
      <c r="D663">
        <v>106800</v>
      </c>
      <c r="E663">
        <v>57872</v>
      </c>
      <c r="F663" s="5">
        <f t="shared" si="20"/>
        <v>0.54187265917603</v>
      </c>
      <c r="G663" t="s">
        <v>6</v>
      </c>
      <c r="H663">
        <v>752</v>
      </c>
      <c r="I663">
        <f t="shared" si="21"/>
        <v>76.957446808510639</v>
      </c>
      <c r="J663" t="s">
        <v>127</v>
      </c>
      <c r="K663" t="s">
        <v>128</v>
      </c>
      <c r="L663" s="4">
        <v>40996.208333333336</v>
      </c>
      <c r="M663" s="4" t="s">
        <v>49</v>
      </c>
      <c r="N663" s="4" t="s">
        <v>129</v>
      </c>
      <c r="O663" s="4">
        <v>41026.208333333336</v>
      </c>
      <c r="P663" t="b">
        <v>0</v>
      </c>
      <c r="Q663" t="b">
        <v>0</v>
      </c>
      <c r="R663" t="s">
        <v>254</v>
      </c>
      <c r="S663" t="str" cm="1">
        <f t="array" ref="S663:T663">_xlfn.TEXTSPLIT(R663, "/", , FALSE)</f>
        <v>music</v>
      </c>
      <c r="T663" t="str">
        <v>jazz</v>
      </c>
    </row>
    <row r="664" spans="1:20" ht="17" x14ac:dyDescent="0.2">
      <c r="A664">
        <v>662</v>
      </c>
      <c r="B664" t="s">
        <v>1462</v>
      </c>
      <c r="C664" s="3" t="s">
        <v>1463</v>
      </c>
      <c r="D664">
        <v>9100</v>
      </c>
      <c r="E664">
        <v>8906</v>
      </c>
      <c r="F664" s="5">
        <f t="shared" si="20"/>
        <v>0.97868131868131869</v>
      </c>
      <c r="G664" t="s">
        <v>6</v>
      </c>
      <c r="H664">
        <v>131</v>
      </c>
      <c r="I664">
        <f t="shared" si="21"/>
        <v>67.984732824427482</v>
      </c>
      <c r="J664" t="s">
        <v>109</v>
      </c>
      <c r="K664" t="s">
        <v>110</v>
      </c>
      <c r="L664" s="4">
        <v>43443.25</v>
      </c>
      <c r="M664" s="4" t="s">
        <v>58</v>
      </c>
      <c r="N664" s="4" t="s">
        <v>169</v>
      </c>
      <c r="O664" s="4">
        <v>43447.25</v>
      </c>
      <c r="P664" t="b">
        <v>0</v>
      </c>
      <c r="Q664" t="b">
        <v>0</v>
      </c>
      <c r="R664" t="s">
        <v>124</v>
      </c>
      <c r="S664" t="str" cm="1">
        <f t="array" ref="S664:T664">_xlfn.TEXTSPLIT(R664, "/", , FALSE)</f>
        <v>theater</v>
      </c>
      <c r="T664" t="str">
        <v>plays</v>
      </c>
    </row>
    <row r="665" spans="1:20" ht="17" x14ac:dyDescent="0.2">
      <c r="A665">
        <v>663</v>
      </c>
      <c r="B665" t="s">
        <v>1464</v>
      </c>
      <c r="C665" s="3" t="s">
        <v>1465</v>
      </c>
      <c r="D665">
        <v>10000</v>
      </c>
      <c r="E665">
        <v>7724</v>
      </c>
      <c r="F665" s="5">
        <f t="shared" si="20"/>
        <v>0.77239999999999998</v>
      </c>
      <c r="G665" t="s">
        <v>6</v>
      </c>
      <c r="H665">
        <v>87</v>
      </c>
      <c r="I665">
        <f t="shared" si="21"/>
        <v>88.781609195402297</v>
      </c>
      <c r="J665" t="s">
        <v>109</v>
      </c>
      <c r="K665" t="s">
        <v>110</v>
      </c>
      <c r="L665" s="4">
        <v>40458.208333333336</v>
      </c>
      <c r="M665" s="4" t="s">
        <v>56</v>
      </c>
      <c r="N665" s="4" t="s">
        <v>140</v>
      </c>
      <c r="O665" s="4">
        <v>40481.208333333336</v>
      </c>
      <c r="P665" t="b">
        <v>0</v>
      </c>
      <c r="Q665" t="b">
        <v>0</v>
      </c>
      <c r="R665" t="s">
        <v>124</v>
      </c>
      <c r="S665" t="str" cm="1">
        <f t="array" ref="S665:T665">_xlfn.TEXTSPLIT(R665, "/", , FALSE)</f>
        <v>theater</v>
      </c>
      <c r="T665" t="str">
        <v>plays</v>
      </c>
    </row>
    <row r="666" spans="1:20" ht="17" x14ac:dyDescent="0.2">
      <c r="A666">
        <v>664</v>
      </c>
      <c r="B666" t="s">
        <v>803</v>
      </c>
      <c r="C666" s="3" t="s">
        <v>1466</v>
      </c>
      <c r="D666">
        <v>79400</v>
      </c>
      <c r="E666">
        <v>26571</v>
      </c>
      <c r="F666" s="5">
        <f t="shared" si="20"/>
        <v>0.33464735516372796</v>
      </c>
      <c r="G666" t="s">
        <v>6</v>
      </c>
      <c r="H666">
        <v>1063</v>
      </c>
      <c r="I666">
        <f t="shared" si="21"/>
        <v>24.99623706491063</v>
      </c>
      <c r="J666" t="s">
        <v>109</v>
      </c>
      <c r="K666" t="s">
        <v>110</v>
      </c>
      <c r="L666" s="4">
        <v>40959.25</v>
      </c>
      <c r="M666" s="4" t="s">
        <v>48</v>
      </c>
      <c r="N666" s="4" t="s">
        <v>129</v>
      </c>
      <c r="O666" s="4">
        <v>40969.25</v>
      </c>
      <c r="P666" t="b">
        <v>0</v>
      </c>
      <c r="Q666" t="b">
        <v>0</v>
      </c>
      <c r="R666" t="s">
        <v>254</v>
      </c>
      <c r="S666" t="str" cm="1">
        <f t="array" ref="S666:T666">_xlfn.TEXTSPLIT(R666, "/", , FALSE)</f>
        <v>music</v>
      </c>
      <c r="T666" t="str">
        <v>jazz</v>
      </c>
    </row>
    <row r="667" spans="1:20" ht="17" x14ac:dyDescent="0.2">
      <c r="A667">
        <v>665</v>
      </c>
      <c r="B667" t="s">
        <v>1467</v>
      </c>
      <c r="C667" s="3" t="s">
        <v>1468</v>
      </c>
      <c r="D667">
        <v>5100</v>
      </c>
      <c r="E667">
        <v>12219</v>
      </c>
      <c r="F667" s="5">
        <f t="shared" si="20"/>
        <v>2.3958823529411766</v>
      </c>
      <c r="G667" t="s">
        <v>8</v>
      </c>
      <c r="H667">
        <v>272</v>
      </c>
      <c r="I667">
        <f t="shared" si="21"/>
        <v>44.922794117647058</v>
      </c>
      <c r="J667" t="s">
        <v>109</v>
      </c>
      <c r="K667" t="s">
        <v>110</v>
      </c>
      <c r="L667" s="4">
        <v>40733.208333333336</v>
      </c>
      <c r="M667" s="4" t="s">
        <v>53</v>
      </c>
      <c r="N667" s="4" t="s">
        <v>165</v>
      </c>
      <c r="O667" s="4">
        <v>40747.208333333336</v>
      </c>
      <c r="P667" t="b">
        <v>0</v>
      </c>
      <c r="Q667" t="b">
        <v>1</v>
      </c>
      <c r="R667" t="s">
        <v>135</v>
      </c>
      <c r="S667" t="str" cm="1">
        <f t="array" ref="S667:T667">_xlfn.TEXTSPLIT(R667, "/", , FALSE)</f>
        <v>film &amp; video</v>
      </c>
      <c r="T667" t="str">
        <v>documentary</v>
      </c>
    </row>
    <row r="668" spans="1:20" ht="17" x14ac:dyDescent="0.2">
      <c r="A668">
        <v>666</v>
      </c>
      <c r="B668" t="s">
        <v>1469</v>
      </c>
      <c r="C668" s="3" t="s">
        <v>1470</v>
      </c>
      <c r="D668">
        <v>3100</v>
      </c>
      <c r="E668">
        <v>1985</v>
      </c>
      <c r="F668" s="5">
        <f t="shared" si="20"/>
        <v>0.64032258064516134</v>
      </c>
      <c r="G668" t="s">
        <v>5</v>
      </c>
      <c r="H668">
        <v>25</v>
      </c>
      <c r="I668">
        <f t="shared" si="21"/>
        <v>79.400000000000006</v>
      </c>
      <c r="J668" t="s">
        <v>109</v>
      </c>
      <c r="K668" t="s">
        <v>110</v>
      </c>
      <c r="L668" s="4">
        <v>41516.208333333336</v>
      </c>
      <c r="M668" s="4" t="s">
        <v>54</v>
      </c>
      <c r="N668" s="4" t="s">
        <v>117</v>
      </c>
      <c r="O668" s="4">
        <v>41522.208333333336</v>
      </c>
      <c r="P668" t="b">
        <v>0</v>
      </c>
      <c r="Q668" t="b">
        <v>1</v>
      </c>
      <c r="R668" t="s">
        <v>124</v>
      </c>
      <c r="S668" t="str" cm="1">
        <f t="array" ref="S668:T668">_xlfn.TEXTSPLIT(R668, "/", , FALSE)</f>
        <v>theater</v>
      </c>
      <c r="T668" t="str">
        <v>plays</v>
      </c>
    </row>
    <row r="669" spans="1:20" ht="34" x14ac:dyDescent="0.2">
      <c r="A669">
        <v>667</v>
      </c>
      <c r="B669" t="s">
        <v>1471</v>
      </c>
      <c r="C669" s="3" t="s">
        <v>1472</v>
      </c>
      <c r="D669">
        <v>6900</v>
      </c>
      <c r="E669">
        <v>12155</v>
      </c>
      <c r="F669" s="5">
        <f t="shared" si="20"/>
        <v>1.7615942028985507</v>
      </c>
      <c r="G669" t="s">
        <v>8</v>
      </c>
      <c r="H669">
        <v>419</v>
      </c>
      <c r="I669">
        <f t="shared" si="21"/>
        <v>29.009546539379475</v>
      </c>
      <c r="J669" t="s">
        <v>109</v>
      </c>
      <c r="K669" t="s">
        <v>110</v>
      </c>
      <c r="L669" s="4">
        <v>41892.208333333336</v>
      </c>
      <c r="M669" s="4" t="s">
        <v>55</v>
      </c>
      <c r="N669" s="4" t="s">
        <v>111</v>
      </c>
      <c r="O669" s="4">
        <v>41901.208333333336</v>
      </c>
      <c r="P669" t="b">
        <v>0</v>
      </c>
      <c r="Q669" t="b">
        <v>0</v>
      </c>
      <c r="R669" t="s">
        <v>1124</v>
      </c>
      <c r="S669" t="str" cm="1">
        <f t="array" ref="S669:T669">_xlfn.TEXTSPLIT(R669, "/", , FALSE)</f>
        <v>journalism</v>
      </c>
      <c r="T669" t="str">
        <v>audio</v>
      </c>
    </row>
    <row r="670" spans="1:20" ht="34" x14ac:dyDescent="0.2">
      <c r="A670">
        <v>668</v>
      </c>
      <c r="B670" t="s">
        <v>1473</v>
      </c>
      <c r="C670" s="3" t="s">
        <v>1474</v>
      </c>
      <c r="D670">
        <v>27500</v>
      </c>
      <c r="E670">
        <v>5593</v>
      </c>
      <c r="F670" s="5">
        <f t="shared" si="20"/>
        <v>0.20338181818181819</v>
      </c>
      <c r="G670" t="s">
        <v>6</v>
      </c>
      <c r="H670">
        <v>76</v>
      </c>
      <c r="I670">
        <f t="shared" si="21"/>
        <v>73.59210526315789</v>
      </c>
      <c r="J670" t="s">
        <v>109</v>
      </c>
      <c r="K670" t="s">
        <v>110</v>
      </c>
      <c r="L670" s="4">
        <v>41122.208333333336</v>
      </c>
      <c r="M670" s="4" t="s">
        <v>54</v>
      </c>
      <c r="N670" s="4" t="s">
        <v>129</v>
      </c>
      <c r="O670" s="4">
        <v>41134.208333333336</v>
      </c>
      <c r="P670" t="b">
        <v>0</v>
      </c>
      <c r="Q670" t="b">
        <v>0</v>
      </c>
      <c r="R670" t="s">
        <v>124</v>
      </c>
      <c r="S670" t="str" cm="1">
        <f t="array" ref="S670:T670">_xlfn.TEXTSPLIT(R670, "/", , FALSE)</f>
        <v>theater</v>
      </c>
      <c r="T670" t="str">
        <v>plays</v>
      </c>
    </row>
    <row r="671" spans="1:20" ht="17" x14ac:dyDescent="0.2">
      <c r="A671">
        <v>669</v>
      </c>
      <c r="B671" t="s">
        <v>1475</v>
      </c>
      <c r="C671" s="3" t="s">
        <v>1476</v>
      </c>
      <c r="D671">
        <v>48800</v>
      </c>
      <c r="E671">
        <v>175020</v>
      </c>
      <c r="F671" s="5">
        <f t="shared" si="20"/>
        <v>3.5864754098360656</v>
      </c>
      <c r="G671" t="s">
        <v>8</v>
      </c>
      <c r="H671">
        <v>1621</v>
      </c>
      <c r="I671">
        <f t="shared" si="21"/>
        <v>107.97038864898211</v>
      </c>
      <c r="J671" t="s">
        <v>202</v>
      </c>
      <c r="K671" t="s">
        <v>203</v>
      </c>
      <c r="L671" s="4">
        <v>42912.208333333328</v>
      </c>
      <c r="M671" s="4" t="s">
        <v>52</v>
      </c>
      <c r="N671" s="4" t="s">
        <v>134</v>
      </c>
      <c r="O671" s="4">
        <v>42921.208333333328</v>
      </c>
      <c r="P671" t="b">
        <v>0</v>
      </c>
      <c r="Q671" t="b">
        <v>0</v>
      </c>
      <c r="R671" t="s">
        <v>124</v>
      </c>
      <c r="S671" t="str" cm="1">
        <f t="array" ref="S671:T671">_xlfn.TEXTSPLIT(R671, "/", , FALSE)</f>
        <v>theater</v>
      </c>
      <c r="T671" t="str">
        <v>plays</v>
      </c>
    </row>
    <row r="672" spans="1:20" ht="34" x14ac:dyDescent="0.2">
      <c r="A672">
        <v>670</v>
      </c>
      <c r="B672" t="s">
        <v>1430</v>
      </c>
      <c r="C672" s="3" t="s">
        <v>1477</v>
      </c>
      <c r="D672">
        <v>16200</v>
      </c>
      <c r="E672">
        <v>75955</v>
      </c>
      <c r="F672" s="5">
        <f t="shared" si="20"/>
        <v>4.6885802469135802</v>
      </c>
      <c r="G672" t="s">
        <v>8</v>
      </c>
      <c r="H672">
        <v>1101</v>
      </c>
      <c r="I672">
        <f t="shared" si="21"/>
        <v>68.987284287011803</v>
      </c>
      <c r="J672" t="s">
        <v>109</v>
      </c>
      <c r="K672" t="s">
        <v>110</v>
      </c>
      <c r="L672" s="4">
        <v>42425.25</v>
      </c>
      <c r="M672" s="4" t="s">
        <v>48</v>
      </c>
      <c r="N672" s="4" t="s">
        <v>153</v>
      </c>
      <c r="O672" s="4">
        <v>42437.25</v>
      </c>
      <c r="P672" t="b">
        <v>0</v>
      </c>
      <c r="Q672" t="b">
        <v>0</v>
      </c>
      <c r="R672" t="s">
        <v>154</v>
      </c>
      <c r="S672" t="str" cm="1">
        <f t="array" ref="S672:T672">_xlfn.TEXTSPLIT(R672, "/", , FALSE)</f>
        <v>music</v>
      </c>
      <c r="T672" t="str">
        <v>indie rock</v>
      </c>
    </row>
    <row r="673" spans="1:20" ht="34" x14ac:dyDescent="0.2">
      <c r="A673">
        <v>671</v>
      </c>
      <c r="B673" t="s">
        <v>1478</v>
      </c>
      <c r="C673" s="3" t="s">
        <v>1479</v>
      </c>
      <c r="D673">
        <v>97600</v>
      </c>
      <c r="E673">
        <v>119127</v>
      </c>
      <c r="F673" s="5">
        <f t="shared" si="20"/>
        <v>1.220563524590164</v>
      </c>
      <c r="G673" t="s">
        <v>8</v>
      </c>
      <c r="H673">
        <v>1073</v>
      </c>
      <c r="I673">
        <f t="shared" si="21"/>
        <v>111.02236719478098</v>
      </c>
      <c r="J673" t="s">
        <v>109</v>
      </c>
      <c r="K673" t="s">
        <v>110</v>
      </c>
      <c r="L673" s="4">
        <v>40390.208333333336</v>
      </c>
      <c r="M673" s="4" t="s">
        <v>53</v>
      </c>
      <c r="N673" s="4" t="s">
        <v>140</v>
      </c>
      <c r="O673" s="4">
        <v>40394.208333333336</v>
      </c>
      <c r="P673" t="b">
        <v>0</v>
      </c>
      <c r="Q673" t="b">
        <v>1</v>
      </c>
      <c r="R673" t="s">
        <v>124</v>
      </c>
      <c r="S673" t="str" cm="1">
        <f t="array" ref="S673:T673">_xlfn.TEXTSPLIT(R673, "/", , FALSE)</f>
        <v>theater</v>
      </c>
      <c r="T673" t="str">
        <v>plays</v>
      </c>
    </row>
    <row r="674" spans="1:20" ht="17" x14ac:dyDescent="0.2">
      <c r="A674">
        <v>672</v>
      </c>
      <c r="B674" t="s">
        <v>1480</v>
      </c>
      <c r="C674" s="3" t="s">
        <v>1481</v>
      </c>
      <c r="D674">
        <v>197900</v>
      </c>
      <c r="E674">
        <v>110689</v>
      </c>
      <c r="F674" s="5">
        <f t="shared" si="20"/>
        <v>0.55931783729156137</v>
      </c>
      <c r="G674" t="s">
        <v>6</v>
      </c>
      <c r="H674">
        <v>4428</v>
      </c>
      <c r="I674">
        <f t="shared" si="21"/>
        <v>24.997515808491418</v>
      </c>
      <c r="J674" t="s">
        <v>115</v>
      </c>
      <c r="K674" t="s">
        <v>116</v>
      </c>
      <c r="L674" s="4">
        <v>43180.208333333328</v>
      </c>
      <c r="M674" s="4" t="s">
        <v>49</v>
      </c>
      <c r="N674" s="4" t="s">
        <v>169</v>
      </c>
      <c r="O674" s="4">
        <v>43190.208333333328</v>
      </c>
      <c r="P674" t="b">
        <v>0</v>
      </c>
      <c r="Q674" t="b">
        <v>0</v>
      </c>
      <c r="R674" t="s">
        <v>124</v>
      </c>
      <c r="S674" t="str" cm="1">
        <f t="array" ref="S674:T674">_xlfn.TEXTSPLIT(R674, "/", , FALSE)</f>
        <v>theater</v>
      </c>
      <c r="T674" t="str">
        <v>plays</v>
      </c>
    </row>
    <row r="675" spans="1:20" ht="17" x14ac:dyDescent="0.2">
      <c r="A675">
        <v>673</v>
      </c>
      <c r="B675" t="s">
        <v>1482</v>
      </c>
      <c r="C675" s="3" t="s">
        <v>1483</v>
      </c>
      <c r="D675">
        <v>5600</v>
      </c>
      <c r="E675">
        <v>2445</v>
      </c>
      <c r="F675" s="5">
        <f t="shared" si="20"/>
        <v>0.43660714285714286</v>
      </c>
      <c r="G675" t="s">
        <v>6</v>
      </c>
      <c r="H675">
        <v>58</v>
      </c>
      <c r="I675">
        <f t="shared" si="21"/>
        <v>42.155172413793103</v>
      </c>
      <c r="J675" t="s">
        <v>202</v>
      </c>
      <c r="K675" t="s">
        <v>203</v>
      </c>
      <c r="L675" s="4">
        <v>42475.208333333328</v>
      </c>
      <c r="M675" s="4" t="s">
        <v>50</v>
      </c>
      <c r="N675" s="4" t="s">
        <v>153</v>
      </c>
      <c r="O675" s="4">
        <v>42496.208333333328</v>
      </c>
      <c r="P675" t="b">
        <v>0</v>
      </c>
      <c r="Q675" t="b">
        <v>0</v>
      </c>
      <c r="R675" t="s">
        <v>154</v>
      </c>
      <c r="S675" t="str" cm="1">
        <f t="array" ref="S675:T675">_xlfn.TEXTSPLIT(R675, "/", , FALSE)</f>
        <v>music</v>
      </c>
      <c r="T675" t="str">
        <v>indie rock</v>
      </c>
    </row>
    <row r="676" spans="1:20" ht="17" x14ac:dyDescent="0.2">
      <c r="A676">
        <v>674</v>
      </c>
      <c r="B676" t="s">
        <v>1484</v>
      </c>
      <c r="C676" s="3" t="s">
        <v>1485</v>
      </c>
      <c r="D676">
        <v>170700</v>
      </c>
      <c r="E676">
        <v>57250</v>
      </c>
      <c r="F676" s="5">
        <f t="shared" si="20"/>
        <v>0.33538371411833628</v>
      </c>
      <c r="G676" t="s">
        <v>5</v>
      </c>
      <c r="H676">
        <v>1218</v>
      </c>
      <c r="I676">
        <f t="shared" si="21"/>
        <v>47.003284072249592</v>
      </c>
      <c r="J676" t="s">
        <v>109</v>
      </c>
      <c r="K676" t="s">
        <v>110</v>
      </c>
      <c r="L676" s="4">
        <v>40774.208333333336</v>
      </c>
      <c r="M676" s="4" t="s">
        <v>54</v>
      </c>
      <c r="N676" s="4" t="s">
        <v>165</v>
      </c>
      <c r="O676" s="4">
        <v>40821.208333333336</v>
      </c>
      <c r="P676" t="b">
        <v>0</v>
      </c>
      <c r="Q676" t="b">
        <v>0</v>
      </c>
      <c r="R676" t="s">
        <v>217</v>
      </c>
      <c r="S676" t="str" cm="1">
        <f t="array" ref="S676:T676">_xlfn.TEXTSPLIT(R676, "/", , FALSE)</f>
        <v>photography</v>
      </c>
      <c r="T676" t="str">
        <v>photography books</v>
      </c>
    </row>
    <row r="677" spans="1:20" ht="17" x14ac:dyDescent="0.2">
      <c r="A677">
        <v>675</v>
      </c>
      <c r="B677" t="s">
        <v>1486</v>
      </c>
      <c r="C677" s="3" t="s">
        <v>1487</v>
      </c>
      <c r="D677">
        <v>9700</v>
      </c>
      <c r="E677">
        <v>11929</v>
      </c>
      <c r="F677" s="5">
        <f t="shared" si="20"/>
        <v>1.2297938144329896</v>
      </c>
      <c r="G677" t="s">
        <v>8</v>
      </c>
      <c r="H677">
        <v>331</v>
      </c>
      <c r="I677">
        <f t="shared" si="21"/>
        <v>36.0392749244713</v>
      </c>
      <c r="J677" t="s">
        <v>109</v>
      </c>
      <c r="K677" t="s">
        <v>110</v>
      </c>
      <c r="L677" s="4">
        <v>43719.208333333328</v>
      </c>
      <c r="M677" s="4" t="s">
        <v>55</v>
      </c>
      <c r="N677" s="4" t="s">
        <v>121</v>
      </c>
      <c r="O677" s="4">
        <v>43726.208333333328</v>
      </c>
      <c r="P677" t="b">
        <v>0</v>
      </c>
      <c r="Q677" t="b">
        <v>0</v>
      </c>
      <c r="R677" t="s">
        <v>1124</v>
      </c>
      <c r="S677" t="str" cm="1">
        <f t="array" ref="S677:T677">_xlfn.TEXTSPLIT(R677, "/", , FALSE)</f>
        <v>journalism</v>
      </c>
      <c r="T677" t="str">
        <v>audio</v>
      </c>
    </row>
    <row r="678" spans="1:20" ht="17" x14ac:dyDescent="0.2">
      <c r="A678">
        <v>676</v>
      </c>
      <c r="B678" t="s">
        <v>1488</v>
      </c>
      <c r="C678" s="3" t="s">
        <v>1489</v>
      </c>
      <c r="D678">
        <v>62300</v>
      </c>
      <c r="E678">
        <v>118214</v>
      </c>
      <c r="F678" s="5">
        <f t="shared" si="20"/>
        <v>1.8974959871589085</v>
      </c>
      <c r="G678" t="s">
        <v>8</v>
      </c>
      <c r="H678">
        <v>1170</v>
      </c>
      <c r="I678">
        <f t="shared" si="21"/>
        <v>101.03760683760684</v>
      </c>
      <c r="J678" t="s">
        <v>109</v>
      </c>
      <c r="K678" t="s">
        <v>110</v>
      </c>
      <c r="L678" s="4">
        <v>41178.208333333336</v>
      </c>
      <c r="M678" s="4" t="s">
        <v>55</v>
      </c>
      <c r="N678" s="4" t="s">
        <v>129</v>
      </c>
      <c r="O678" s="4">
        <v>41187.208333333336</v>
      </c>
      <c r="P678" t="b">
        <v>0</v>
      </c>
      <c r="Q678" t="b">
        <v>0</v>
      </c>
      <c r="R678" t="s">
        <v>217</v>
      </c>
      <c r="S678" t="str" cm="1">
        <f t="array" ref="S678:T678">_xlfn.TEXTSPLIT(R678, "/", , FALSE)</f>
        <v>photography</v>
      </c>
      <c r="T678" t="str">
        <v>photography books</v>
      </c>
    </row>
    <row r="679" spans="1:20" ht="17" x14ac:dyDescent="0.2">
      <c r="A679">
        <v>677</v>
      </c>
      <c r="B679" t="s">
        <v>1490</v>
      </c>
      <c r="C679" s="3" t="s">
        <v>1491</v>
      </c>
      <c r="D679">
        <v>5300</v>
      </c>
      <c r="E679">
        <v>4432</v>
      </c>
      <c r="F679" s="5">
        <f t="shared" si="20"/>
        <v>0.83622641509433959</v>
      </c>
      <c r="G679" t="s">
        <v>6</v>
      </c>
      <c r="H679">
        <v>111</v>
      </c>
      <c r="I679">
        <f t="shared" si="21"/>
        <v>39.927927927927925</v>
      </c>
      <c r="J679" t="s">
        <v>109</v>
      </c>
      <c r="K679" t="s">
        <v>110</v>
      </c>
      <c r="L679" s="4">
        <v>42561.208333333328</v>
      </c>
      <c r="M679" s="4" t="s">
        <v>53</v>
      </c>
      <c r="N679" s="4" t="s">
        <v>153</v>
      </c>
      <c r="O679" s="4">
        <v>42611.208333333328</v>
      </c>
      <c r="P679" t="b">
        <v>0</v>
      </c>
      <c r="Q679" t="b">
        <v>0</v>
      </c>
      <c r="R679" t="s">
        <v>214</v>
      </c>
      <c r="S679" t="str" cm="1">
        <f t="array" ref="S679:T679">_xlfn.TEXTSPLIT(R679, "/", , FALSE)</f>
        <v>publishing</v>
      </c>
      <c r="T679" t="str">
        <v>fiction</v>
      </c>
    </row>
    <row r="680" spans="1:20" ht="17" x14ac:dyDescent="0.2">
      <c r="A680">
        <v>678</v>
      </c>
      <c r="B680" t="s">
        <v>1492</v>
      </c>
      <c r="C680" s="3" t="s">
        <v>1493</v>
      </c>
      <c r="D680">
        <v>99500</v>
      </c>
      <c r="E680">
        <v>17879</v>
      </c>
      <c r="F680" s="5">
        <f t="shared" si="20"/>
        <v>0.17968844221105529</v>
      </c>
      <c r="G680" t="s">
        <v>5</v>
      </c>
      <c r="H680">
        <v>215</v>
      </c>
      <c r="I680">
        <f t="shared" si="21"/>
        <v>83.158139534883716</v>
      </c>
      <c r="J680" t="s">
        <v>109</v>
      </c>
      <c r="K680" t="s">
        <v>110</v>
      </c>
      <c r="L680" s="4">
        <v>43484.25</v>
      </c>
      <c r="M680" s="4" t="s">
        <v>47</v>
      </c>
      <c r="N680" s="4" t="s">
        <v>121</v>
      </c>
      <c r="O680" s="4">
        <v>43486.25</v>
      </c>
      <c r="P680" t="b">
        <v>0</v>
      </c>
      <c r="Q680" t="b">
        <v>0</v>
      </c>
      <c r="R680" t="s">
        <v>146</v>
      </c>
      <c r="S680" t="str" cm="1">
        <f t="array" ref="S680:T680">_xlfn.TEXTSPLIT(R680, "/", , FALSE)</f>
        <v>film &amp; video</v>
      </c>
      <c r="T680" t="str">
        <v>drama</v>
      </c>
    </row>
    <row r="681" spans="1:20" ht="17" x14ac:dyDescent="0.2">
      <c r="A681">
        <v>679</v>
      </c>
      <c r="B681" t="s">
        <v>763</v>
      </c>
      <c r="C681" s="3" t="s">
        <v>1494</v>
      </c>
      <c r="D681">
        <v>1400</v>
      </c>
      <c r="E681">
        <v>14511</v>
      </c>
      <c r="F681" s="5">
        <f t="shared" si="20"/>
        <v>10.365</v>
      </c>
      <c r="G681" t="s">
        <v>8</v>
      </c>
      <c r="H681">
        <v>363</v>
      </c>
      <c r="I681">
        <f t="shared" si="21"/>
        <v>39.97520661157025</v>
      </c>
      <c r="J681" t="s">
        <v>109</v>
      </c>
      <c r="K681" t="s">
        <v>110</v>
      </c>
      <c r="L681" s="4">
        <v>43756.208333333328</v>
      </c>
      <c r="M681" s="4" t="s">
        <v>56</v>
      </c>
      <c r="N681" s="4" t="s">
        <v>121</v>
      </c>
      <c r="O681" s="4">
        <v>43761.208333333328</v>
      </c>
      <c r="P681" t="b">
        <v>0</v>
      </c>
      <c r="Q681" t="b">
        <v>1</v>
      </c>
      <c r="R681" t="s">
        <v>106</v>
      </c>
      <c r="S681" t="str" cm="1">
        <f t="array" ref="S681:T681">_xlfn.TEXTSPLIT(R681, "/", , FALSE)</f>
        <v>food</v>
      </c>
      <c r="T681" t="str">
        <v>food trucks</v>
      </c>
    </row>
    <row r="682" spans="1:20" ht="34" x14ac:dyDescent="0.2">
      <c r="A682">
        <v>680</v>
      </c>
      <c r="B682" t="s">
        <v>1495</v>
      </c>
      <c r="C682" s="3" t="s">
        <v>1496</v>
      </c>
      <c r="D682">
        <v>145600</v>
      </c>
      <c r="E682">
        <v>141822</v>
      </c>
      <c r="F682" s="5">
        <f t="shared" si="20"/>
        <v>0.97405219780219776</v>
      </c>
      <c r="G682" t="s">
        <v>6</v>
      </c>
      <c r="H682">
        <v>2955</v>
      </c>
      <c r="I682">
        <f t="shared" si="21"/>
        <v>47.993908629441627</v>
      </c>
      <c r="J682" t="s">
        <v>109</v>
      </c>
      <c r="K682" t="s">
        <v>110</v>
      </c>
      <c r="L682" s="4">
        <v>43813.25</v>
      </c>
      <c r="M682" s="4" t="s">
        <v>58</v>
      </c>
      <c r="N682" s="4" t="s">
        <v>121</v>
      </c>
      <c r="O682" s="4">
        <v>43815.25</v>
      </c>
      <c r="P682" t="b">
        <v>0</v>
      </c>
      <c r="Q682" t="b">
        <v>1</v>
      </c>
      <c r="R682" t="s">
        <v>387</v>
      </c>
      <c r="S682" t="str" cm="1">
        <f t="array" ref="S682:T682">_xlfn.TEXTSPLIT(R682, "/", , FALSE)</f>
        <v>games</v>
      </c>
      <c r="T682" t="str">
        <v>mobile games</v>
      </c>
    </row>
    <row r="683" spans="1:20" ht="34" x14ac:dyDescent="0.2">
      <c r="A683">
        <v>681</v>
      </c>
      <c r="B683" t="s">
        <v>1497</v>
      </c>
      <c r="C683" s="3" t="s">
        <v>1498</v>
      </c>
      <c r="D683">
        <v>184100</v>
      </c>
      <c r="E683">
        <v>159037</v>
      </c>
      <c r="F683" s="5">
        <f t="shared" si="20"/>
        <v>0.86386203150461705</v>
      </c>
      <c r="G683" t="s">
        <v>6</v>
      </c>
      <c r="H683">
        <v>1657</v>
      </c>
      <c r="I683">
        <f t="shared" si="21"/>
        <v>95.978877489438744</v>
      </c>
      <c r="J683" t="s">
        <v>109</v>
      </c>
      <c r="K683" t="s">
        <v>110</v>
      </c>
      <c r="L683" s="4">
        <v>40898.25</v>
      </c>
      <c r="M683" s="4" t="s">
        <v>58</v>
      </c>
      <c r="N683" s="4" t="s">
        <v>165</v>
      </c>
      <c r="O683" s="4">
        <v>40904.25</v>
      </c>
      <c r="P683" t="b">
        <v>0</v>
      </c>
      <c r="Q683" t="b">
        <v>0</v>
      </c>
      <c r="R683" t="s">
        <v>124</v>
      </c>
      <c r="S683" t="str" cm="1">
        <f t="array" ref="S683:T683">_xlfn.TEXTSPLIT(R683, "/", , FALSE)</f>
        <v>theater</v>
      </c>
      <c r="T683" t="str">
        <v>plays</v>
      </c>
    </row>
    <row r="684" spans="1:20" ht="17" x14ac:dyDescent="0.2">
      <c r="A684">
        <v>682</v>
      </c>
      <c r="B684" t="s">
        <v>1499</v>
      </c>
      <c r="C684" s="3" t="s">
        <v>1500</v>
      </c>
      <c r="D684">
        <v>5400</v>
      </c>
      <c r="E684">
        <v>8109</v>
      </c>
      <c r="F684" s="5">
        <f t="shared" si="20"/>
        <v>1.5016666666666667</v>
      </c>
      <c r="G684" t="s">
        <v>8</v>
      </c>
      <c r="H684">
        <v>103</v>
      </c>
      <c r="I684">
        <f t="shared" si="21"/>
        <v>78.728155339805824</v>
      </c>
      <c r="J684" t="s">
        <v>109</v>
      </c>
      <c r="K684" t="s">
        <v>110</v>
      </c>
      <c r="L684" s="4">
        <v>41619.25</v>
      </c>
      <c r="M684" s="4" t="s">
        <v>58</v>
      </c>
      <c r="N684" s="4" t="s">
        <v>117</v>
      </c>
      <c r="O684" s="4">
        <v>41628.25</v>
      </c>
      <c r="P684" t="b">
        <v>0</v>
      </c>
      <c r="Q684" t="b">
        <v>0</v>
      </c>
      <c r="R684" t="s">
        <v>124</v>
      </c>
      <c r="S684" t="str" cm="1">
        <f t="array" ref="S684:T684">_xlfn.TEXTSPLIT(R684, "/", , FALSE)</f>
        <v>theater</v>
      </c>
      <c r="T684" t="str">
        <v>plays</v>
      </c>
    </row>
    <row r="685" spans="1:20" ht="17" x14ac:dyDescent="0.2">
      <c r="A685">
        <v>683</v>
      </c>
      <c r="B685" t="s">
        <v>1501</v>
      </c>
      <c r="C685" s="3" t="s">
        <v>1502</v>
      </c>
      <c r="D685">
        <v>2300</v>
      </c>
      <c r="E685">
        <v>8244</v>
      </c>
      <c r="F685" s="5">
        <f t="shared" si="20"/>
        <v>3.5843478260869563</v>
      </c>
      <c r="G685" t="s">
        <v>8</v>
      </c>
      <c r="H685">
        <v>147</v>
      </c>
      <c r="I685">
        <f t="shared" si="21"/>
        <v>56.081632653061227</v>
      </c>
      <c r="J685" t="s">
        <v>109</v>
      </c>
      <c r="K685" t="s">
        <v>110</v>
      </c>
      <c r="L685" s="4">
        <v>43359.208333333328</v>
      </c>
      <c r="M685" s="4" t="s">
        <v>55</v>
      </c>
      <c r="N685" s="4" t="s">
        <v>169</v>
      </c>
      <c r="O685" s="4">
        <v>43361.208333333328</v>
      </c>
      <c r="P685" t="b">
        <v>0</v>
      </c>
      <c r="Q685" t="b">
        <v>0</v>
      </c>
      <c r="R685" t="s">
        <v>124</v>
      </c>
      <c r="S685" t="str" cm="1">
        <f t="array" ref="S685:T685">_xlfn.TEXTSPLIT(R685, "/", , FALSE)</f>
        <v>theater</v>
      </c>
      <c r="T685" t="str">
        <v>plays</v>
      </c>
    </row>
    <row r="686" spans="1:20" ht="17" x14ac:dyDescent="0.2">
      <c r="A686">
        <v>684</v>
      </c>
      <c r="B686" t="s">
        <v>1503</v>
      </c>
      <c r="C686" s="3" t="s">
        <v>1504</v>
      </c>
      <c r="D686">
        <v>1400</v>
      </c>
      <c r="E686">
        <v>7600</v>
      </c>
      <c r="F686" s="5">
        <f t="shared" si="20"/>
        <v>5.4285714285714288</v>
      </c>
      <c r="G686" t="s">
        <v>8</v>
      </c>
      <c r="H686">
        <v>110</v>
      </c>
      <c r="I686">
        <f t="shared" si="21"/>
        <v>69.090909090909093</v>
      </c>
      <c r="J686" t="s">
        <v>103</v>
      </c>
      <c r="K686" t="s">
        <v>104</v>
      </c>
      <c r="L686" s="4">
        <v>40358.208333333336</v>
      </c>
      <c r="M686" s="4" t="s">
        <v>52</v>
      </c>
      <c r="N686" s="4" t="s">
        <v>140</v>
      </c>
      <c r="O686" s="4">
        <v>40378.208333333336</v>
      </c>
      <c r="P686" t="b">
        <v>0</v>
      </c>
      <c r="Q686" t="b">
        <v>0</v>
      </c>
      <c r="R686" t="s">
        <v>162</v>
      </c>
      <c r="S686" t="str" cm="1">
        <f t="array" ref="S686:T686">_xlfn.TEXTSPLIT(R686, "/", , FALSE)</f>
        <v>publishing</v>
      </c>
      <c r="T686" t="str">
        <v>nonfiction</v>
      </c>
    </row>
    <row r="687" spans="1:20" ht="17" x14ac:dyDescent="0.2">
      <c r="A687">
        <v>685</v>
      </c>
      <c r="B687" t="s">
        <v>1505</v>
      </c>
      <c r="C687" s="3" t="s">
        <v>1506</v>
      </c>
      <c r="D687">
        <v>140000</v>
      </c>
      <c r="E687">
        <v>94501</v>
      </c>
      <c r="F687" s="5">
        <f t="shared" si="20"/>
        <v>0.67500714285714281</v>
      </c>
      <c r="G687" t="s">
        <v>6</v>
      </c>
      <c r="H687">
        <v>926</v>
      </c>
      <c r="I687">
        <f t="shared" si="21"/>
        <v>102.05291576673866</v>
      </c>
      <c r="J687" t="s">
        <v>103</v>
      </c>
      <c r="K687" t="s">
        <v>104</v>
      </c>
      <c r="L687" s="4">
        <v>42239.208333333328</v>
      </c>
      <c r="M687" s="4" t="s">
        <v>54</v>
      </c>
      <c r="N687" s="4" t="s">
        <v>105</v>
      </c>
      <c r="O687" s="4">
        <v>42263.208333333328</v>
      </c>
      <c r="P687" t="b">
        <v>0</v>
      </c>
      <c r="Q687" t="b">
        <v>0</v>
      </c>
      <c r="R687" t="s">
        <v>124</v>
      </c>
      <c r="S687" t="str" cm="1">
        <f t="array" ref="S687:T687">_xlfn.TEXTSPLIT(R687, "/", , FALSE)</f>
        <v>theater</v>
      </c>
      <c r="T687" t="str">
        <v>plays</v>
      </c>
    </row>
    <row r="688" spans="1:20" ht="17" x14ac:dyDescent="0.2">
      <c r="A688">
        <v>686</v>
      </c>
      <c r="B688" t="s">
        <v>1507</v>
      </c>
      <c r="C688" s="3" t="s">
        <v>1508</v>
      </c>
      <c r="D688">
        <v>7500</v>
      </c>
      <c r="E688">
        <v>14381</v>
      </c>
      <c r="F688" s="5">
        <f t="shared" si="20"/>
        <v>1.9174666666666667</v>
      </c>
      <c r="G688" t="s">
        <v>8</v>
      </c>
      <c r="H688">
        <v>134</v>
      </c>
      <c r="I688">
        <f t="shared" si="21"/>
        <v>107.32089552238806</v>
      </c>
      <c r="J688" t="s">
        <v>109</v>
      </c>
      <c r="K688" t="s">
        <v>110</v>
      </c>
      <c r="L688" s="4">
        <v>43186.208333333328</v>
      </c>
      <c r="M688" s="4" t="s">
        <v>49</v>
      </c>
      <c r="N688" s="4" t="s">
        <v>169</v>
      </c>
      <c r="O688" s="4">
        <v>43197.208333333328</v>
      </c>
      <c r="P688" t="b">
        <v>0</v>
      </c>
      <c r="Q688" t="b">
        <v>0</v>
      </c>
      <c r="R688" t="s">
        <v>159</v>
      </c>
      <c r="S688" t="str" cm="1">
        <f t="array" ref="S688:T688">_xlfn.TEXTSPLIT(R688, "/", , FALSE)</f>
        <v>technology</v>
      </c>
      <c r="T688" t="str">
        <v>wearables</v>
      </c>
    </row>
    <row r="689" spans="1:20" ht="17" x14ac:dyDescent="0.2">
      <c r="A689">
        <v>687</v>
      </c>
      <c r="B689" t="s">
        <v>1509</v>
      </c>
      <c r="C689" s="3" t="s">
        <v>1510</v>
      </c>
      <c r="D689">
        <v>1500</v>
      </c>
      <c r="E689">
        <v>13980</v>
      </c>
      <c r="F689" s="5">
        <f t="shared" si="20"/>
        <v>9.32</v>
      </c>
      <c r="G689" t="s">
        <v>8</v>
      </c>
      <c r="H689">
        <v>269</v>
      </c>
      <c r="I689">
        <f t="shared" si="21"/>
        <v>51.970260223048328</v>
      </c>
      <c r="J689" t="s">
        <v>109</v>
      </c>
      <c r="K689" t="s">
        <v>110</v>
      </c>
      <c r="L689" s="4">
        <v>42806.25</v>
      </c>
      <c r="M689" s="4" t="s">
        <v>49</v>
      </c>
      <c r="N689" s="4" t="s">
        <v>134</v>
      </c>
      <c r="O689" s="4">
        <v>42809.208333333328</v>
      </c>
      <c r="P689" t="b">
        <v>0</v>
      </c>
      <c r="Q689" t="b">
        <v>0</v>
      </c>
      <c r="R689" t="s">
        <v>124</v>
      </c>
      <c r="S689" t="str" cm="1">
        <f t="array" ref="S689:T689">_xlfn.TEXTSPLIT(R689, "/", , FALSE)</f>
        <v>theater</v>
      </c>
      <c r="T689" t="str">
        <v>plays</v>
      </c>
    </row>
    <row r="690" spans="1:20" ht="17" x14ac:dyDescent="0.2">
      <c r="A690">
        <v>688</v>
      </c>
      <c r="B690" t="s">
        <v>1511</v>
      </c>
      <c r="C690" s="3" t="s">
        <v>1512</v>
      </c>
      <c r="D690">
        <v>2900</v>
      </c>
      <c r="E690">
        <v>12449</v>
      </c>
      <c r="F690" s="5">
        <f t="shared" si="20"/>
        <v>4.2927586206896553</v>
      </c>
      <c r="G690" t="s">
        <v>8</v>
      </c>
      <c r="H690">
        <v>175</v>
      </c>
      <c r="I690">
        <f t="shared" si="21"/>
        <v>71.137142857142862</v>
      </c>
      <c r="J690" t="s">
        <v>109</v>
      </c>
      <c r="K690" t="s">
        <v>110</v>
      </c>
      <c r="L690" s="4">
        <v>43475.25</v>
      </c>
      <c r="M690" s="4" t="s">
        <v>47</v>
      </c>
      <c r="N690" s="4" t="s">
        <v>121</v>
      </c>
      <c r="O690" s="4">
        <v>43491.25</v>
      </c>
      <c r="P690" t="b">
        <v>0</v>
      </c>
      <c r="Q690" t="b">
        <v>1</v>
      </c>
      <c r="R690" t="s">
        <v>364</v>
      </c>
      <c r="S690" t="str" cm="1">
        <f t="array" ref="S690:T690">_xlfn.TEXTSPLIT(R690, "/", , FALSE)</f>
        <v>film &amp; video</v>
      </c>
      <c r="T690" t="str">
        <v>television</v>
      </c>
    </row>
    <row r="691" spans="1:20" ht="17" x14ac:dyDescent="0.2">
      <c r="A691">
        <v>689</v>
      </c>
      <c r="B691" t="s">
        <v>1513</v>
      </c>
      <c r="C691" s="3" t="s">
        <v>1514</v>
      </c>
      <c r="D691">
        <v>7300</v>
      </c>
      <c r="E691">
        <v>7348</v>
      </c>
      <c r="F691" s="5">
        <f t="shared" si="20"/>
        <v>1.0065753424657535</v>
      </c>
      <c r="G691" t="s">
        <v>8</v>
      </c>
      <c r="H691">
        <v>69</v>
      </c>
      <c r="I691">
        <f t="shared" si="21"/>
        <v>106.49275362318841</v>
      </c>
      <c r="J691" t="s">
        <v>109</v>
      </c>
      <c r="K691" t="s">
        <v>110</v>
      </c>
      <c r="L691" s="4">
        <v>41576.208333333336</v>
      </c>
      <c r="M691" s="4" t="s">
        <v>56</v>
      </c>
      <c r="N691" s="4" t="s">
        <v>117</v>
      </c>
      <c r="O691" s="4">
        <v>41588.25</v>
      </c>
      <c r="P691" t="b">
        <v>0</v>
      </c>
      <c r="Q691" t="b">
        <v>0</v>
      </c>
      <c r="R691" t="s">
        <v>118</v>
      </c>
      <c r="S691" t="str" cm="1">
        <f t="array" ref="S691:T691">_xlfn.TEXTSPLIT(R691, "/", , FALSE)</f>
        <v>technology</v>
      </c>
      <c r="T691" t="str">
        <v>web</v>
      </c>
    </row>
    <row r="692" spans="1:20" ht="17" x14ac:dyDescent="0.2">
      <c r="A692">
        <v>690</v>
      </c>
      <c r="B692" t="s">
        <v>1515</v>
      </c>
      <c r="C692" s="3" t="s">
        <v>1516</v>
      </c>
      <c r="D692">
        <v>3600</v>
      </c>
      <c r="E692">
        <v>8158</v>
      </c>
      <c r="F692" s="5">
        <f t="shared" si="20"/>
        <v>2.266111111111111</v>
      </c>
      <c r="G692" t="s">
        <v>8</v>
      </c>
      <c r="H692">
        <v>190</v>
      </c>
      <c r="I692">
        <f t="shared" si="21"/>
        <v>42.93684210526316</v>
      </c>
      <c r="J692" t="s">
        <v>109</v>
      </c>
      <c r="K692" t="s">
        <v>110</v>
      </c>
      <c r="L692" s="4">
        <v>40874.25</v>
      </c>
      <c r="M692" s="4" t="s">
        <v>57</v>
      </c>
      <c r="N692" s="4" t="s">
        <v>165</v>
      </c>
      <c r="O692" s="4">
        <v>40880.25</v>
      </c>
      <c r="P692" t="b">
        <v>0</v>
      </c>
      <c r="Q692" t="b">
        <v>1</v>
      </c>
      <c r="R692" t="s">
        <v>135</v>
      </c>
      <c r="S692" t="str" cm="1">
        <f t="array" ref="S692:T692">_xlfn.TEXTSPLIT(R692, "/", , FALSE)</f>
        <v>film &amp; video</v>
      </c>
      <c r="T692" t="str">
        <v>documentary</v>
      </c>
    </row>
    <row r="693" spans="1:20" ht="17" x14ac:dyDescent="0.2">
      <c r="A693">
        <v>691</v>
      </c>
      <c r="B693" t="s">
        <v>1517</v>
      </c>
      <c r="C693" s="3" t="s">
        <v>1518</v>
      </c>
      <c r="D693">
        <v>5000</v>
      </c>
      <c r="E693">
        <v>7119</v>
      </c>
      <c r="F693" s="5">
        <f t="shared" si="20"/>
        <v>1.4238</v>
      </c>
      <c r="G693" t="s">
        <v>8</v>
      </c>
      <c r="H693">
        <v>237</v>
      </c>
      <c r="I693">
        <f t="shared" si="21"/>
        <v>30.037974683544302</v>
      </c>
      <c r="J693" t="s">
        <v>109</v>
      </c>
      <c r="K693" t="s">
        <v>110</v>
      </c>
      <c r="L693" s="4">
        <v>41185.208333333336</v>
      </c>
      <c r="M693" s="4" t="s">
        <v>56</v>
      </c>
      <c r="N693" s="4" t="s">
        <v>129</v>
      </c>
      <c r="O693" s="4">
        <v>41202.208333333336</v>
      </c>
      <c r="P693" t="b">
        <v>1</v>
      </c>
      <c r="Q693" t="b">
        <v>1</v>
      </c>
      <c r="R693" t="s">
        <v>135</v>
      </c>
      <c r="S693" t="str" cm="1">
        <f t="array" ref="S693:T693">_xlfn.TEXTSPLIT(R693, "/", , FALSE)</f>
        <v>film &amp; video</v>
      </c>
      <c r="T693" t="str">
        <v>documentary</v>
      </c>
    </row>
    <row r="694" spans="1:20" ht="17" x14ac:dyDescent="0.2">
      <c r="A694">
        <v>692</v>
      </c>
      <c r="B694" t="s">
        <v>1519</v>
      </c>
      <c r="C694" s="3" t="s">
        <v>1520</v>
      </c>
      <c r="D694">
        <v>6000</v>
      </c>
      <c r="E694">
        <v>5438</v>
      </c>
      <c r="F694" s="5">
        <f t="shared" si="20"/>
        <v>0.90633333333333332</v>
      </c>
      <c r="G694" t="s">
        <v>6</v>
      </c>
      <c r="H694">
        <v>77</v>
      </c>
      <c r="I694">
        <f t="shared" si="21"/>
        <v>70.623376623376629</v>
      </c>
      <c r="J694" t="s">
        <v>132</v>
      </c>
      <c r="K694" t="s">
        <v>133</v>
      </c>
      <c r="L694" s="4">
        <v>43655.208333333328</v>
      </c>
      <c r="M694" s="4" t="s">
        <v>53</v>
      </c>
      <c r="N694" s="4" t="s">
        <v>121</v>
      </c>
      <c r="O694" s="4">
        <v>43673.208333333328</v>
      </c>
      <c r="P694" t="b">
        <v>0</v>
      </c>
      <c r="Q694" t="b">
        <v>0</v>
      </c>
      <c r="R694" t="s">
        <v>112</v>
      </c>
      <c r="S694" t="str" cm="1">
        <f t="array" ref="S694:T694">_xlfn.TEXTSPLIT(R694, "/", , FALSE)</f>
        <v>music</v>
      </c>
      <c r="T694" t="str">
        <v>rock</v>
      </c>
    </row>
    <row r="695" spans="1:20" ht="34" x14ac:dyDescent="0.2">
      <c r="A695">
        <v>693</v>
      </c>
      <c r="B695" t="s">
        <v>1521</v>
      </c>
      <c r="C695" s="3" t="s">
        <v>1522</v>
      </c>
      <c r="D695">
        <v>180400</v>
      </c>
      <c r="E695">
        <v>115396</v>
      </c>
      <c r="F695" s="5">
        <f t="shared" si="20"/>
        <v>0.63966740576496672</v>
      </c>
      <c r="G695" t="s">
        <v>6</v>
      </c>
      <c r="H695">
        <v>1748</v>
      </c>
      <c r="I695">
        <f t="shared" si="21"/>
        <v>66.016018306636155</v>
      </c>
      <c r="J695" t="s">
        <v>109</v>
      </c>
      <c r="K695" t="s">
        <v>110</v>
      </c>
      <c r="L695" s="4">
        <v>43025.208333333328</v>
      </c>
      <c r="M695" s="4" t="s">
        <v>56</v>
      </c>
      <c r="N695" s="4" t="s">
        <v>134</v>
      </c>
      <c r="O695" s="4">
        <v>43042.208333333328</v>
      </c>
      <c r="P695" t="b">
        <v>0</v>
      </c>
      <c r="Q695" t="b">
        <v>0</v>
      </c>
      <c r="R695" t="s">
        <v>124</v>
      </c>
      <c r="S695" t="str" cm="1">
        <f t="array" ref="S695:T695">_xlfn.TEXTSPLIT(R695, "/", , FALSE)</f>
        <v>theater</v>
      </c>
      <c r="T695" t="str">
        <v>plays</v>
      </c>
    </row>
    <row r="696" spans="1:20" ht="17" x14ac:dyDescent="0.2">
      <c r="A696">
        <v>694</v>
      </c>
      <c r="B696" t="s">
        <v>1523</v>
      </c>
      <c r="C696" s="3" t="s">
        <v>1524</v>
      </c>
      <c r="D696">
        <v>9100</v>
      </c>
      <c r="E696">
        <v>7656</v>
      </c>
      <c r="F696" s="5">
        <f t="shared" si="20"/>
        <v>0.84131868131868137</v>
      </c>
      <c r="G696" t="s">
        <v>6</v>
      </c>
      <c r="H696">
        <v>79</v>
      </c>
      <c r="I696">
        <f t="shared" si="21"/>
        <v>96.911392405063296</v>
      </c>
      <c r="J696" t="s">
        <v>109</v>
      </c>
      <c r="K696" t="s">
        <v>110</v>
      </c>
      <c r="L696" s="4">
        <v>43066.25</v>
      </c>
      <c r="M696" s="4" t="s">
        <v>57</v>
      </c>
      <c r="N696" s="4" t="s">
        <v>134</v>
      </c>
      <c r="O696" s="4">
        <v>43103.25</v>
      </c>
      <c r="P696" t="b">
        <v>0</v>
      </c>
      <c r="Q696" t="b">
        <v>0</v>
      </c>
      <c r="R696" t="s">
        <v>124</v>
      </c>
      <c r="S696" t="str" cm="1">
        <f t="array" ref="S696:T696">_xlfn.TEXTSPLIT(R696, "/", , FALSE)</f>
        <v>theater</v>
      </c>
      <c r="T696" t="str">
        <v>plays</v>
      </c>
    </row>
    <row r="697" spans="1:20" ht="17" x14ac:dyDescent="0.2">
      <c r="A697">
        <v>695</v>
      </c>
      <c r="B697" t="s">
        <v>1525</v>
      </c>
      <c r="C697" s="3" t="s">
        <v>1526</v>
      </c>
      <c r="D697">
        <v>9200</v>
      </c>
      <c r="E697">
        <v>12322</v>
      </c>
      <c r="F697" s="5">
        <f t="shared" si="20"/>
        <v>1.3393478260869565</v>
      </c>
      <c r="G697" t="s">
        <v>8</v>
      </c>
      <c r="H697">
        <v>196</v>
      </c>
      <c r="I697">
        <f t="shared" si="21"/>
        <v>62.867346938775512</v>
      </c>
      <c r="J697" t="s">
        <v>202</v>
      </c>
      <c r="K697" t="s">
        <v>203</v>
      </c>
      <c r="L697" s="4">
        <v>42322.25</v>
      </c>
      <c r="M697" s="4" t="s">
        <v>57</v>
      </c>
      <c r="N697" s="4" t="s">
        <v>105</v>
      </c>
      <c r="O697" s="4">
        <v>42338.25</v>
      </c>
      <c r="P697" t="b">
        <v>1</v>
      </c>
      <c r="Q697" t="b">
        <v>0</v>
      </c>
      <c r="R697" t="s">
        <v>112</v>
      </c>
      <c r="S697" t="str" cm="1">
        <f t="array" ref="S697:T697">_xlfn.TEXTSPLIT(R697, "/", , FALSE)</f>
        <v>music</v>
      </c>
      <c r="T697" t="str">
        <v>rock</v>
      </c>
    </row>
    <row r="698" spans="1:20" ht="17" x14ac:dyDescent="0.2">
      <c r="A698">
        <v>696</v>
      </c>
      <c r="B698" t="s">
        <v>1527</v>
      </c>
      <c r="C698" s="3" t="s">
        <v>1528</v>
      </c>
      <c r="D698">
        <v>164100</v>
      </c>
      <c r="E698">
        <v>96888</v>
      </c>
      <c r="F698" s="5">
        <f t="shared" si="20"/>
        <v>0.59042047531992692</v>
      </c>
      <c r="G698" t="s">
        <v>6</v>
      </c>
      <c r="H698">
        <v>889</v>
      </c>
      <c r="I698">
        <f t="shared" si="21"/>
        <v>108.98537682789652</v>
      </c>
      <c r="J698" t="s">
        <v>109</v>
      </c>
      <c r="K698" t="s">
        <v>110</v>
      </c>
      <c r="L698" s="4">
        <v>42114.208333333328</v>
      </c>
      <c r="M698" s="4" t="s">
        <v>50</v>
      </c>
      <c r="N698" s="4" t="s">
        <v>105</v>
      </c>
      <c r="O698" s="4">
        <v>42115.208333333328</v>
      </c>
      <c r="P698" t="b">
        <v>0</v>
      </c>
      <c r="Q698" t="b">
        <v>1</v>
      </c>
      <c r="R698" t="s">
        <v>124</v>
      </c>
      <c r="S698" t="str" cm="1">
        <f t="array" ref="S698:T698">_xlfn.TEXTSPLIT(R698, "/", , FALSE)</f>
        <v>theater</v>
      </c>
      <c r="T698" t="str">
        <v>plays</v>
      </c>
    </row>
    <row r="699" spans="1:20" ht="34" x14ac:dyDescent="0.2">
      <c r="A699">
        <v>697</v>
      </c>
      <c r="B699" t="s">
        <v>1529</v>
      </c>
      <c r="C699" s="3" t="s">
        <v>1530</v>
      </c>
      <c r="D699">
        <v>128900</v>
      </c>
      <c r="E699">
        <v>196960</v>
      </c>
      <c r="F699" s="5">
        <f t="shared" si="20"/>
        <v>1.5280062063615205</v>
      </c>
      <c r="G699" t="s">
        <v>8</v>
      </c>
      <c r="H699">
        <v>7295</v>
      </c>
      <c r="I699">
        <f t="shared" si="21"/>
        <v>26.999314599040439</v>
      </c>
      <c r="J699" t="s">
        <v>109</v>
      </c>
      <c r="K699" t="s">
        <v>110</v>
      </c>
      <c r="L699" s="4">
        <v>43190.208333333328</v>
      </c>
      <c r="M699" s="4" t="s">
        <v>49</v>
      </c>
      <c r="N699" s="4" t="s">
        <v>169</v>
      </c>
      <c r="O699" s="4">
        <v>43192.208333333328</v>
      </c>
      <c r="P699" t="b">
        <v>0</v>
      </c>
      <c r="Q699" t="b">
        <v>0</v>
      </c>
      <c r="R699" t="s">
        <v>143</v>
      </c>
      <c r="S699" t="str" cm="1">
        <f t="array" ref="S699:T699">_xlfn.TEXTSPLIT(R699, "/", , FALSE)</f>
        <v>music</v>
      </c>
      <c r="T699" t="str">
        <v>electric music</v>
      </c>
    </row>
    <row r="700" spans="1:20" ht="17" x14ac:dyDescent="0.2">
      <c r="A700">
        <v>698</v>
      </c>
      <c r="B700" t="s">
        <v>1531</v>
      </c>
      <c r="C700" s="3" t="s">
        <v>1532</v>
      </c>
      <c r="D700">
        <v>42100</v>
      </c>
      <c r="E700">
        <v>188057</v>
      </c>
      <c r="F700" s="5">
        <f t="shared" si="20"/>
        <v>4.466912114014252</v>
      </c>
      <c r="G700" t="s">
        <v>8</v>
      </c>
      <c r="H700">
        <v>2893</v>
      </c>
      <c r="I700">
        <f t="shared" si="21"/>
        <v>65.004147943311438</v>
      </c>
      <c r="J700" t="s">
        <v>103</v>
      </c>
      <c r="K700" t="s">
        <v>104</v>
      </c>
      <c r="L700" s="4">
        <v>40871.25</v>
      </c>
      <c r="M700" s="4" t="s">
        <v>57</v>
      </c>
      <c r="N700" s="4" t="s">
        <v>165</v>
      </c>
      <c r="O700" s="4">
        <v>40885.25</v>
      </c>
      <c r="P700" t="b">
        <v>0</v>
      </c>
      <c r="Q700" t="b">
        <v>0</v>
      </c>
      <c r="R700" t="s">
        <v>159</v>
      </c>
      <c r="S700" t="str" cm="1">
        <f t="array" ref="S700:T700">_xlfn.TEXTSPLIT(R700, "/", , FALSE)</f>
        <v>technology</v>
      </c>
      <c r="T700" t="str">
        <v>wearables</v>
      </c>
    </row>
    <row r="701" spans="1:20" ht="17" x14ac:dyDescent="0.2">
      <c r="A701">
        <v>699</v>
      </c>
      <c r="B701" t="s">
        <v>539</v>
      </c>
      <c r="C701" s="3" t="s">
        <v>1533</v>
      </c>
      <c r="D701">
        <v>7400</v>
      </c>
      <c r="E701">
        <v>6245</v>
      </c>
      <c r="F701" s="5">
        <f t="shared" si="20"/>
        <v>0.8439189189189189</v>
      </c>
      <c r="G701" t="s">
        <v>6</v>
      </c>
      <c r="H701">
        <v>56</v>
      </c>
      <c r="I701">
        <f t="shared" si="21"/>
        <v>111.51785714285714</v>
      </c>
      <c r="J701" t="s">
        <v>109</v>
      </c>
      <c r="K701" t="s">
        <v>110</v>
      </c>
      <c r="L701" s="4">
        <v>43641.208333333328</v>
      </c>
      <c r="M701" s="4" t="s">
        <v>52</v>
      </c>
      <c r="N701" s="4" t="s">
        <v>121</v>
      </c>
      <c r="O701" s="4">
        <v>43642.208333333328</v>
      </c>
      <c r="P701" t="b">
        <v>0</v>
      </c>
      <c r="Q701" t="b">
        <v>0</v>
      </c>
      <c r="R701" t="s">
        <v>146</v>
      </c>
      <c r="S701" t="str" cm="1">
        <f t="array" ref="S701:T701">_xlfn.TEXTSPLIT(R701, "/", , FALSE)</f>
        <v>film &amp; video</v>
      </c>
      <c r="T701" t="str">
        <v>drama</v>
      </c>
    </row>
    <row r="702" spans="1:20" ht="34" x14ac:dyDescent="0.2">
      <c r="A702">
        <v>700</v>
      </c>
      <c r="B702" t="s">
        <v>1534</v>
      </c>
      <c r="C702" s="3" t="s">
        <v>1535</v>
      </c>
      <c r="D702">
        <v>100</v>
      </c>
      <c r="E702">
        <v>3</v>
      </c>
      <c r="F702" s="5">
        <f t="shared" si="20"/>
        <v>0.03</v>
      </c>
      <c r="G702" t="s">
        <v>6</v>
      </c>
      <c r="H702">
        <v>1</v>
      </c>
      <c r="I702">
        <f t="shared" si="21"/>
        <v>3</v>
      </c>
      <c r="J702" t="s">
        <v>109</v>
      </c>
      <c r="K702" t="s">
        <v>110</v>
      </c>
      <c r="L702" s="4">
        <v>40203.25</v>
      </c>
      <c r="M702" s="4" t="s">
        <v>47</v>
      </c>
      <c r="N702" s="4" t="s">
        <v>140</v>
      </c>
      <c r="O702" s="4">
        <v>40218.25</v>
      </c>
      <c r="P702" t="b">
        <v>0</v>
      </c>
      <c r="Q702" t="b">
        <v>0</v>
      </c>
      <c r="R702" t="s">
        <v>159</v>
      </c>
      <c r="S702" t="str" cm="1">
        <f t="array" ref="S702:T702">_xlfn.TEXTSPLIT(R702, "/", , FALSE)</f>
        <v>technology</v>
      </c>
      <c r="T702" t="str">
        <v>wearables</v>
      </c>
    </row>
    <row r="703" spans="1:20" ht="34" x14ac:dyDescent="0.2">
      <c r="A703">
        <v>701</v>
      </c>
      <c r="B703" t="s">
        <v>1536</v>
      </c>
      <c r="C703" s="3" t="s">
        <v>1537</v>
      </c>
      <c r="D703">
        <v>52000</v>
      </c>
      <c r="E703">
        <v>91014</v>
      </c>
      <c r="F703" s="5">
        <f t="shared" si="20"/>
        <v>1.7502692307692307</v>
      </c>
      <c r="G703" t="s">
        <v>8</v>
      </c>
      <c r="H703">
        <v>820</v>
      </c>
      <c r="I703">
        <f t="shared" si="21"/>
        <v>110.99268292682927</v>
      </c>
      <c r="J703" t="s">
        <v>109</v>
      </c>
      <c r="K703" t="s">
        <v>110</v>
      </c>
      <c r="L703" s="4">
        <v>40629.208333333336</v>
      </c>
      <c r="M703" s="4" t="s">
        <v>49</v>
      </c>
      <c r="N703" s="4" t="s">
        <v>165</v>
      </c>
      <c r="O703" s="4">
        <v>40636.208333333336</v>
      </c>
      <c r="P703" t="b">
        <v>1</v>
      </c>
      <c r="Q703" t="b">
        <v>0</v>
      </c>
      <c r="R703" t="s">
        <v>124</v>
      </c>
      <c r="S703" t="str" cm="1">
        <f t="array" ref="S703:T703">_xlfn.TEXTSPLIT(R703, "/", , FALSE)</f>
        <v>theater</v>
      </c>
      <c r="T703" t="str">
        <v>plays</v>
      </c>
    </row>
    <row r="704" spans="1:20" ht="34" x14ac:dyDescent="0.2">
      <c r="A704">
        <v>702</v>
      </c>
      <c r="B704" t="s">
        <v>1538</v>
      </c>
      <c r="C704" s="3" t="s">
        <v>1539</v>
      </c>
      <c r="D704">
        <v>8700</v>
      </c>
      <c r="E704">
        <v>4710</v>
      </c>
      <c r="F704" s="5">
        <f t="shared" si="20"/>
        <v>0.54137931034482756</v>
      </c>
      <c r="G704" t="s">
        <v>6</v>
      </c>
      <c r="H704">
        <v>83</v>
      </c>
      <c r="I704">
        <f t="shared" si="21"/>
        <v>56.746987951807228</v>
      </c>
      <c r="J704" t="s">
        <v>109</v>
      </c>
      <c r="K704" t="s">
        <v>110</v>
      </c>
      <c r="L704" s="4">
        <v>41477.208333333336</v>
      </c>
      <c r="M704" s="4" t="s">
        <v>53</v>
      </c>
      <c r="N704" s="4" t="s">
        <v>117</v>
      </c>
      <c r="O704" s="4">
        <v>41482.208333333336</v>
      </c>
      <c r="P704" t="b">
        <v>0</v>
      </c>
      <c r="Q704" t="b">
        <v>0</v>
      </c>
      <c r="R704" t="s">
        <v>159</v>
      </c>
      <c r="S704" t="str" cm="1">
        <f t="array" ref="S704:T704">_xlfn.TEXTSPLIT(R704, "/", , FALSE)</f>
        <v>technology</v>
      </c>
      <c r="T704" t="str">
        <v>wearables</v>
      </c>
    </row>
    <row r="705" spans="1:20" ht="17" x14ac:dyDescent="0.2">
      <c r="A705">
        <v>703</v>
      </c>
      <c r="B705" t="s">
        <v>1540</v>
      </c>
      <c r="C705" s="3" t="s">
        <v>1541</v>
      </c>
      <c r="D705">
        <v>63400</v>
      </c>
      <c r="E705">
        <v>197728</v>
      </c>
      <c r="F705" s="5">
        <f t="shared" si="20"/>
        <v>3.1187381703470032</v>
      </c>
      <c r="G705" t="s">
        <v>8</v>
      </c>
      <c r="H705">
        <v>2038</v>
      </c>
      <c r="I705">
        <f t="shared" si="21"/>
        <v>97.020608439646708</v>
      </c>
      <c r="J705" t="s">
        <v>109</v>
      </c>
      <c r="K705" t="s">
        <v>110</v>
      </c>
      <c r="L705" s="4">
        <v>41020.208333333336</v>
      </c>
      <c r="M705" s="4" t="s">
        <v>50</v>
      </c>
      <c r="N705" s="4" t="s">
        <v>129</v>
      </c>
      <c r="O705" s="4">
        <v>41037.208333333336</v>
      </c>
      <c r="P705" t="b">
        <v>1</v>
      </c>
      <c r="Q705" t="b">
        <v>1</v>
      </c>
      <c r="R705" t="s">
        <v>301</v>
      </c>
      <c r="S705" t="str" cm="1">
        <f t="array" ref="S705:T705">_xlfn.TEXTSPLIT(R705, "/", , FALSE)</f>
        <v>publishing</v>
      </c>
      <c r="T705" t="str">
        <v>translations</v>
      </c>
    </row>
    <row r="706" spans="1:20" ht="34" x14ac:dyDescent="0.2">
      <c r="A706">
        <v>704</v>
      </c>
      <c r="B706" t="s">
        <v>1542</v>
      </c>
      <c r="C706" s="3" t="s">
        <v>1543</v>
      </c>
      <c r="D706">
        <v>8700</v>
      </c>
      <c r="E706">
        <v>10682</v>
      </c>
      <c r="F706" s="5">
        <f t="shared" si="20"/>
        <v>1.2278160919540231</v>
      </c>
      <c r="G706" t="s">
        <v>8</v>
      </c>
      <c r="H706">
        <v>116</v>
      </c>
      <c r="I706">
        <f t="shared" si="21"/>
        <v>92.08620689655173</v>
      </c>
      <c r="J706" t="s">
        <v>109</v>
      </c>
      <c r="K706" t="s">
        <v>110</v>
      </c>
      <c r="L706" s="4">
        <v>42555.208333333328</v>
      </c>
      <c r="M706" s="4" t="s">
        <v>53</v>
      </c>
      <c r="N706" s="4" t="s">
        <v>153</v>
      </c>
      <c r="O706" s="4">
        <v>42570.208333333328</v>
      </c>
      <c r="P706" t="b">
        <v>0</v>
      </c>
      <c r="Q706" t="b">
        <v>0</v>
      </c>
      <c r="R706" t="s">
        <v>166</v>
      </c>
      <c r="S706" t="str" cm="1">
        <f t="array" ref="S706:T706">_xlfn.TEXTSPLIT(R706, "/", , FALSE)</f>
        <v>film &amp; video</v>
      </c>
      <c r="T706" t="str">
        <v>animation</v>
      </c>
    </row>
    <row r="707" spans="1:20" ht="17" x14ac:dyDescent="0.2">
      <c r="A707">
        <v>705</v>
      </c>
      <c r="B707" t="s">
        <v>1544</v>
      </c>
      <c r="C707" s="3" t="s">
        <v>1545</v>
      </c>
      <c r="D707">
        <v>169700</v>
      </c>
      <c r="E707">
        <v>168048</v>
      </c>
      <c r="F707" s="5">
        <f t="shared" ref="F707:F770" si="22">E707/D707</f>
        <v>0.99026517383618151</v>
      </c>
      <c r="G707" t="s">
        <v>6</v>
      </c>
      <c r="H707">
        <v>2025</v>
      </c>
      <c r="I707">
        <f t="shared" ref="I707:I770" si="23">E707/H707</f>
        <v>82.986666666666665</v>
      </c>
      <c r="J707" t="s">
        <v>132</v>
      </c>
      <c r="K707" t="s">
        <v>133</v>
      </c>
      <c r="L707" s="4">
        <v>41619.25</v>
      </c>
      <c r="M707" s="4" t="s">
        <v>58</v>
      </c>
      <c r="N707" s="4" t="s">
        <v>117</v>
      </c>
      <c r="O707" s="4">
        <v>41623.25</v>
      </c>
      <c r="P707" t="b">
        <v>0</v>
      </c>
      <c r="Q707" t="b">
        <v>0</v>
      </c>
      <c r="R707" t="s">
        <v>162</v>
      </c>
      <c r="S707" t="str" cm="1">
        <f t="array" ref="S707:T707">_xlfn.TEXTSPLIT(R707, "/", , FALSE)</f>
        <v>publishing</v>
      </c>
      <c r="T707" t="str">
        <v>nonfiction</v>
      </c>
    </row>
    <row r="708" spans="1:20" ht="34" x14ac:dyDescent="0.2">
      <c r="A708">
        <v>706</v>
      </c>
      <c r="B708" t="s">
        <v>1546</v>
      </c>
      <c r="C708" s="3" t="s">
        <v>1547</v>
      </c>
      <c r="D708">
        <v>108400</v>
      </c>
      <c r="E708">
        <v>138586</v>
      </c>
      <c r="F708" s="5">
        <f t="shared" si="22"/>
        <v>1.278468634686347</v>
      </c>
      <c r="G708" t="s">
        <v>8</v>
      </c>
      <c r="H708">
        <v>1345</v>
      </c>
      <c r="I708">
        <f t="shared" si="23"/>
        <v>103.03791821561339</v>
      </c>
      <c r="J708" t="s">
        <v>115</v>
      </c>
      <c r="K708" t="s">
        <v>116</v>
      </c>
      <c r="L708" s="4">
        <v>43471.25</v>
      </c>
      <c r="M708" s="4" t="s">
        <v>47</v>
      </c>
      <c r="N708" s="4" t="s">
        <v>121</v>
      </c>
      <c r="O708" s="4">
        <v>43479.25</v>
      </c>
      <c r="P708" t="b">
        <v>0</v>
      </c>
      <c r="Q708" t="b">
        <v>1</v>
      </c>
      <c r="R708" t="s">
        <v>118</v>
      </c>
      <c r="S708" t="str" cm="1">
        <f t="array" ref="S708:T708">_xlfn.TEXTSPLIT(R708, "/", , FALSE)</f>
        <v>technology</v>
      </c>
      <c r="T708" t="str">
        <v>web</v>
      </c>
    </row>
    <row r="709" spans="1:20" ht="34" x14ac:dyDescent="0.2">
      <c r="A709">
        <v>707</v>
      </c>
      <c r="B709" t="s">
        <v>1548</v>
      </c>
      <c r="C709" s="3" t="s">
        <v>1549</v>
      </c>
      <c r="D709">
        <v>7300</v>
      </c>
      <c r="E709">
        <v>11579</v>
      </c>
      <c r="F709" s="5">
        <f t="shared" si="22"/>
        <v>1.5861643835616439</v>
      </c>
      <c r="G709" t="s">
        <v>8</v>
      </c>
      <c r="H709">
        <v>168</v>
      </c>
      <c r="I709">
        <f t="shared" si="23"/>
        <v>68.922619047619051</v>
      </c>
      <c r="J709" t="s">
        <v>109</v>
      </c>
      <c r="K709" t="s">
        <v>110</v>
      </c>
      <c r="L709" s="4">
        <v>43442.25</v>
      </c>
      <c r="M709" s="4" t="s">
        <v>58</v>
      </c>
      <c r="N709" s="4" t="s">
        <v>169</v>
      </c>
      <c r="O709" s="4">
        <v>43478.25</v>
      </c>
      <c r="P709" t="b">
        <v>0</v>
      </c>
      <c r="Q709" t="b">
        <v>0</v>
      </c>
      <c r="R709" t="s">
        <v>146</v>
      </c>
      <c r="S709" t="str" cm="1">
        <f t="array" ref="S709:T709">_xlfn.TEXTSPLIT(R709, "/", , FALSE)</f>
        <v>film &amp; video</v>
      </c>
      <c r="T709" t="str">
        <v>drama</v>
      </c>
    </row>
    <row r="710" spans="1:20" ht="17" x14ac:dyDescent="0.2">
      <c r="A710">
        <v>708</v>
      </c>
      <c r="B710" t="s">
        <v>1550</v>
      </c>
      <c r="C710" s="3" t="s">
        <v>1551</v>
      </c>
      <c r="D710">
        <v>1700</v>
      </c>
      <c r="E710">
        <v>12020</v>
      </c>
      <c r="F710" s="5">
        <f t="shared" si="22"/>
        <v>7.0705882352941174</v>
      </c>
      <c r="G710" t="s">
        <v>8</v>
      </c>
      <c r="H710">
        <v>137</v>
      </c>
      <c r="I710">
        <f t="shared" si="23"/>
        <v>87.737226277372258</v>
      </c>
      <c r="J710" t="s">
        <v>193</v>
      </c>
      <c r="K710" t="s">
        <v>194</v>
      </c>
      <c r="L710" s="4">
        <v>42877.208333333328</v>
      </c>
      <c r="M710" s="4" t="s">
        <v>51</v>
      </c>
      <c r="N710" s="4" t="s">
        <v>134</v>
      </c>
      <c r="O710" s="4">
        <v>42887.208333333328</v>
      </c>
      <c r="P710" t="b">
        <v>0</v>
      </c>
      <c r="Q710" t="b">
        <v>0</v>
      </c>
      <c r="R710" t="s">
        <v>124</v>
      </c>
      <c r="S710" t="str" cm="1">
        <f t="array" ref="S710:T710">_xlfn.TEXTSPLIT(R710, "/", , FALSE)</f>
        <v>theater</v>
      </c>
      <c r="T710" t="str">
        <v>plays</v>
      </c>
    </row>
    <row r="711" spans="1:20" ht="17" x14ac:dyDescent="0.2">
      <c r="A711">
        <v>709</v>
      </c>
      <c r="B711" t="s">
        <v>1552</v>
      </c>
      <c r="C711" s="3" t="s">
        <v>1553</v>
      </c>
      <c r="D711">
        <v>9800</v>
      </c>
      <c r="E711">
        <v>13954</v>
      </c>
      <c r="F711" s="5">
        <f t="shared" si="22"/>
        <v>1.4238775510204082</v>
      </c>
      <c r="G711" t="s">
        <v>8</v>
      </c>
      <c r="H711">
        <v>186</v>
      </c>
      <c r="I711">
        <f t="shared" si="23"/>
        <v>75.021505376344081</v>
      </c>
      <c r="J711" t="s">
        <v>202</v>
      </c>
      <c r="K711" t="s">
        <v>203</v>
      </c>
      <c r="L711" s="4">
        <v>41018.208333333336</v>
      </c>
      <c r="M711" s="4" t="s">
        <v>50</v>
      </c>
      <c r="N711" s="4" t="s">
        <v>129</v>
      </c>
      <c r="O711" s="4">
        <v>41025.208333333336</v>
      </c>
      <c r="P711" t="b">
        <v>0</v>
      </c>
      <c r="Q711" t="b">
        <v>0</v>
      </c>
      <c r="R711" t="s">
        <v>124</v>
      </c>
      <c r="S711" t="str" cm="1">
        <f t="array" ref="S711:T711">_xlfn.TEXTSPLIT(R711, "/", , FALSE)</f>
        <v>theater</v>
      </c>
      <c r="T711" t="str">
        <v>plays</v>
      </c>
    </row>
    <row r="712" spans="1:20" ht="34" x14ac:dyDescent="0.2">
      <c r="A712">
        <v>710</v>
      </c>
      <c r="B712" t="s">
        <v>1554</v>
      </c>
      <c r="C712" s="3" t="s">
        <v>1555</v>
      </c>
      <c r="D712">
        <v>4300</v>
      </c>
      <c r="E712">
        <v>6358</v>
      </c>
      <c r="F712" s="5">
        <f t="shared" si="22"/>
        <v>1.4786046511627906</v>
      </c>
      <c r="G712" t="s">
        <v>8</v>
      </c>
      <c r="H712">
        <v>125</v>
      </c>
      <c r="I712">
        <f t="shared" si="23"/>
        <v>50.863999999999997</v>
      </c>
      <c r="J712" t="s">
        <v>109</v>
      </c>
      <c r="K712" t="s">
        <v>110</v>
      </c>
      <c r="L712" s="4">
        <v>43295.208333333328</v>
      </c>
      <c r="M712" s="4" t="s">
        <v>53</v>
      </c>
      <c r="N712" s="4" t="s">
        <v>169</v>
      </c>
      <c r="O712" s="4">
        <v>43302.208333333328</v>
      </c>
      <c r="P712" t="b">
        <v>0</v>
      </c>
      <c r="Q712" t="b">
        <v>1</v>
      </c>
      <c r="R712" t="s">
        <v>124</v>
      </c>
      <c r="S712" t="str" cm="1">
        <f t="array" ref="S712:T712">_xlfn.TEXTSPLIT(R712, "/", , FALSE)</f>
        <v>theater</v>
      </c>
      <c r="T712" t="str">
        <v>plays</v>
      </c>
    </row>
    <row r="713" spans="1:20" ht="34" x14ac:dyDescent="0.2">
      <c r="A713">
        <v>711</v>
      </c>
      <c r="B713" t="s">
        <v>1556</v>
      </c>
      <c r="C713" s="3" t="s">
        <v>1557</v>
      </c>
      <c r="D713">
        <v>6200</v>
      </c>
      <c r="E713">
        <v>1260</v>
      </c>
      <c r="F713" s="5">
        <f t="shared" si="22"/>
        <v>0.20322580645161289</v>
      </c>
      <c r="G713" t="s">
        <v>6</v>
      </c>
      <c r="H713">
        <v>14</v>
      </c>
      <c r="I713">
        <f t="shared" si="23"/>
        <v>90</v>
      </c>
      <c r="J713" t="s">
        <v>202</v>
      </c>
      <c r="K713" t="s">
        <v>203</v>
      </c>
      <c r="L713" s="4">
        <v>42393.25</v>
      </c>
      <c r="M713" s="4" t="s">
        <v>47</v>
      </c>
      <c r="N713" s="4" t="s">
        <v>153</v>
      </c>
      <c r="O713" s="4">
        <v>42395.25</v>
      </c>
      <c r="P713" t="b">
        <v>1</v>
      </c>
      <c r="Q713" t="b">
        <v>1</v>
      </c>
      <c r="R713" t="s">
        <v>124</v>
      </c>
      <c r="S713" t="str" cm="1">
        <f t="array" ref="S713:T713">_xlfn.TEXTSPLIT(R713, "/", , FALSE)</f>
        <v>theater</v>
      </c>
      <c r="T713" t="str">
        <v>plays</v>
      </c>
    </row>
    <row r="714" spans="1:20" ht="34" x14ac:dyDescent="0.2">
      <c r="A714">
        <v>712</v>
      </c>
      <c r="B714" t="s">
        <v>1558</v>
      </c>
      <c r="C714" s="3" t="s">
        <v>1559</v>
      </c>
      <c r="D714">
        <v>800</v>
      </c>
      <c r="E714">
        <v>14725</v>
      </c>
      <c r="F714" s="5">
        <f t="shared" si="22"/>
        <v>18.40625</v>
      </c>
      <c r="G714" t="s">
        <v>8</v>
      </c>
      <c r="H714">
        <v>202</v>
      </c>
      <c r="I714">
        <f t="shared" si="23"/>
        <v>72.896039603960389</v>
      </c>
      <c r="J714" t="s">
        <v>109</v>
      </c>
      <c r="K714" t="s">
        <v>110</v>
      </c>
      <c r="L714" s="4">
        <v>42559.208333333328</v>
      </c>
      <c r="M714" s="4" t="s">
        <v>53</v>
      </c>
      <c r="N714" s="4" t="s">
        <v>153</v>
      </c>
      <c r="O714" s="4">
        <v>42600.208333333328</v>
      </c>
      <c r="P714" t="b">
        <v>0</v>
      </c>
      <c r="Q714" t="b">
        <v>0</v>
      </c>
      <c r="R714" t="s">
        <v>124</v>
      </c>
      <c r="S714" t="str" cm="1">
        <f t="array" ref="S714:T714">_xlfn.TEXTSPLIT(R714, "/", , FALSE)</f>
        <v>theater</v>
      </c>
      <c r="T714" t="str">
        <v>plays</v>
      </c>
    </row>
    <row r="715" spans="1:20" ht="17" x14ac:dyDescent="0.2">
      <c r="A715">
        <v>713</v>
      </c>
      <c r="B715" t="s">
        <v>1560</v>
      </c>
      <c r="C715" s="3" t="s">
        <v>1561</v>
      </c>
      <c r="D715">
        <v>6900</v>
      </c>
      <c r="E715">
        <v>11174</v>
      </c>
      <c r="F715" s="5">
        <f t="shared" si="22"/>
        <v>1.6194202898550725</v>
      </c>
      <c r="G715" t="s">
        <v>8</v>
      </c>
      <c r="H715">
        <v>103</v>
      </c>
      <c r="I715">
        <f t="shared" si="23"/>
        <v>108.48543689320388</v>
      </c>
      <c r="J715" t="s">
        <v>109</v>
      </c>
      <c r="K715" t="s">
        <v>110</v>
      </c>
      <c r="L715" s="4">
        <v>42604.208333333328</v>
      </c>
      <c r="M715" s="4" t="s">
        <v>54</v>
      </c>
      <c r="N715" s="4" t="s">
        <v>153</v>
      </c>
      <c r="O715" s="4">
        <v>42616.208333333328</v>
      </c>
      <c r="P715" t="b">
        <v>0</v>
      </c>
      <c r="Q715" t="b">
        <v>0</v>
      </c>
      <c r="R715" t="s">
        <v>228</v>
      </c>
      <c r="S715" t="str" cm="1">
        <f t="array" ref="S715:T715">_xlfn.TEXTSPLIT(R715, "/", , FALSE)</f>
        <v>publishing</v>
      </c>
      <c r="T715" t="str">
        <v>radio &amp; podcasts</v>
      </c>
    </row>
    <row r="716" spans="1:20" ht="17" x14ac:dyDescent="0.2">
      <c r="A716">
        <v>714</v>
      </c>
      <c r="B716" t="s">
        <v>1562</v>
      </c>
      <c r="C716" s="3" t="s">
        <v>1563</v>
      </c>
      <c r="D716">
        <v>38500</v>
      </c>
      <c r="E716">
        <v>182036</v>
      </c>
      <c r="F716" s="5">
        <f t="shared" si="22"/>
        <v>4.7282077922077921</v>
      </c>
      <c r="G716" t="s">
        <v>8</v>
      </c>
      <c r="H716">
        <v>1785</v>
      </c>
      <c r="I716">
        <f t="shared" si="23"/>
        <v>101.98095238095237</v>
      </c>
      <c r="J716" t="s">
        <v>109</v>
      </c>
      <c r="K716" t="s">
        <v>110</v>
      </c>
      <c r="L716" s="4">
        <v>41870.208333333336</v>
      </c>
      <c r="M716" s="4" t="s">
        <v>54</v>
      </c>
      <c r="N716" s="4" t="s">
        <v>111</v>
      </c>
      <c r="O716" s="4">
        <v>41871.208333333336</v>
      </c>
      <c r="P716" t="b">
        <v>0</v>
      </c>
      <c r="Q716" t="b">
        <v>0</v>
      </c>
      <c r="R716" t="s">
        <v>112</v>
      </c>
      <c r="S716" t="str" cm="1">
        <f t="array" ref="S716:T716">_xlfn.TEXTSPLIT(R716, "/", , FALSE)</f>
        <v>music</v>
      </c>
      <c r="T716" t="str">
        <v>rock</v>
      </c>
    </row>
    <row r="717" spans="1:20" ht="17" x14ac:dyDescent="0.2">
      <c r="A717">
        <v>715</v>
      </c>
      <c r="B717" t="s">
        <v>1564</v>
      </c>
      <c r="C717" s="3" t="s">
        <v>1565</v>
      </c>
      <c r="D717">
        <v>118000</v>
      </c>
      <c r="E717">
        <v>28870</v>
      </c>
      <c r="F717" s="5">
        <f t="shared" si="22"/>
        <v>0.24466101694915254</v>
      </c>
      <c r="G717" t="s">
        <v>6</v>
      </c>
      <c r="H717">
        <v>656</v>
      </c>
      <c r="I717">
        <f t="shared" si="23"/>
        <v>44.009146341463413</v>
      </c>
      <c r="J717" t="s">
        <v>109</v>
      </c>
      <c r="K717" t="s">
        <v>110</v>
      </c>
      <c r="L717" s="4">
        <v>40397.208333333336</v>
      </c>
      <c r="M717" s="4" t="s">
        <v>54</v>
      </c>
      <c r="N717" s="4" t="s">
        <v>140</v>
      </c>
      <c r="O717" s="4">
        <v>40402.208333333336</v>
      </c>
      <c r="P717" t="b">
        <v>0</v>
      </c>
      <c r="Q717" t="b">
        <v>0</v>
      </c>
      <c r="R717" t="s">
        <v>387</v>
      </c>
      <c r="S717" t="str" cm="1">
        <f t="array" ref="S717:T717">_xlfn.TEXTSPLIT(R717, "/", , FALSE)</f>
        <v>games</v>
      </c>
      <c r="T717" t="str">
        <v>mobile games</v>
      </c>
    </row>
    <row r="718" spans="1:20" ht="17" x14ac:dyDescent="0.2">
      <c r="A718">
        <v>716</v>
      </c>
      <c r="B718" t="s">
        <v>1566</v>
      </c>
      <c r="C718" s="3" t="s">
        <v>1567</v>
      </c>
      <c r="D718">
        <v>2000</v>
      </c>
      <c r="E718">
        <v>10353</v>
      </c>
      <c r="F718" s="5">
        <f t="shared" si="22"/>
        <v>5.1764999999999999</v>
      </c>
      <c r="G718" t="s">
        <v>8</v>
      </c>
      <c r="H718">
        <v>157</v>
      </c>
      <c r="I718">
        <f t="shared" si="23"/>
        <v>65.942675159235662</v>
      </c>
      <c r="J718" t="s">
        <v>109</v>
      </c>
      <c r="K718" t="s">
        <v>110</v>
      </c>
      <c r="L718" s="4">
        <v>41465.208333333336</v>
      </c>
      <c r="M718" s="4" t="s">
        <v>53</v>
      </c>
      <c r="N718" s="4" t="s">
        <v>117</v>
      </c>
      <c r="O718" s="4">
        <v>41493.208333333336</v>
      </c>
      <c r="P718" t="b">
        <v>0</v>
      </c>
      <c r="Q718" t="b">
        <v>1</v>
      </c>
      <c r="R718" t="s">
        <v>124</v>
      </c>
      <c r="S718" t="str" cm="1">
        <f t="array" ref="S718:T718">_xlfn.TEXTSPLIT(R718, "/", , FALSE)</f>
        <v>theater</v>
      </c>
      <c r="T718" t="str">
        <v>plays</v>
      </c>
    </row>
    <row r="719" spans="1:20" ht="34" x14ac:dyDescent="0.2">
      <c r="A719">
        <v>717</v>
      </c>
      <c r="B719" t="s">
        <v>1568</v>
      </c>
      <c r="C719" s="3" t="s">
        <v>1569</v>
      </c>
      <c r="D719">
        <v>5600</v>
      </c>
      <c r="E719">
        <v>13868</v>
      </c>
      <c r="F719" s="5">
        <f t="shared" si="22"/>
        <v>2.4764285714285714</v>
      </c>
      <c r="G719" t="s">
        <v>8</v>
      </c>
      <c r="H719">
        <v>555</v>
      </c>
      <c r="I719">
        <f t="shared" si="23"/>
        <v>24.987387387387386</v>
      </c>
      <c r="J719" t="s">
        <v>109</v>
      </c>
      <c r="K719" t="s">
        <v>110</v>
      </c>
      <c r="L719" s="4">
        <v>40777.208333333336</v>
      </c>
      <c r="M719" s="4" t="s">
        <v>54</v>
      </c>
      <c r="N719" s="4" t="s">
        <v>165</v>
      </c>
      <c r="O719" s="4">
        <v>40798.208333333336</v>
      </c>
      <c r="P719" t="b">
        <v>0</v>
      </c>
      <c r="Q719" t="b">
        <v>0</v>
      </c>
      <c r="R719" t="s">
        <v>135</v>
      </c>
      <c r="S719" t="str" cm="1">
        <f t="array" ref="S719:T719">_xlfn.TEXTSPLIT(R719, "/", , FALSE)</f>
        <v>film &amp; video</v>
      </c>
      <c r="T719" t="str">
        <v>documentary</v>
      </c>
    </row>
    <row r="720" spans="1:20" ht="17" x14ac:dyDescent="0.2">
      <c r="A720">
        <v>718</v>
      </c>
      <c r="B720" t="s">
        <v>1570</v>
      </c>
      <c r="C720" s="3" t="s">
        <v>1571</v>
      </c>
      <c r="D720">
        <v>8300</v>
      </c>
      <c r="E720">
        <v>8317</v>
      </c>
      <c r="F720" s="5">
        <f t="shared" si="22"/>
        <v>1.0020481927710843</v>
      </c>
      <c r="G720" t="s">
        <v>8</v>
      </c>
      <c r="H720">
        <v>297</v>
      </c>
      <c r="I720">
        <f t="shared" si="23"/>
        <v>28.003367003367003</v>
      </c>
      <c r="J720" t="s">
        <v>109</v>
      </c>
      <c r="K720" t="s">
        <v>110</v>
      </c>
      <c r="L720" s="4">
        <v>41442.208333333336</v>
      </c>
      <c r="M720" s="4" t="s">
        <v>52</v>
      </c>
      <c r="N720" s="4" t="s">
        <v>117</v>
      </c>
      <c r="O720" s="4">
        <v>41468.208333333336</v>
      </c>
      <c r="P720" t="b">
        <v>0</v>
      </c>
      <c r="Q720" t="b">
        <v>0</v>
      </c>
      <c r="R720" t="s">
        <v>159</v>
      </c>
      <c r="S720" t="str" cm="1">
        <f t="array" ref="S720:T720">_xlfn.TEXTSPLIT(R720, "/", , FALSE)</f>
        <v>technology</v>
      </c>
      <c r="T720" t="str">
        <v>wearables</v>
      </c>
    </row>
    <row r="721" spans="1:20" ht="17" x14ac:dyDescent="0.2">
      <c r="A721">
        <v>719</v>
      </c>
      <c r="B721" t="s">
        <v>1572</v>
      </c>
      <c r="C721" s="3" t="s">
        <v>1573</v>
      </c>
      <c r="D721">
        <v>6900</v>
      </c>
      <c r="E721">
        <v>10557</v>
      </c>
      <c r="F721" s="5">
        <f t="shared" si="22"/>
        <v>1.53</v>
      </c>
      <c r="G721" t="s">
        <v>8</v>
      </c>
      <c r="H721">
        <v>123</v>
      </c>
      <c r="I721">
        <f t="shared" si="23"/>
        <v>85.829268292682926</v>
      </c>
      <c r="J721" t="s">
        <v>109</v>
      </c>
      <c r="K721" t="s">
        <v>110</v>
      </c>
      <c r="L721" s="4">
        <v>41058.208333333336</v>
      </c>
      <c r="M721" s="4" t="s">
        <v>51</v>
      </c>
      <c r="N721" s="4" t="s">
        <v>129</v>
      </c>
      <c r="O721" s="4">
        <v>41069.208333333336</v>
      </c>
      <c r="P721" t="b">
        <v>0</v>
      </c>
      <c r="Q721" t="b">
        <v>0</v>
      </c>
      <c r="R721" t="s">
        <v>214</v>
      </c>
      <c r="S721" t="str" cm="1">
        <f t="array" ref="S721:T721">_xlfn.TEXTSPLIT(R721, "/", , FALSE)</f>
        <v>publishing</v>
      </c>
      <c r="T721" t="str">
        <v>fiction</v>
      </c>
    </row>
    <row r="722" spans="1:20" ht="34" x14ac:dyDescent="0.2">
      <c r="A722">
        <v>720</v>
      </c>
      <c r="B722" t="s">
        <v>1574</v>
      </c>
      <c r="C722" s="3" t="s">
        <v>1575</v>
      </c>
      <c r="D722">
        <v>8700</v>
      </c>
      <c r="E722">
        <v>3227</v>
      </c>
      <c r="F722" s="5">
        <f t="shared" si="22"/>
        <v>0.37091954022988505</v>
      </c>
      <c r="G722" t="s">
        <v>5</v>
      </c>
      <c r="H722">
        <v>38</v>
      </c>
      <c r="I722">
        <f t="shared" si="23"/>
        <v>84.921052631578945</v>
      </c>
      <c r="J722" t="s">
        <v>127</v>
      </c>
      <c r="K722" t="s">
        <v>128</v>
      </c>
      <c r="L722" s="4">
        <v>43152.25</v>
      </c>
      <c r="M722" s="4" t="s">
        <v>48</v>
      </c>
      <c r="N722" s="4" t="s">
        <v>169</v>
      </c>
      <c r="O722" s="4">
        <v>43166.25</v>
      </c>
      <c r="P722" t="b">
        <v>0</v>
      </c>
      <c r="Q722" t="b">
        <v>1</v>
      </c>
      <c r="R722" t="s">
        <v>124</v>
      </c>
      <c r="S722" t="str" cm="1">
        <f t="array" ref="S722:T722">_xlfn.TEXTSPLIT(R722, "/", , FALSE)</f>
        <v>theater</v>
      </c>
      <c r="T722" t="str">
        <v>plays</v>
      </c>
    </row>
    <row r="723" spans="1:20" ht="17" x14ac:dyDescent="0.2">
      <c r="A723">
        <v>721</v>
      </c>
      <c r="B723" t="s">
        <v>1576</v>
      </c>
      <c r="C723" s="3" t="s">
        <v>1577</v>
      </c>
      <c r="D723">
        <v>123600</v>
      </c>
      <c r="E723">
        <v>5429</v>
      </c>
      <c r="F723" s="5">
        <f t="shared" si="22"/>
        <v>4.3923948220064728E-2</v>
      </c>
      <c r="G723" t="s">
        <v>5</v>
      </c>
      <c r="H723">
        <v>60</v>
      </c>
      <c r="I723">
        <f t="shared" si="23"/>
        <v>90.483333333333334</v>
      </c>
      <c r="J723" t="s">
        <v>109</v>
      </c>
      <c r="K723" t="s">
        <v>110</v>
      </c>
      <c r="L723" s="4">
        <v>43194.208333333328</v>
      </c>
      <c r="M723" s="4" t="s">
        <v>50</v>
      </c>
      <c r="N723" s="4" t="s">
        <v>169</v>
      </c>
      <c r="O723" s="4">
        <v>43200.208333333328</v>
      </c>
      <c r="P723" t="b">
        <v>0</v>
      </c>
      <c r="Q723" t="b">
        <v>0</v>
      </c>
      <c r="R723" t="s">
        <v>112</v>
      </c>
      <c r="S723" t="str" cm="1">
        <f t="array" ref="S723:T723">_xlfn.TEXTSPLIT(R723, "/", , FALSE)</f>
        <v>music</v>
      </c>
      <c r="T723" t="str">
        <v>rock</v>
      </c>
    </row>
    <row r="724" spans="1:20" ht="17" x14ac:dyDescent="0.2">
      <c r="A724">
        <v>722</v>
      </c>
      <c r="B724" t="s">
        <v>1578</v>
      </c>
      <c r="C724" s="3" t="s">
        <v>1579</v>
      </c>
      <c r="D724">
        <v>48500</v>
      </c>
      <c r="E724">
        <v>75906</v>
      </c>
      <c r="F724" s="5">
        <f t="shared" si="22"/>
        <v>1.5650721649484536</v>
      </c>
      <c r="G724" t="s">
        <v>8</v>
      </c>
      <c r="H724">
        <v>3036</v>
      </c>
      <c r="I724">
        <f t="shared" si="23"/>
        <v>25.00197628458498</v>
      </c>
      <c r="J724" t="s">
        <v>109</v>
      </c>
      <c r="K724" t="s">
        <v>110</v>
      </c>
      <c r="L724" s="4">
        <v>43045.25</v>
      </c>
      <c r="M724" s="4" t="s">
        <v>57</v>
      </c>
      <c r="N724" s="4" t="s">
        <v>134</v>
      </c>
      <c r="O724" s="4">
        <v>43072.25</v>
      </c>
      <c r="P724" t="b">
        <v>0</v>
      </c>
      <c r="Q724" t="b">
        <v>0</v>
      </c>
      <c r="R724" t="s">
        <v>135</v>
      </c>
      <c r="S724" t="str" cm="1">
        <f t="array" ref="S724:T724">_xlfn.TEXTSPLIT(R724, "/", , FALSE)</f>
        <v>film &amp; video</v>
      </c>
      <c r="T724" t="str">
        <v>documentary</v>
      </c>
    </row>
    <row r="725" spans="1:20" ht="17" x14ac:dyDescent="0.2">
      <c r="A725">
        <v>723</v>
      </c>
      <c r="B725" t="s">
        <v>1580</v>
      </c>
      <c r="C725" s="3" t="s">
        <v>1581</v>
      </c>
      <c r="D725">
        <v>4900</v>
      </c>
      <c r="E725">
        <v>13250</v>
      </c>
      <c r="F725" s="5">
        <f t="shared" si="22"/>
        <v>2.704081632653061</v>
      </c>
      <c r="G725" t="s">
        <v>8</v>
      </c>
      <c r="H725">
        <v>144</v>
      </c>
      <c r="I725">
        <f t="shared" si="23"/>
        <v>92.013888888888886</v>
      </c>
      <c r="J725" t="s">
        <v>115</v>
      </c>
      <c r="K725" t="s">
        <v>116</v>
      </c>
      <c r="L725" s="4">
        <v>42431.25</v>
      </c>
      <c r="M725" s="4" t="s">
        <v>49</v>
      </c>
      <c r="N725" s="4" t="s">
        <v>153</v>
      </c>
      <c r="O725" s="4">
        <v>42452.208333333328</v>
      </c>
      <c r="P725" t="b">
        <v>0</v>
      </c>
      <c r="Q725" t="b">
        <v>0</v>
      </c>
      <c r="R725" t="s">
        <v>124</v>
      </c>
      <c r="S725" t="str" cm="1">
        <f t="array" ref="S725:T725">_xlfn.TEXTSPLIT(R725, "/", , FALSE)</f>
        <v>theater</v>
      </c>
      <c r="T725" t="str">
        <v>plays</v>
      </c>
    </row>
    <row r="726" spans="1:20" ht="34" x14ac:dyDescent="0.2">
      <c r="A726">
        <v>724</v>
      </c>
      <c r="B726" t="s">
        <v>1582</v>
      </c>
      <c r="C726" s="3" t="s">
        <v>1583</v>
      </c>
      <c r="D726">
        <v>8400</v>
      </c>
      <c r="E726">
        <v>11261</v>
      </c>
      <c r="F726" s="5">
        <f t="shared" si="22"/>
        <v>1.3405952380952382</v>
      </c>
      <c r="G726" t="s">
        <v>8</v>
      </c>
      <c r="H726">
        <v>121</v>
      </c>
      <c r="I726">
        <f t="shared" si="23"/>
        <v>93.066115702479337</v>
      </c>
      <c r="J726" t="s">
        <v>132</v>
      </c>
      <c r="K726" t="s">
        <v>133</v>
      </c>
      <c r="L726" s="4">
        <v>41934.208333333336</v>
      </c>
      <c r="M726" s="4" t="s">
        <v>56</v>
      </c>
      <c r="N726" s="4" t="s">
        <v>111</v>
      </c>
      <c r="O726" s="4">
        <v>41936.208333333336</v>
      </c>
      <c r="P726" t="b">
        <v>0</v>
      </c>
      <c r="Q726" t="b">
        <v>1</v>
      </c>
      <c r="R726" t="s">
        <v>124</v>
      </c>
      <c r="S726" t="str" cm="1">
        <f t="array" ref="S726:T726">_xlfn.TEXTSPLIT(R726, "/", , FALSE)</f>
        <v>theater</v>
      </c>
      <c r="T726" t="str">
        <v>plays</v>
      </c>
    </row>
    <row r="727" spans="1:20" ht="17" x14ac:dyDescent="0.2">
      <c r="A727">
        <v>725</v>
      </c>
      <c r="B727" t="s">
        <v>1584</v>
      </c>
      <c r="C727" s="3" t="s">
        <v>1585</v>
      </c>
      <c r="D727">
        <v>193200</v>
      </c>
      <c r="E727">
        <v>97369</v>
      </c>
      <c r="F727" s="5">
        <f t="shared" si="22"/>
        <v>0.50398033126293995</v>
      </c>
      <c r="G727" t="s">
        <v>6</v>
      </c>
      <c r="H727">
        <v>1596</v>
      </c>
      <c r="I727">
        <f t="shared" si="23"/>
        <v>61.008145363408524</v>
      </c>
      <c r="J727" t="s">
        <v>109</v>
      </c>
      <c r="K727" t="s">
        <v>110</v>
      </c>
      <c r="L727" s="4">
        <v>41958.25</v>
      </c>
      <c r="M727" s="4" t="s">
        <v>57</v>
      </c>
      <c r="N727" s="4" t="s">
        <v>111</v>
      </c>
      <c r="O727" s="4">
        <v>41960.25</v>
      </c>
      <c r="P727" t="b">
        <v>0</v>
      </c>
      <c r="Q727" t="b">
        <v>0</v>
      </c>
      <c r="R727" t="s">
        <v>387</v>
      </c>
      <c r="S727" t="str" cm="1">
        <f t="array" ref="S727:T727">_xlfn.TEXTSPLIT(R727, "/", , FALSE)</f>
        <v>games</v>
      </c>
      <c r="T727" t="str">
        <v>mobile games</v>
      </c>
    </row>
    <row r="728" spans="1:20" ht="17" x14ac:dyDescent="0.2">
      <c r="A728">
        <v>726</v>
      </c>
      <c r="B728" t="s">
        <v>1586</v>
      </c>
      <c r="C728" s="3" t="s">
        <v>1587</v>
      </c>
      <c r="D728">
        <v>54300</v>
      </c>
      <c r="E728">
        <v>48227</v>
      </c>
      <c r="F728" s="5">
        <f t="shared" si="22"/>
        <v>0.88815837937384901</v>
      </c>
      <c r="G728" t="s">
        <v>5</v>
      </c>
      <c r="H728">
        <v>524</v>
      </c>
      <c r="I728">
        <f t="shared" si="23"/>
        <v>92.036259541984734</v>
      </c>
      <c r="J728" t="s">
        <v>109</v>
      </c>
      <c r="K728" t="s">
        <v>110</v>
      </c>
      <c r="L728" s="4">
        <v>40476.208333333336</v>
      </c>
      <c r="M728" s="4" t="s">
        <v>56</v>
      </c>
      <c r="N728" s="4" t="s">
        <v>140</v>
      </c>
      <c r="O728" s="4">
        <v>40482.208333333336</v>
      </c>
      <c r="P728" t="b">
        <v>0</v>
      </c>
      <c r="Q728" t="b">
        <v>1</v>
      </c>
      <c r="R728" t="s">
        <v>124</v>
      </c>
      <c r="S728" t="str" cm="1">
        <f t="array" ref="S728:T728">_xlfn.TEXTSPLIT(R728, "/", , FALSE)</f>
        <v>theater</v>
      </c>
      <c r="T728" t="str">
        <v>plays</v>
      </c>
    </row>
    <row r="729" spans="1:20" ht="17" x14ac:dyDescent="0.2">
      <c r="A729">
        <v>727</v>
      </c>
      <c r="B729" t="s">
        <v>1588</v>
      </c>
      <c r="C729" s="3" t="s">
        <v>1589</v>
      </c>
      <c r="D729">
        <v>8900</v>
      </c>
      <c r="E729">
        <v>14685</v>
      </c>
      <c r="F729" s="5">
        <f t="shared" si="22"/>
        <v>1.65</v>
      </c>
      <c r="G729" t="s">
        <v>8</v>
      </c>
      <c r="H729">
        <v>181</v>
      </c>
      <c r="I729">
        <f t="shared" si="23"/>
        <v>81.132596685082873</v>
      </c>
      <c r="J729" t="s">
        <v>109</v>
      </c>
      <c r="K729" t="s">
        <v>110</v>
      </c>
      <c r="L729" s="4">
        <v>43485.25</v>
      </c>
      <c r="M729" s="4" t="s">
        <v>47</v>
      </c>
      <c r="N729" s="4" t="s">
        <v>121</v>
      </c>
      <c r="O729" s="4">
        <v>43543.208333333328</v>
      </c>
      <c r="P729" t="b">
        <v>0</v>
      </c>
      <c r="Q729" t="b">
        <v>0</v>
      </c>
      <c r="R729" t="s">
        <v>118</v>
      </c>
      <c r="S729" t="str" cm="1">
        <f t="array" ref="S729:T729">_xlfn.TEXTSPLIT(R729, "/", , FALSE)</f>
        <v>technology</v>
      </c>
      <c r="T729" t="str">
        <v>web</v>
      </c>
    </row>
    <row r="730" spans="1:20" ht="34" x14ac:dyDescent="0.2">
      <c r="A730">
        <v>728</v>
      </c>
      <c r="B730" t="s">
        <v>1590</v>
      </c>
      <c r="C730" s="3" t="s">
        <v>1591</v>
      </c>
      <c r="D730">
        <v>4200</v>
      </c>
      <c r="E730">
        <v>735</v>
      </c>
      <c r="F730" s="5">
        <f t="shared" si="22"/>
        <v>0.17499999999999999</v>
      </c>
      <c r="G730" t="s">
        <v>6</v>
      </c>
      <c r="H730">
        <v>10</v>
      </c>
      <c r="I730">
        <f t="shared" si="23"/>
        <v>73.5</v>
      </c>
      <c r="J730" t="s">
        <v>109</v>
      </c>
      <c r="K730" t="s">
        <v>110</v>
      </c>
      <c r="L730" s="4">
        <v>42515.208333333328</v>
      </c>
      <c r="M730" s="4" t="s">
        <v>51</v>
      </c>
      <c r="N730" s="4" t="s">
        <v>153</v>
      </c>
      <c r="O730" s="4">
        <v>42526.208333333328</v>
      </c>
      <c r="P730" t="b">
        <v>0</v>
      </c>
      <c r="Q730" t="b">
        <v>0</v>
      </c>
      <c r="R730" t="s">
        <v>124</v>
      </c>
      <c r="S730" t="str" cm="1">
        <f t="array" ref="S730:T730">_xlfn.TEXTSPLIT(R730, "/", , FALSE)</f>
        <v>theater</v>
      </c>
      <c r="T730" t="str">
        <v>plays</v>
      </c>
    </row>
    <row r="731" spans="1:20" ht="34" x14ac:dyDescent="0.2">
      <c r="A731">
        <v>729</v>
      </c>
      <c r="B731" t="s">
        <v>1592</v>
      </c>
      <c r="C731" s="3" t="s">
        <v>1593</v>
      </c>
      <c r="D731">
        <v>5600</v>
      </c>
      <c r="E731">
        <v>10397</v>
      </c>
      <c r="F731" s="5">
        <f t="shared" si="22"/>
        <v>1.8566071428571429</v>
      </c>
      <c r="G731" t="s">
        <v>8</v>
      </c>
      <c r="H731">
        <v>122</v>
      </c>
      <c r="I731">
        <f t="shared" si="23"/>
        <v>85.221311475409834</v>
      </c>
      <c r="J731" t="s">
        <v>109</v>
      </c>
      <c r="K731" t="s">
        <v>110</v>
      </c>
      <c r="L731" s="4">
        <v>41309.25</v>
      </c>
      <c r="M731" s="4" t="s">
        <v>48</v>
      </c>
      <c r="N731" s="4" t="s">
        <v>117</v>
      </c>
      <c r="O731" s="4">
        <v>41311.25</v>
      </c>
      <c r="P731" t="b">
        <v>0</v>
      </c>
      <c r="Q731" t="b">
        <v>0</v>
      </c>
      <c r="R731" t="s">
        <v>146</v>
      </c>
      <c r="S731" t="str" cm="1">
        <f t="array" ref="S731:T731">_xlfn.TEXTSPLIT(R731, "/", , FALSE)</f>
        <v>film &amp; video</v>
      </c>
      <c r="T731" t="str">
        <v>drama</v>
      </c>
    </row>
    <row r="732" spans="1:20" ht="17" x14ac:dyDescent="0.2">
      <c r="A732">
        <v>730</v>
      </c>
      <c r="B732" t="s">
        <v>1594</v>
      </c>
      <c r="C732" s="3" t="s">
        <v>1595</v>
      </c>
      <c r="D732">
        <v>28800</v>
      </c>
      <c r="E732">
        <v>118847</v>
      </c>
      <c r="F732" s="5">
        <f t="shared" si="22"/>
        <v>4.1266319444444441</v>
      </c>
      <c r="G732" t="s">
        <v>8</v>
      </c>
      <c r="H732">
        <v>1071</v>
      </c>
      <c r="I732">
        <f t="shared" si="23"/>
        <v>110.96825396825396</v>
      </c>
      <c r="J732" t="s">
        <v>103</v>
      </c>
      <c r="K732" t="s">
        <v>104</v>
      </c>
      <c r="L732" s="4">
        <v>42147.208333333328</v>
      </c>
      <c r="M732" s="4" t="s">
        <v>51</v>
      </c>
      <c r="N732" s="4" t="s">
        <v>105</v>
      </c>
      <c r="O732" s="4">
        <v>42153.208333333328</v>
      </c>
      <c r="P732" t="b">
        <v>0</v>
      </c>
      <c r="Q732" t="b">
        <v>0</v>
      </c>
      <c r="R732" t="s">
        <v>159</v>
      </c>
      <c r="S732" t="str" cm="1">
        <f t="array" ref="S732:T732">_xlfn.TEXTSPLIT(R732, "/", , FALSE)</f>
        <v>technology</v>
      </c>
      <c r="T732" t="str">
        <v>wearables</v>
      </c>
    </row>
    <row r="733" spans="1:20" ht="17" x14ac:dyDescent="0.2">
      <c r="A733">
        <v>731</v>
      </c>
      <c r="B733" t="s">
        <v>1596</v>
      </c>
      <c r="C733" s="3" t="s">
        <v>1597</v>
      </c>
      <c r="D733">
        <v>8000</v>
      </c>
      <c r="E733">
        <v>7220</v>
      </c>
      <c r="F733" s="5">
        <f t="shared" si="22"/>
        <v>0.90249999999999997</v>
      </c>
      <c r="G733" t="s">
        <v>5</v>
      </c>
      <c r="H733">
        <v>219</v>
      </c>
      <c r="I733">
        <f t="shared" si="23"/>
        <v>32.968036529680369</v>
      </c>
      <c r="J733" t="s">
        <v>109</v>
      </c>
      <c r="K733" t="s">
        <v>110</v>
      </c>
      <c r="L733" s="4">
        <v>42939.208333333328</v>
      </c>
      <c r="M733" s="4" t="s">
        <v>53</v>
      </c>
      <c r="N733" s="4" t="s">
        <v>134</v>
      </c>
      <c r="O733" s="4">
        <v>42940.208333333328</v>
      </c>
      <c r="P733" t="b">
        <v>0</v>
      </c>
      <c r="Q733" t="b">
        <v>0</v>
      </c>
      <c r="R733" t="s">
        <v>118</v>
      </c>
      <c r="S733" t="str" cm="1">
        <f t="array" ref="S733:T733">_xlfn.TEXTSPLIT(R733, "/", , FALSE)</f>
        <v>technology</v>
      </c>
      <c r="T733" t="str">
        <v>web</v>
      </c>
    </row>
    <row r="734" spans="1:20" ht="17" x14ac:dyDescent="0.2">
      <c r="A734">
        <v>732</v>
      </c>
      <c r="B734" t="s">
        <v>1598</v>
      </c>
      <c r="C734" s="3" t="s">
        <v>1599</v>
      </c>
      <c r="D734">
        <v>117000</v>
      </c>
      <c r="E734">
        <v>107622</v>
      </c>
      <c r="F734" s="5">
        <f t="shared" si="22"/>
        <v>0.91984615384615387</v>
      </c>
      <c r="G734" t="s">
        <v>6</v>
      </c>
      <c r="H734">
        <v>1121</v>
      </c>
      <c r="I734">
        <f t="shared" si="23"/>
        <v>96.005352363960753</v>
      </c>
      <c r="J734" t="s">
        <v>109</v>
      </c>
      <c r="K734" t="s">
        <v>110</v>
      </c>
      <c r="L734" s="4">
        <v>42816.208333333328</v>
      </c>
      <c r="M734" s="4" t="s">
        <v>49</v>
      </c>
      <c r="N734" s="4" t="s">
        <v>134</v>
      </c>
      <c r="O734" s="4">
        <v>42839.208333333328</v>
      </c>
      <c r="P734" t="b">
        <v>0</v>
      </c>
      <c r="Q734" t="b">
        <v>1</v>
      </c>
      <c r="R734" t="s">
        <v>112</v>
      </c>
      <c r="S734" t="str" cm="1">
        <f t="array" ref="S734:T734">_xlfn.TEXTSPLIT(R734, "/", , FALSE)</f>
        <v>music</v>
      </c>
      <c r="T734" t="str">
        <v>rock</v>
      </c>
    </row>
    <row r="735" spans="1:20" ht="17" x14ac:dyDescent="0.2">
      <c r="A735">
        <v>733</v>
      </c>
      <c r="B735" t="s">
        <v>1600</v>
      </c>
      <c r="C735" s="3" t="s">
        <v>1601</v>
      </c>
      <c r="D735">
        <v>15800</v>
      </c>
      <c r="E735">
        <v>83267</v>
      </c>
      <c r="F735" s="5">
        <f t="shared" si="22"/>
        <v>5.2700632911392402</v>
      </c>
      <c r="G735" t="s">
        <v>8</v>
      </c>
      <c r="H735">
        <v>980</v>
      </c>
      <c r="I735">
        <f t="shared" si="23"/>
        <v>84.96632653061225</v>
      </c>
      <c r="J735" t="s">
        <v>109</v>
      </c>
      <c r="K735" t="s">
        <v>110</v>
      </c>
      <c r="L735" s="4">
        <v>41844.208333333336</v>
      </c>
      <c r="M735" s="4" t="s">
        <v>53</v>
      </c>
      <c r="N735" s="4" t="s">
        <v>111</v>
      </c>
      <c r="O735" s="4">
        <v>41857.208333333336</v>
      </c>
      <c r="P735" t="b">
        <v>0</v>
      </c>
      <c r="Q735" t="b">
        <v>0</v>
      </c>
      <c r="R735" t="s">
        <v>243</v>
      </c>
      <c r="S735" t="str" cm="1">
        <f t="array" ref="S735:T735">_xlfn.TEXTSPLIT(R735, "/", , FALSE)</f>
        <v>music</v>
      </c>
      <c r="T735" t="str">
        <v>metal</v>
      </c>
    </row>
    <row r="736" spans="1:20" ht="17" x14ac:dyDescent="0.2">
      <c r="A736">
        <v>734</v>
      </c>
      <c r="B736" t="s">
        <v>1602</v>
      </c>
      <c r="C736" s="3" t="s">
        <v>1603</v>
      </c>
      <c r="D736">
        <v>4200</v>
      </c>
      <c r="E736">
        <v>13404</v>
      </c>
      <c r="F736" s="5">
        <f t="shared" si="22"/>
        <v>3.1914285714285713</v>
      </c>
      <c r="G736" t="s">
        <v>8</v>
      </c>
      <c r="H736">
        <v>536</v>
      </c>
      <c r="I736">
        <f t="shared" si="23"/>
        <v>25.007462686567163</v>
      </c>
      <c r="J736" t="s">
        <v>109</v>
      </c>
      <c r="K736" t="s">
        <v>110</v>
      </c>
      <c r="L736" s="4">
        <v>42763.25</v>
      </c>
      <c r="M736" s="4" t="s">
        <v>47</v>
      </c>
      <c r="N736" s="4" t="s">
        <v>134</v>
      </c>
      <c r="O736" s="4">
        <v>42775.25</v>
      </c>
      <c r="P736" t="b">
        <v>0</v>
      </c>
      <c r="Q736" t="b">
        <v>1</v>
      </c>
      <c r="R736" t="s">
        <v>124</v>
      </c>
      <c r="S736" t="str" cm="1">
        <f t="array" ref="S736:T736">_xlfn.TEXTSPLIT(R736, "/", , FALSE)</f>
        <v>theater</v>
      </c>
      <c r="T736" t="str">
        <v>plays</v>
      </c>
    </row>
    <row r="737" spans="1:20" ht="34" x14ac:dyDescent="0.2">
      <c r="A737">
        <v>735</v>
      </c>
      <c r="B737" t="s">
        <v>1604</v>
      </c>
      <c r="C737" s="3" t="s">
        <v>1605</v>
      </c>
      <c r="D737">
        <v>37100</v>
      </c>
      <c r="E737">
        <v>131404</v>
      </c>
      <c r="F737" s="5">
        <f t="shared" si="22"/>
        <v>3.5418867924528303</v>
      </c>
      <c r="G737" t="s">
        <v>8</v>
      </c>
      <c r="H737">
        <v>1991</v>
      </c>
      <c r="I737">
        <f t="shared" si="23"/>
        <v>65.998995479658461</v>
      </c>
      <c r="J737" t="s">
        <v>109</v>
      </c>
      <c r="K737" t="s">
        <v>110</v>
      </c>
      <c r="L737" s="4">
        <v>42459.208333333328</v>
      </c>
      <c r="M737" s="4" t="s">
        <v>49</v>
      </c>
      <c r="N737" s="4" t="s">
        <v>153</v>
      </c>
      <c r="O737" s="4">
        <v>42466.208333333328</v>
      </c>
      <c r="P737" t="b">
        <v>0</v>
      </c>
      <c r="Q737" t="b">
        <v>0</v>
      </c>
      <c r="R737" t="s">
        <v>217</v>
      </c>
      <c r="S737" t="str" cm="1">
        <f t="array" ref="S737:T737">_xlfn.TEXTSPLIT(R737, "/", , FALSE)</f>
        <v>photography</v>
      </c>
      <c r="T737" t="str">
        <v>photography books</v>
      </c>
    </row>
    <row r="738" spans="1:20" ht="17" x14ac:dyDescent="0.2">
      <c r="A738">
        <v>736</v>
      </c>
      <c r="B738" t="s">
        <v>1606</v>
      </c>
      <c r="C738" s="3" t="s">
        <v>1607</v>
      </c>
      <c r="D738">
        <v>7700</v>
      </c>
      <c r="E738">
        <v>2533</v>
      </c>
      <c r="F738" s="5">
        <f t="shared" si="22"/>
        <v>0.32896103896103895</v>
      </c>
      <c r="G738" t="s">
        <v>5</v>
      </c>
      <c r="H738">
        <v>29</v>
      </c>
      <c r="I738">
        <f t="shared" si="23"/>
        <v>87.34482758620689</v>
      </c>
      <c r="J738" t="s">
        <v>109</v>
      </c>
      <c r="K738" t="s">
        <v>110</v>
      </c>
      <c r="L738" s="4">
        <v>42055.25</v>
      </c>
      <c r="M738" s="4" t="s">
        <v>48</v>
      </c>
      <c r="N738" s="4" t="s">
        <v>105</v>
      </c>
      <c r="O738" s="4">
        <v>42059.25</v>
      </c>
      <c r="P738" t="b">
        <v>0</v>
      </c>
      <c r="Q738" t="b">
        <v>0</v>
      </c>
      <c r="R738" t="s">
        <v>162</v>
      </c>
      <c r="S738" t="str" cm="1">
        <f t="array" ref="S738:T738">_xlfn.TEXTSPLIT(R738, "/", , FALSE)</f>
        <v>publishing</v>
      </c>
      <c r="T738" t="str">
        <v>nonfiction</v>
      </c>
    </row>
    <row r="739" spans="1:20" ht="34" x14ac:dyDescent="0.2">
      <c r="A739">
        <v>737</v>
      </c>
      <c r="B739" t="s">
        <v>1608</v>
      </c>
      <c r="C739" s="3" t="s">
        <v>1609</v>
      </c>
      <c r="D739">
        <v>3700</v>
      </c>
      <c r="E739">
        <v>5028</v>
      </c>
      <c r="F739" s="5">
        <f t="shared" si="22"/>
        <v>1.358918918918919</v>
      </c>
      <c r="G739" t="s">
        <v>8</v>
      </c>
      <c r="H739">
        <v>180</v>
      </c>
      <c r="I739">
        <f t="shared" si="23"/>
        <v>27.933333333333334</v>
      </c>
      <c r="J739" t="s">
        <v>109</v>
      </c>
      <c r="K739" t="s">
        <v>110</v>
      </c>
      <c r="L739" s="4">
        <v>42685.25</v>
      </c>
      <c r="M739" s="4" t="s">
        <v>57</v>
      </c>
      <c r="N739" s="4" t="s">
        <v>153</v>
      </c>
      <c r="O739" s="4">
        <v>42697.25</v>
      </c>
      <c r="P739" t="b">
        <v>0</v>
      </c>
      <c r="Q739" t="b">
        <v>0</v>
      </c>
      <c r="R739" t="s">
        <v>154</v>
      </c>
      <c r="S739" t="str" cm="1">
        <f t="array" ref="S739:T739">_xlfn.TEXTSPLIT(R739, "/", , FALSE)</f>
        <v>music</v>
      </c>
      <c r="T739" t="str">
        <v>indie rock</v>
      </c>
    </row>
    <row r="740" spans="1:20" ht="34" x14ac:dyDescent="0.2">
      <c r="A740">
        <v>738</v>
      </c>
      <c r="B740" t="s">
        <v>1127</v>
      </c>
      <c r="C740" s="3" t="s">
        <v>1610</v>
      </c>
      <c r="D740">
        <v>74700</v>
      </c>
      <c r="E740">
        <v>1557</v>
      </c>
      <c r="F740" s="5">
        <f t="shared" si="22"/>
        <v>2.0843373493975904E-2</v>
      </c>
      <c r="G740" t="s">
        <v>6</v>
      </c>
      <c r="H740">
        <v>15</v>
      </c>
      <c r="I740">
        <f t="shared" si="23"/>
        <v>103.8</v>
      </c>
      <c r="J740" t="s">
        <v>109</v>
      </c>
      <c r="K740" t="s">
        <v>110</v>
      </c>
      <c r="L740" s="4">
        <v>41959.25</v>
      </c>
      <c r="M740" s="4" t="s">
        <v>57</v>
      </c>
      <c r="N740" s="4" t="s">
        <v>111</v>
      </c>
      <c r="O740" s="4">
        <v>41981.25</v>
      </c>
      <c r="P740" t="b">
        <v>0</v>
      </c>
      <c r="Q740" t="b">
        <v>1</v>
      </c>
      <c r="R740" t="s">
        <v>124</v>
      </c>
      <c r="S740" t="str" cm="1">
        <f t="array" ref="S740:T740">_xlfn.TEXTSPLIT(R740, "/", , FALSE)</f>
        <v>theater</v>
      </c>
      <c r="T740" t="str">
        <v>plays</v>
      </c>
    </row>
    <row r="741" spans="1:20" ht="17" x14ac:dyDescent="0.2">
      <c r="A741">
        <v>739</v>
      </c>
      <c r="B741" t="s">
        <v>1611</v>
      </c>
      <c r="C741" s="3" t="s">
        <v>1612</v>
      </c>
      <c r="D741">
        <v>10000</v>
      </c>
      <c r="E741">
        <v>6100</v>
      </c>
      <c r="F741" s="5">
        <f t="shared" si="22"/>
        <v>0.61</v>
      </c>
      <c r="G741" t="s">
        <v>6</v>
      </c>
      <c r="H741">
        <v>191</v>
      </c>
      <c r="I741">
        <f t="shared" si="23"/>
        <v>31.937172774869111</v>
      </c>
      <c r="J741" t="s">
        <v>109</v>
      </c>
      <c r="K741" t="s">
        <v>110</v>
      </c>
      <c r="L741" s="4">
        <v>41089.208333333336</v>
      </c>
      <c r="M741" s="4" t="s">
        <v>52</v>
      </c>
      <c r="N741" s="4" t="s">
        <v>129</v>
      </c>
      <c r="O741" s="4">
        <v>41090.208333333336</v>
      </c>
      <c r="P741" t="b">
        <v>0</v>
      </c>
      <c r="Q741" t="b">
        <v>0</v>
      </c>
      <c r="R741" t="s">
        <v>154</v>
      </c>
      <c r="S741" t="str" cm="1">
        <f t="array" ref="S741:T741">_xlfn.TEXTSPLIT(R741, "/", , FALSE)</f>
        <v>music</v>
      </c>
      <c r="T741" t="str">
        <v>indie rock</v>
      </c>
    </row>
    <row r="742" spans="1:20" ht="34" x14ac:dyDescent="0.2">
      <c r="A742">
        <v>740</v>
      </c>
      <c r="B742" t="s">
        <v>1613</v>
      </c>
      <c r="C742" s="3" t="s">
        <v>1614</v>
      </c>
      <c r="D742">
        <v>5300</v>
      </c>
      <c r="E742">
        <v>1592</v>
      </c>
      <c r="F742" s="5">
        <f t="shared" si="22"/>
        <v>0.30037735849056602</v>
      </c>
      <c r="G742" t="s">
        <v>6</v>
      </c>
      <c r="H742">
        <v>16</v>
      </c>
      <c r="I742">
        <f t="shared" si="23"/>
        <v>99.5</v>
      </c>
      <c r="J742" t="s">
        <v>109</v>
      </c>
      <c r="K742" t="s">
        <v>110</v>
      </c>
      <c r="L742" s="4">
        <v>42769.25</v>
      </c>
      <c r="M742" s="4" t="s">
        <v>48</v>
      </c>
      <c r="N742" s="4" t="s">
        <v>134</v>
      </c>
      <c r="O742" s="4">
        <v>42772.25</v>
      </c>
      <c r="P742" t="b">
        <v>0</v>
      </c>
      <c r="Q742" t="b">
        <v>0</v>
      </c>
      <c r="R742" t="s">
        <v>124</v>
      </c>
      <c r="S742" t="str" cm="1">
        <f t="array" ref="S742:T742">_xlfn.TEXTSPLIT(R742, "/", , FALSE)</f>
        <v>theater</v>
      </c>
      <c r="T742" t="str">
        <v>plays</v>
      </c>
    </row>
    <row r="743" spans="1:20" ht="17" x14ac:dyDescent="0.2">
      <c r="A743">
        <v>741</v>
      </c>
      <c r="B743" t="s">
        <v>723</v>
      </c>
      <c r="C743" s="3" t="s">
        <v>1615</v>
      </c>
      <c r="D743">
        <v>1200</v>
      </c>
      <c r="E743">
        <v>14150</v>
      </c>
      <c r="F743" s="5">
        <f t="shared" si="22"/>
        <v>11.791666666666666</v>
      </c>
      <c r="G743" t="s">
        <v>8</v>
      </c>
      <c r="H743">
        <v>130</v>
      </c>
      <c r="I743">
        <f t="shared" si="23"/>
        <v>108.84615384615384</v>
      </c>
      <c r="J743" t="s">
        <v>109</v>
      </c>
      <c r="K743" t="s">
        <v>110</v>
      </c>
      <c r="L743" s="4">
        <v>40321.208333333336</v>
      </c>
      <c r="M743" s="4" t="s">
        <v>51</v>
      </c>
      <c r="N743" s="4" t="s">
        <v>140</v>
      </c>
      <c r="O743" s="4">
        <v>40322.208333333336</v>
      </c>
      <c r="P743" t="b">
        <v>0</v>
      </c>
      <c r="Q743" t="b">
        <v>0</v>
      </c>
      <c r="R743" t="s">
        <v>124</v>
      </c>
      <c r="S743" t="str" cm="1">
        <f t="array" ref="S743:T743">_xlfn.TEXTSPLIT(R743, "/", , FALSE)</f>
        <v>theater</v>
      </c>
      <c r="T743" t="str">
        <v>plays</v>
      </c>
    </row>
    <row r="744" spans="1:20" ht="17" x14ac:dyDescent="0.2">
      <c r="A744">
        <v>742</v>
      </c>
      <c r="B744" t="s">
        <v>1616</v>
      </c>
      <c r="C744" s="3" t="s">
        <v>1617</v>
      </c>
      <c r="D744">
        <v>1200</v>
      </c>
      <c r="E744">
        <v>13513</v>
      </c>
      <c r="F744" s="5">
        <f t="shared" si="22"/>
        <v>11.260833333333334</v>
      </c>
      <c r="G744" t="s">
        <v>8</v>
      </c>
      <c r="H744">
        <v>122</v>
      </c>
      <c r="I744">
        <f t="shared" si="23"/>
        <v>110.76229508196721</v>
      </c>
      <c r="J744" t="s">
        <v>109</v>
      </c>
      <c r="K744" t="s">
        <v>110</v>
      </c>
      <c r="L744" s="4">
        <v>40197.25</v>
      </c>
      <c r="M744" s="4" t="s">
        <v>47</v>
      </c>
      <c r="N744" s="4" t="s">
        <v>140</v>
      </c>
      <c r="O744" s="4">
        <v>40239.25</v>
      </c>
      <c r="P744" t="b">
        <v>0</v>
      </c>
      <c r="Q744" t="b">
        <v>0</v>
      </c>
      <c r="R744" t="s">
        <v>143</v>
      </c>
      <c r="S744" t="str" cm="1">
        <f t="array" ref="S744:T744">_xlfn.TEXTSPLIT(R744, "/", , FALSE)</f>
        <v>music</v>
      </c>
      <c r="T744" t="str">
        <v>electric music</v>
      </c>
    </row>
    <row r="745" spans="1:20" ht="34" x14ac:dyDescent="0.2">
      <c r="A745">
        <v>743</v>
      </c>
      <c r="B745" t="s">
        <v>1618</v>
      </c>
      <c r="C745" s="3" t="s">
        <v>1619</v>
      </c>
      <c r="D745">
        <v>3900</v>
      </c>
      <c r="E745">
        <v>504</v>
      </c>
      <c r="F745" s="5">
        <f t="shared" si="22"/>
        <v>0.12923076923076923</v>
      </c>
      <c r="G745" t="s">
        <v>6</v>
      </c>
      <c r="H745">
        <v>17</v>
      </c>
      <c r="I745">
        <f t="shared" si="23"/>
        <v>29.647058823529413</v>
      </c>
      <c r="J745" t="s">
        <v>109</v>
      </c>
      <c r="K745" t="s">
        <v>110</v>
      </c>
      <c r="L745" s="4">
        <v>42298.208333333328</v>
      </c>
      <c r="M745" s="4" t="s">
        <v>56</v>
      </c>
      <c r="N745" s="4" t="s">
        <v>105</v>
      </c>
      <c r="O745" s="4">
        <v>42304.208333333328</v>
      </c>
      <c r="P745" t="b">
        <v>0</v>
      </c>
      <c r="Q745" t="b">
        <v>1</v>
      </c>
      <c r="R745" t="s">
        <v>124</v>
      </c>
      <c r="S745" t="str" cm="1">
        <f t="array" ref="S745:T745">_xlfn.TEXTSPLIT(R745, "/", , FALSE)</f>
        <v>theater</v>
      </c>
      <c r="T745" t="str">
        <v>plays</v>
      </c>
    </row>
    <row r="746" spans="1:20" ht="17" x14ac:dyDescent="0.2">
      <c r="A746">
        <v>744</v>
      </c>
      <c r="B746" t="s">
        <v>1620</v>
      </c>
      <c r="C746" s="3" t="s">
        <v>1621</v>
      </c>
      <c r="D746">
        <v>2000</v>
      </c>
      <c r="E746">
        <v>14240</v>
      </c>
      <c r="F746" s="5">
        <f t="shared" si="22"/>
        <v>7.12</v>
      </c>
      <c r="G746" t="s">
        <v>8</v>
      </c>
      <c r="H746">
        <v>140</v>
      </c>
      <c r="I746">
        <f t="shared" si="23"/>
        <v>101.71428571428571</v>
      </c>
      <c r="J746" t="s">
        <v>109</v>
      </c>
      <c r="K746" t="s">
        <v>110</v>
      </c>
      <c r="L746" s="4">
        <v>43322.208333333328</v>
      </c>
      <c r="M746" s="4" t="s">
        <v>54</v>
      </c>
      <c r="N746" s="4" t="s">
        <v>169</v>
      </c>
      <c r="O746" s="4">
        <v>43324.208333333328</v>
      </c>
      <c r="P746" t="b">
        <v>0</v>
      </c>
      <c r="Q746" t="b">
        <v>1</v>
      </c>
      <c r="R746" t="s">
        <v>124</v>
      </c>
      <c r="S746" t="str" cm="1">
        <f t="array" ref="S746:T746">_xlfn.TEXTSPLIT(R746, "/", , FALSE)</f>
        <v>theater</v>
      </c>
      <c r="T746" t="str">
        <v>plays</v>
      </c>
    </row>
    <row r="747" spans="1:20" ht="34" x14ac:dyDescent="0.2">
      <c r="A747">
        <v>745</v>
      </c>
      <c r="B747" t="s">
        <v>1622</v>
      </c>
      <c r="C747" s="3" t="s">
        <v>1623</v>
      </c>
      <c r="D747">
        <v>6900</v>
      </c>
      <c r="E747">
        <v>2091</v>
      </c>
      <c r="F747" s="5">
        <f t="shared" si="22"/>
        <v>0.30304347826086958</v>
      </c>
      <c r="G747" t="s">
        <v>6</v>
      </c>
      <c r="H747">
        <v>34</v>
      </c>
      <c r="I747">
        <f t="shared" si="23"/>
        <v>61.5</v>
      </c>
      <c r="J747" t="s">
        <v>109</v>
      </c>
      <c r="K747" t="s">
        <v>110</v>
      </c>
      <c r="L747" s="4">
        <v>40328.208333333336</v>
      </c>
      <c r="M747" s="4" t="s">
        <v>51</v>
      </c>
      <c r="N747" s="4" t="s">
        <v>140</v>
      </c>
      <c r="O747" s="4">
        <v>40355.208333333336</v>
      </c>
      <c r="P747" t="b">
        <v>0</v>
      </c>
      <c r="Q747" t="b">
        <v>0</v>
      </c>
      <c r="R747" t="s">
        <v>159</v>
      </c>
      <c r="S747" t="str" cm="1">
        <f t="array" ref="S747:T747">_xlfn.TEXTSPLIT(R747, "/", , FALSE)</f>
        <v>technology</v>
      </c>
      <c r="T747" t="str">
        <v>wearables</v>
      </c>
    </row>
    <row r="748" spans="1:20" ht="17" x14ac:dyDescent="0.2">
      <c r="A748">
        <v>746</v>
      </c>
      <c r="B748" t="s">
        <v>1624</v>
      </c>
      <c r="C748" s="3" t="s">
        <v>1625</v>
      </c>
      <c r="D748">
        <v>55800</v>
      </c>
      <c r="E748">
        <v>118580</v>
      </c>
      <c r="F748" s="5">
        <f t="shared" si="22"/>
        <v>2.1250896057347672</v>
      </c>
      <c r="G748" t="s">
        <v>8</v>
      </c>
      <c r="H748">
        <v>3388</v>
      </c>
      <c r="I748">
        <f t="shared" si="23"/>
        <v>35</v>
      </c>
      <c r="J748" t="s">
        <v>109</v>
      </c>
      <c r="K748" t="s">
        <v>110</v>
      </c>
      <c r="L748" s="4">
        <v>40825.208333333336</v>
      </c>
      <c r="M748" s="4" t="s">
        <v>56</v>
      </c>
      <c r="N748" s="4" t="s">
        <v>165</v>
      </c>
      <c r="O748" s="4">
        <v>40830.208333333336</v>
      </c>
      <c r="P748" t="b">
        <v>0</v>
      </c>
      <c r="Q748" t="b">
        <v>0</v>
      </c>
      <c r="R748" t="s">
        <v>118</v>
      </c>
      <c r="S748" t="str" cm="1">
        <f t="array" ref="S748:T748">_xlfn.TEXTSPLIT(R748, "/", , FALSE)</f>
        <v>technology</v>
      </c>
      <c r="T748" t="str">
        <v>web</v>
      </c>
    </row>
    <row r="749" spans="1:20" ht="17" x14ac:dyDescent="0.2">
      <c r="A749">
        <v>747</v>
      </c>
      <c r="B749" t="s">
        <v>1626</v>
      </c>
      <c r="C749" s="3" t="s">
        <v>1627</v>
      </c>
      <c r="D749">
        <v>4900</v>
      </c>
      <c r="E749">
        <v>11214</v>
      </c>
      <c r="F749" s="5">
        <f t="shared" si="22"/>
        <v>2.2885714285714287</v>
      </c>
      <c r="G749" t="s">
        <v>8</v>
      </c>
      <c r="H749">
        <v>280</v>
      </c>
      <c r="I749">
        <f t="shared" si="23"/>
        <v>40.049999999999997</v>
      </c>
      <c r="J749" t="s">
        <v>109</v>
      </c>
      <c r="K749" t="s">
        <v>110</v>
      </c>
      <c r="L749" s="4">
        <v>40423.208333333336</v>
      </c>
      <c r="M749" s="4" t="s">
        <v>55</v>
      </c>
      <c r="N749" s="4" t="s">
        <v>140</v>
      </c>
      <c r="O749" s="4">
        <v>40434.208333333336</v>
      </c>
      <c r="P749" t="b">
        <v>0</v>
      </c>
      <c r="Q749" t="b">
        <v>0</v>
      </c>
      <c r="R749" t="s">
        <v>124</v>
      </c>
      <c r="S749" t="str" cm="1">
        <f t="array" ref="S749:T749">_xlfn.TEXTSPLIT(R749, "/", , FALSE)</f>
        <v>theater</v>
      </c>
      <c r="T749" t="str">
        <v>plays</v>
      </c>
    </row>
    <row r="750" spans="1:20" ht="17" x14ac:dyDescent="0.2">
      <c r="A750">
        <v>748</v>
      </c>
      <c r="B750" t="s">
        <v>1628</v>
      </c>
      <c r="C750" s="3" t="s">
        <v>1629</v>
      </c>
      <c r="D750">
        <v>194900</v>
      </c>
      <c r="E750">
        <v>68137</v>
      </c>
      <c r="F750" s="5">
        <f t="shared" si="22"/>
        <v>0.34959979476654696</v>
      </c>
      <c r="G750" t="s">
        <v>5</v>
      </c>
      <c r="H750">
        <v>614</v>
      </c>
      <c r="I750">
        <f t="shared" si="23"/>
        <v>110.97231270358306</v>
      </c>
      <c r="J750" t="s">
        <v>109</v>
      </c>
      <c r="K750" t="s">
        <v>110</v>
      </c>
      <c r="L750" s="4">
        <v>40238.25</v>
      </c>
      <c r="M750" s="4" t="s">
        <v>49</v>
      </c>
      <c r="N750" s="4" t="s">
        <v>140</v>
      </c>
      <c r="O750" s="4">
        <v>40263.208333333336</v>
      </c>
      <c r="P750" t="b">
        <v>0</v>
      </c>
      <c r="Q750" t="b">
        <v>1</v>
      </c>
      <c r="R750" t="s">
        <v>166</v>
      </c>
      <c r="S750" t="str" cm="1">
        <f t="array" ref="S750:T750">_xlfn.TEXTSPLIT(R750, "/", , FALSE)</f>
        <v>film &amp; video</v>
      </c>
      <c r="T750" t="str">
        <v>animation</v>
      </c>
    </row>
    <row r="751" spans="1:20" ht="17" x14ac:dyDescent="0.2">
      <c r="A751">
        <v>749</v>
      </c>
      <c r="B751" t="s">
        <v>1630</v>
      </c>
      <c r="C751" s="3" t="s">
        <v>1631</v>
      </c>
      <c r="D751">
        <v>8600</v>
      </c>
      <c r="E751">
        <v>13527</v>
      </c>
      <c r="F751" s="5">
        <f t="shared" si="22"/>
        <v>1.5729069767441861</v>
      </c>
      <c r="G751" t="s">
        <v>8</v>
      </c>
      <c r="H751">
        <v>366</v>
      </c>
      <c r="I751">
        <f t="shared" si="23"/>
        <v>36.959016393442624</v>
      </c>
      <c r="J751" t="s">
        <v>202</v>
      </c>
      <c r="K751" t="s">
        <v>203</v>
      </c>
      <c r="L751" s="4">
        <v>41920.208333333336</v>
      </c>
      <c r="M751" s="4" t="s">
        <v>56</v>
      </c>
      <c r="N751" s="4" t="s">
        <v>111</v>
      </c>
      <c r="O751" s="4">
        <v>41932.208333333336</v>
      </c>
      <c r="P751" t="b">
        <v>0</v>
      </c>
      <c r="Q751" t="b">
        <v>1</v>
      </c>
      <c r="R751" t="s">
        <v>159</v>
      </c>
      <c r="S751" t="str" cm="1">
        <f t="array" ref="S751:T751">_xlfn.TEXTSPLIT(R751, "/", , FALSE)</f>
        <v>technology</v>
      </c>
      <c r="T751" t="str">
        <v>wearables</v>
      </c>
    </row>
    <row r="752" spans="1:20" ht="17" x14ac:dyDescent="0.2">
      <c r="A752">
        <v>750</v>
      </c>
      <c r="B752" t="s">
        <v>1632</v>
      </c>
      <c r="C752" s="3" t="s">
        <v>1633</v>
      </c>
      <c r="D752">
        <v>100</v>
      </c>
      <c r="E752">
        <v>1</v>
      </c>
      <c r="F752" s="5">
        <f t="shared" si="22"/>
        <v>0.01</v>
      </c>
      <c r="G752" t="s">
        <v>6</v>
      </c>
      <c r="H752">
        <v>1</v>
      </c>
      <c r="I752">
        <f t="shared" si="23"/>
        <v>1</v>
      </c>
      <c r="J752" t="s">
        <v>132</v>
      </c>
      <c r="K752" t="s">
        <v>133</v>
      </c>
      <c r="L752" s="4">
        <v>40360.208333333336</v>
      </c>
      <c r="M752" s="4" t="s">
        <v>53</v>
      </c>
      <c r="N752" s="4" t="s">
        <v>140</v>
      </c>
      <c r="O752" s="4">
        <v>40385.208333333336</v>
      </c>
      <c r="P752" t="b">
        <v>0</v>
      </c>
      <c r="Q752" t="b">
        <v>0</v>
      </c>
      <c r="R752" t="s">
        <v>143</v>
      </c>
      <c r="S752" t="str" cm="1">
        <f t="array" ref="S752:T752">_xlfn.TEXTSPLIT(R752, "/", , FALSE)</f>
        <v>music</v>
      </c>
      <c r="T752" t="str">
        <v>electric music</v>
      </c>
    </row>
    <row r="753" spans="1:20" ht="17" x14ac:dyDescent="0.2">
      <c r="A753">
        <v>751</v>
      </c>
      <c r="B753" t="s">
        <v>1634</v>
      </c>
      <c r="C753" s="3" t="s">
        <v>1635</v>
      </c>
      <c r="D753">
        <v>3600</v>
      </c>
      <c r="E753">
        <v>8363</v>
      </c>
      <c r="F753" s="5">
        <f t="shared" si="22"/>
        <v>2.3230555555555554</v>
      </c>
      <c r="G753" t="s">
        <v>8</v>
      </c>
      <c r="H753">
        <v>270</v>
      </c>
      <c r="I753">
        <f t="shared" si="23"/>
        <v>30.974074074074075</v>
      </c>
      <c r="J753" t="s">
        <v>109</v>
      </c>
      <c r="K753" t="s">
        <v>110</v>
      </c>
      <c r="L753" s="4">
        <v>42446.208333333328</v>
      </c>
      <c r="M753" s="4" t="s">
        <v>49</v>
      </c>
      <c r="N753" s="4" t="s">
        <v>153</v>
      </c>
      <c r="O753" s="4">
        <v>42461.208333333328</v>
      </c>
      <c r="P753" t="b">
        <v>1</v>
      </c>
      <c r="Q753" t="b">
        <v>1</v>
      </c>
      <c r="R753" t="s">
        <v>162</v>
      </c>
      <c r="S753" t="str" cm="1">
        <f t="array" ref="S753:T753">_xlfn.TEXTSPLIT(R753, "/", , FALSE)</f>
        <v>publishing</v>
      </c>
      <c r="T753" t="str">
        <v>nonfiction</v>
      </c>
    </row>
    <row r="754" spans="1:20" ht="17" x14ac:dyDescent="0.2">
      <c r="A754">
        <v>752</v>
      </c>
      <c r="B754" t="s">
        <v>1636</v>
      </c>
      <c r="C754" s="3" t="s">
        <v>1637</v>
      </c>
      <c r="D754">
        <v>5800</v>
      </c>
      <c r="E754">
        <v>5362</v>
      </c>
      <c r="F754" s="5">
        <f t="shared" si="22"/>
        <v>0.92448275862068963</v>
      </c>
      <c r="G754" t="s">
        <v>5</v>
      </c>
      <c r="H754">
        <v>114</v>
      </c>
      <c r="I754">
        <f t="shared" si="23"/>
        <v>47.035087719298247</v>
      </c>
      <c r="J754" t="s">
        <v>109</v>
      </c>
      <c r="K754" t="s">
        <v>110</v>
      </c>
      <c r="L754" s="4">
        <v>40395.208333333336</v>
      </c>
      <c r="M754" s="4" t="s">
        <v>54</v>
      </c>
      <c r="N754" s="4" t="s">
        <v>140</v>
      </c>
      <c r="O754" s="4">
        <v>40413.208333333336</v>
      </c>
      <c r="P754" t="b">
        <v>0</v>
      </c>
      <c r="Q754" t="b">
        <v>1</v>
      </c>
      <c r="R754" t="s">
        <v>124</v>
      </c>
      <c r="S754" t="str" cm="1">
        <f t="array" ref="S754:T754">_xlfn.TEXTSPLIT(R754, "/", , FALSE)</f>
        <v>theater</v>
      </c>
      <c r="T754" t="str">
        <v>plays</v>
      </c>
    </row>
    <row r="755" spans="1:20" ht="17" x14ac:dyDescent="0.2">
      <c r="A755">
        <v>753</v>
      </c>
      <c r="B755" t="s">
        <v>1638</v>
      </c>
      <c r="C755" s="3" t="s">
        <v>1639</v>
      </c>
      <c r="D755">
        <v>4700</v>
      </c>
      <c r="E755">
        <v>12065</v>
      </c>
      <c r="F755" s="5">
        <f t="shared" si="22"/>
        <v>2.5670212765957445</v>
      </c>
      <c r="G755" t="s">
        <v>8</v>
      </c>
      <c r="H755">
        <v>137</v>
      </c>
      <c r="I755">
        <f t="shared" si="23"/>
        <v>88.065693430656935</v>
      </c>
      <c r="J755" t="s">
        <v>109</v>
      </c>
      <c r="K755" t="s">
        <v>110</v>
      </c>
      <c r="L755" s="4">
        <v>40321.208333333336</v>
      </c>
      <c r="M755" s="4" t="s">
        <v>51</v>
      </c>
      <c r="N755" s="4" t="s">
        <v>140</v>
      </c>
      <c r="O755" s="4">
        <v>40336.208333333336</v>
      </c>
      <c r="P755" t="b">
        <v>0</v>
      </c>
      <c r="Q755" t="b">
        <v>0</v>
      </c>
      <c r="R755" t="s">
        <v>217</v>
      </c>
      <c r="S755" t="str" cm="1">
        <f t="array" ref="S755:T755">_xlfn.TEXTSPLIT(R755, "/", , FALSE)</f>
        <v>photography</v>
      </c>
      <c r="T755" t="str">
        <v>photography books</v>
      </c>
    </row>
    <row r="756" spans="1:20" ht="17" x14ac:dyDescent="0.2">
      <c r="A756">
        <v>754</v>
      </c>
      <c r="B756" t="s">
        <v>1640</v>
      </c>
      <c r="C756" s="3" t="s">
        <v>1641</v>
      </c>
      <c r="D756">
        <v>70400</v>
      </c>
      <c r="E756">
        <v>118603</v>
      </c>
      <c r="F756" s="5">
        <f t="shared" si="22"/>
        <v>1.6847017045454546</v>
      </c>
      <c r="G756" t="s">
        <v>8</v>
      </c>
      <c r="H756">
        <v>3205</v>
      </c>
      <c r="I756">
        <f t="shared" si="23"/>
        <v>37.005616224648989</v>
      </c>
      <c r="J756" t="s">
        <v>109</v>
      </c>
      <c r="K756" t="s">
        <v>110</v>
      </c>
      <c r="L756" s="4">
        <v>41210.208333333336</v>
      </c>
      <c r="M756" s="4" t="s">
        <v>56</v>
      </c>
      <c r="N756" s="4" t="s">
        <v>129</v>
      </c>
      <c r="O756" s="4">
        <v>41263.25</v>
      </c>
      <c r="P756" t="b">
        <v>0</v>
      </c>
      <c r="Q756" t="b">
        <v>0</v>
      </c>
      <c r="R756" t="s">
        <v>124</v>
      </c>
      <c r="S756" t="str" cm="1">
        <f t="array" ref="S756:T756">_xlfn.TEXTSPLIT(R756, "/", , FALSE)</f>
        <v>theater</v>
      </c>
      <c r="T756" t="str">
        <v>plays</v>
      </c>
    </row>
    <row r="757" spans="1:20" ht="17" x14ac:dyDescent="0.2">
      <c r="A757">
        <v>755</v>
      </c>
      <c r="B757" t="s">
        <v>1642</v>
      </c>
      <c r="C757" s="3" t="s">
        <v>1643</v>
      </c>
      <c r="D757">
        <v>4500</v>
      </c>
      <c r="E757">
        <v>7496</v>
      </c>
      <c r="F757" s="5">
        <f t="shared" si="22"/>
        <v>1.6657777777777778</v>
      </c>
      <c r="G757" t="s">
        <v>8</v>
      </c>
      <c r="H757">
        <v>288</v>
      </c>
      <c r="I757">
        <f t="shared" si="23"/>
        <v>26.027777777777779</v>
      </c>
      <c r="J757" t="s">
        <v>127</v>
      </c>
      <c r="K757" t="s">
        <v>128</v>
      </c>
      <c r="L757" s="4">
        <v>43096.25</v>
      </c>
      <c r="M757" s="4" t="s">
        <v>58</v>
      </c>
      <c r="N757" s="4" t="s">
        <v>134</v>
      </c>
      <c r="O757" s="4">
        <v>43108.25</v>
      </c>
      <c r="P757" t="b">
        <v>0</v>
      </c>
      <c r="Q757" t="b">
        <v>1</v>
      </c>
      <c r="R757" t="s">
        <v>124</v>
      </c>
      <c r="S757" t="str" cm="1">
        <f t="array" ref="S757:T757">_xlfn.TEXTSPLIT(R757, "/", , FALSE)</f>
        <v>theater</v>
      </c>
      <c r="T757" t="str">
        <v>plays</v>
      </c>
    </row>
    <row r="758" spans="1:20" ht="34" x14ac:dyDescent="0.2">
      <c r="A758">
        <v>756</v>
      </c>
      <c r="B758" t="s">
        <v>1644</v>
      </c>
      <c r="C758" s="3" t="s">
        <v>1645</v>
      </c>
      <c r="D758">
        <v>1300</v>
      </c>
      <c r="E758">
        <v>10037</v>
      </c>
      <c r="F758" s="5">
        <f t="shared" si="22"/>
        <v>7.7207692307692311</v>
      </c>
      <c r="G758" t="s">
        <v>8</v>
      </c>
      <c r="H758">
        <v>148</v>
      </c>
      <c r="I758">
        <f t="shared" si="23"/>
        <v>67.817567567567565</v>
      </c>
      <c r="J758" t="s">
        <v>109</v>
      </c>
      <c r="K758" t="s">
        <v>110</v>
      </c>
      <c r="L758" s="4">
        <v>42024.25</v>
      </c>
      <c r="M758" s="4" t="s">
        <v>47</v>
      </c>
      <c r="N758" s="4" t="s">
        <v>105</v>
      </c>
      <c r="O758" s="4">
        <v>42030.25</v>
      </c>
      <c r="P758" t="b">
        <v>0</v>
      </c>
      <c r="Q758" t="b">
        <v>0</v>
      </c>
      <c r="R758" t="s">
        <v>124</v>
      </c>
      <c r="S758" t="str" cm="1">
        <f t="array" ref="S758:T758">_xlfn.TEXTSPLIT(R758, "/", , FALSE)</f>
        <v>theater</v>
      </c>
      <c r="T758" t="str">
        <v>plays</v>
      </c>
    </row>
    <row r="759" spans="1:20" ht="17" x14ac:dyDescent="0.2">
      <c r="A759">
        <v>757</v>
      </c>
      <c r="B759" t="s">
        <v>1646</v>
      </c>
      <c r="C759" s="3" t="s">
        <v>1647</v>
      </c>
      <c r="D759">
        <v>1400</v>
      </c>
      <c r="E759">
        <v>5696</v>
      </c>
      <c r="F759" s="5">
        <f t="shared" si="22"/>
        <v>4.0685714285714285</v>
      </c>
      <c r="G759" t="s">
        <v>8</v>
      </c>
      <c r="H759">
        <v>114</v>
      </c>
      <c r="I759">
        <f t="shared" si="23"/>
        <v>49.964912280701753</v>
      </c>
      <c r="J759" t="s">
        <v>109</v>
      </c>
      <c r="K759" t="s">
        <v>110</v>
      </c>
      <c r="L759" s="4">
        <v>40675.208333333336</v>
      </c>
      <c r="M759" s="4" t="s">
        <v>51</v>
      </c>
      <c r="N759" s="4" t="s">
        <v>165</v>
      </c>
      <c r="O759" s="4">
        <v>40679.208333333336</v>
      </c>
      <c r="P759" t="b">
        <v>0</v>
      </c>
      <c r="Q759" t="b">
        <v>0</v>
      </c>
      <c r="R759" t="s">
        <v>146</v>
      </c>
      <c r="S759" t="str" cm="1">
        <f t="array" ref="S759:T759">_xlfn.TEXTSPLIT(R759, "/", , FALSE)</f>
        <v>film &amp; video</v>
      </c>
      <c r="T759" t="str">
        <v>drama</v>
      </c>
    </row>
    <row r="760" spans="1:20" ht="17" x14ac:dyDescent="0.2">
      <c r="A760">
        <v>758</v>
      </c>
      <c r="B760" t="s">
        <v>1648</v>
      </c>
      <c r="C760" s="3" t="s">
        <v>1649</v>
      </c>
      <c r="D760">
        <v>29600</v>
      </c>
      <c r="E760">
        <v>167005</v>
      </c>
      <c r="F760" s="5">
        <f t="shared" si="22"/>
        <v>5.6420608108108112</v>
      </c>
      <c r="G760" t="s">
        <v>8</v>
      </c>
      <c r="H760">
        <v>1518</v>
      </c>
      <c r="I760">
        <f t="shared" si="23"/>
        <v>110.01646903820817</v>
      </c>
      <c r="J760" t="s">
        <v>103</v>
      </c>
      <c r="K760" t="s">
        <v>104</v>
      </c>
      <c r="L760" s="4">
        <v>41936.208333333336</v>
      </c>
      <c r="M760" s="4" t="s">
        <v>56</v>
      </c>
      <c r="N760" s="4" t="s">
        <v>111</v>
      </c>
      <c r="O760" s="4">
        <v>41945.208333333336</v>
      </c>
      <c r="P760" t="b">
        <v>0</v>
      </c>
      <c r="Q760" t="b">
        <v>0</v>
      </c>
      <c r="R760" t="s">
        <v>112</v>
      </c>
      <c r="S760" t="str" cm="1">
        <f t="array" ref="S760:T760">_xlfn.TEXTSPLIT(R760, "/", , FALSE)</f>
        <v>music</v>
      </c>
      <c r="T760" t="str">
        <v>rock</v>
      </c>
    </row>
    <row r="761" spans="1:20" ht="34" x14ac:dyDescent="0.2">
      <c r="A761">
        <v>759</v>
      </c>
      <c r="B761" t="s">
        <v>1650</v>
      </c>
      <c r="C761" s="3" t="s">
        <v>1651</v>
      </c>
      <c r="D761">
        <v>167500</v>
      </c>
      <c r="E761">
        <v>114615</v>
      </c>
      <c r="F761" s="5">
        <f t="shared" si="22"/>
        <v>0.6842686567164179</v>
      </c>
      <c r="G761" t="s">
        <v>6</v>
      </c>
      <c r="H761">
        <v>1274</v>
      </c>
      <c r="I761">
        <f t="shared" si="23"/>
        <v>89.964678178963894</v>
      </c>
      <c r="J761" t="s">
        <v>109</v>
      </c>
      <c r="K761" t="s">
        <v>110</v>
      </c>
      <c r="L761" s="4">
        <v>43136.25</v>
      </c>
      <c r="M761" s="4" t="s">
        <v>48</v>
      </c>
      <c r="N761" s="4" t="s">
        <v>169</v>
      </c>
      <c r="O761" s="4">
        <v>43166.25</v>
      </c>
      <c r="P761" t="b">
        <v>0</v>
      </c>
      <c r="Q761" t="b">
        <v>0</v>
      </c>
      <c r="R761" t="s">
        <v>143</v>
      </c>
      <c r="S761" t="str" cm="1">
        <f t="array" ref="S761:T761">_xlfn.TEXTSPLIT(R761, "/", , FALSE)</f>
        <v>music</v>
      </c>
      <c r="T761" t="str">
        <v>electric music</v>
      </c>
    </row>
    <row r="762" spans="1:20" ht="17" x14ac:dyDescent="0.2">
      <c r="A762">
        <v>760</v>
      </c>
      <c r="B762" t="s">
        <v>1652</v>
      </c>
      <c r="C762" s="3" t="s">
        <v>1653</v>
      </c>
      <c r="D762">
        <v>48300</v>
      </c>
      <c r="E762">
        <v>16592</v>
      </c>
      <c r="F762" s="5">
        <f t="shared" si="22"/>
        <v>0.34351966873706002</v>
      </c>
      <c r="G762" t="s">
        <v>6</v>
      </c>
      <c r="H762">
        <v>210</v>
      </c>
      <c r="I762">
        <f t="shared" si="23"/>
        <v>79.009523809523813</v>
      </c>
      <c r="J762" t="s">
        <v>202</v>
      </c>
      <c r="K762" t="s">
        <v>203</v>
      </c>
      <c r="L762" s="4">
        <v>43678.208333333328</v>
      </c>
      <c r="M762" s="4" t="s">
        <v>54</v>
      </c>
      <c r="N762" s="4" t="s">
        <v>121</v>
      </c>
      <c r="O762" s="4">
        <v>43707.208333333328</v>
      </c>
      <c r="P762" t="b">
        <v>0</v>
      </c>
      <c r="Q762" t="b">
        <v>1</v>
      </c>
      <c r="R762" t="s">
        <v>184</v>
      </c>
      <c r="S762" t="str" cm="1">
        <f t="array" ref="S762:T762">_xlfn.TEXTSPLIT(R762, "/", , FALSE)</f>
        <v>games</v>
      </c>
      <c r="T762" t="str">
        <v>video games</v>
      </c>
    </row>
    <row r="763" spans="1:20" ht="17" x14ac:dyDescent="0.2">
      <c r="A763">
        <v>761</v>
      </c>
      <c r="B763" t="s">
        <v>1654</v>
      </c>
      <c r="C763" s="3" t="s">
        <v>1655</v>
      </c>
      <c r="D763">
        <v>2200</v>
      </c>
      <c r="E763">
        <v>14420</v>
      </c>
      <c r="F763" s="5">
        <f t="shared" si="22"/>
        <v>6.5545454545454547</v>
      </c>
      <c r="G763" t="s">
        <v>8</v>
      </c>
      <c r="H763">
        <v>166</v>
      </c>
      <c r="I763">
        <f t="shared" si="23"/>
        <v>86.867469879518069</v>
      </c>
      <c r="J763" t="s">
        <v>109</v>
      </c>
      <c r="K763" t="s">
        <v>110</v>
      </c>
      <c r="L763" s="4">
        <v>42938.208333333328</v>
      </c>
      <c r="M763" s="4" t="s">
        <v>53</v>
      </c>
      <c r="N763" s="4" t="s">
        <v>134</v>
      </c>
      <c r="O763" s="4">
        <v>42943.208333333328</v>
      </c>
      <c r="P763" t="b">
        <v>0</v>
      </c>
      <c r="Q763" t="b">
        <v>0</v>
      </c>
      <c r="R763" t="s">
        <v>112</v>
      </c>
      <c r="S763" t="str" cm="1">
        <f t="array" ref="S763:T763">_xlfn.TEXTSPLIT(R763, "/", , FALSE)</f>
        <v>music</v>
      </c>
      <c r="T763" t="str">
        <v>rock</v>
      </c>
    </row>
    <row r="764" spans="1:20" ht="17" x14ac:dyDescent="0.2">
      <c r="A764">
        <v>762</v>
      </c>
      <c r="B764" t="s">
        <v>763</v>
      </c>
      <c r="C764" s="3" t="s">
        <v>1656</v>
      </c>
      <c r="D764">
        <v>3500</v>
      </c>
      <c r="E764">
        <v>6204</v>
      </c>
      <c r="F764" s="5">
        <f t="shared" si="22"/>
        <v>1.7725714285714285</v>
      </c>
      <c r="G764" t="s">
        <v>8</v>
      </c>
      <c r="H764">
        <v>100</v>
      </c>
      <c r="I764">
        <f t="shared" si="23"/>
        <v>62.04</v>
      </c>
      <c r="J764" t="s">
        <v>115</v>
      </c>
      <c r="K764" t="s">
        <v>116</v>
      </c>
      <c r="L764" s="4">
        <v>41241.25</v>
      </c>
      <c r="M764" s="4" t="s">
        <v>57</v>
      </c>
      <c r="N764" s="4" t="s">
        <v>129</v>
      </c>
      <c r="O764" s="4">
        <v>41252.25</v>
      </c>
      <c r="P764" t="b">
        <v>0</v>
      </c>
      <c r="Q764" t="b">
        <v>0</v>
      </c>
      <c r="R764" t="s">
        <v>254</v>
      </c>
      <c r="S764" t="str" cm="1">
        <f t="array" ref="S764:T764">_xlfn.TEXTSPLIT(R764, "/", , FALSE)</f>
        <v>music</v>
      </c>
      <c r="T764" t="str">
        <v>jazz</v>
      </c>
    </row>
    <row r="765" spans="1:20" ht="17" x14ac:dyDescent="0.2">
      <c r="A765">
        <v>763</v>
      </c>
      <c r="B765" t="s">
        <v>1657</v>
      </c>
      <c r="C765" s="3" t="s">
        <v>1658</v>
      </c>
      <c r="D765">
        <v>5600</v>
      </c>
      <c r="E765">
        <v>6338</v>
      </c>
      <c r="F765" s="5">
        <f t="shared" si="22"/>
        <v>1.1317857142857144</v>
      </c>
      <c r="G765" t="s">
        <v>8</v>
      </c>
      <c r="H765">
        <v>235</v>
      </c>
      <c r="I765">
        <f t="shared" si="23"/>
        <v>26.970212765957445</v>
      </c>
      <c r="J765" t="s">
        <v>109</v>
      </c>
      <c r="K765" t="s">
        <v>110</v>
      </c>
      <c r="L765" s="4">
        <v>41037.208333333336</v>
      </c>
      <c r="M765" s="4" t="s">
        <v>51</v>
      </c>
      <c r="N765" s="4" t="s">
        <v>129</v>
      </c>
      <c r="O765" s="4">
        <v>41072.208333333336</v>
      </c>
      <c r="P765" t="b">
        <v>0</v>
      </c>
      <c r="Q765" t="b">
        <v>1</v>
      </c>
      <c r="R765" t="s">
        <v>124</v>
      </c>
      <c r="S765" t="str" cm="1">
        <f t="array" ref="S765:T765">_xlfn.TEXTSPLIT(R765, "/", , FALSE)</f>
        <v>theater</v>
      </c>
      <c r="T765" t="str">
        <v>plays</v>
      </c>
    </row>
    <row r="766" spans="1:20" ht="34" x14ac:dyDescent="0.2">
      <c r="A766">
        <v>764</v>
      </c>
      <c r="B766" t="s">
        <v>1659</v>
      </c>
      <c r="C766" s="3" t="s">
        <v>1660</v>
      </c>
      <c r="D766">
        <v>1100</v>
      </c>
      <c r="E766">
        <v>8010</v>
      </c>
      <c r="F766" s="5">
        <f t="shared" si="22"/>
        <v>7.2818181818181822</v>
      </c>
      <c r="G766" t="s">
        <v>8</v>
      </c>
      <c r="H766">
        <v>148</v>
      </c>
      <c r="I766">
        <f t="shared" si="23"/>
        <v>54.121621621621621</v>
      </c>
      <c r="J766" t="s">
        <v>109</v>
      </c>
      <c r="K766" t="s">
        <v>110</v>
      </c>
      <c r="L766" s="4">
        <v>40676.208333333336</v>
      </c>
      <c r="M766" s="4" t="s">
        <v>51</v>
      </c>
      <c r="N766" s="4" t="s">
        <v>165</v>
      </c>
      <c r="O766" s="4">
        <v>40684.208333333336</v>
      </c>
      <c r="P766" t="b">
        <v>0</v>
      </c>
      <c r="Q766" t="b">
        <v>0</v>
      </c>
      <c r="R766" t="s">
        <v>112</v>
      </c>
      <c r="S766" t="str" cm="1">
        <f t="array" ref="S766:T766">_xlfn.TEXTSPLIT(R766, "/", , FALSE)</f>
        <v>music</v>
      </c>
      <c r="T766" t="str">
        <v>rock</v>
      </c>
    </row>
    <row r="767" spans="1:20" ht="17" x14ac:dyDescent="0.2">
      <c r="A767">
        <v>765</v>
      </c>
      <c r="B767" t="s">
        <v>1661</v>
      </c>
      <c r="C767" s="3" t="s">
        <v>1662</v>
      </c>
      <c r="D767">
        <v>3900</v>
      </c>
      <c r="E767">
        <v>8125</v>
      </c>
      <c r="F767" s="5">
        <f t="shared" si="22"/>
        <v>2.0833333333333335</v>
      </c>
      <c r="G767" t="s">
        <v>8</v>
      </c>
      <c r="H767">
        <v>198</v>
      </c>
      <c r="I767">
        <f t="shared" si="23"/>
        <v>41.035353535353536</v>
      </c>
      <c r="J767" t="s">
        <v>109</v>
      </c>
      <c r="K767" t="s">
        <v>110</v>
      </c>
      <c r="L767" s="4">
        <v>42840.208333333328</v>
      </c>
      <c r="M767" s="4" t="s">
        <v>50</v>
      </c>
      <c r="N767" s="4" t="s">
        <v>134</v>
      </c>
      <c r="O767" s="4">
        <v>42865.208333333328</v>
      </c>
      <c r="P767" t="b">
        <v>1</v>
      </c>
      <c r="Q767" t="b">
        <v>1</v>
      </c>
      <c r="R767" t="s">
        <v>154</v>
      </c>
      <c r="S767" t="str" cm="1">
        <f t="array" ref="S767:T767">_xlfn.TEXTSPLIT(R767, "/", , FALSE)</f>
        <v>music</v>
      </c>
      <c r="T767" t="str">
        <v>indie rock</v>
      </c>
    </row>
    <row r="768" spans="1:20" ht="34" x14ac:dyDescent="0.2">
      <c r="A768">
        <v>766</v>
      </c>
      <c r="B768" t="s">
        <v>1663</v>
      </c>
      <c r="C768" s="3" t="s">
        <v>1664</v>
      </c>
      <c r="D768">
        <v>43800</v>
      </c>
      <c r="E768">
        <v>13653</v>
      </c>
      <c r="F768" s="5">
        <f t="shared" si="22"/>
        <v>0.31171232876712329</v>
      </c>
      <c r="G768" t="s">
        <v>6</v>
      </c>
      <c r="H768">
        <v>248</v>
      </c>
      <c r="I768">
        <f t="shared" si="23"/>
        <v>55.052419354838712</v>
      </c>
      <c r="J768" t="s">
        <v>115</v>
      </c>
      <c r="K768" t="s">
        <v>116</v>
      </c>
      <c r="L768" s="4">
        <v>43362.208333333328</v>
      </c>
      <c r="M768" s="4" t="s">
        <v>55</v>
      </c>
      <c r="N768" s="4" t="s">
        <v>169</v>
      </c>
      <c r="O768" s="4">
        <v>43363.208333333328</v>
      </c>
      <c r="P768" t="b">
        <v>0</v>
      </c>
      <c r="Q768" t="b">
        <v>0</v>
      </c>
      <c r="R768" t="s">
        <v>569</v>
      </c>
      <c r="S768" t="str" cm="1">
        <f t="array" ref="S768:T768">_xlfn.TEXTSPLIT(R768, "/", , FALSE)</f>
        <v>film &amp; video</v>
      </c>
      <c r="T768" t="str">
        <v>science fiction</v>
      </c>
    </row>
    <row r="769" spans="1:20" ht="17" x14ac:dyDescent="0.2">
      <c r="A769">
        <v>767</v>
      </c>
      <c r="B769" t="s">
        <v>1665</v>
      </c>
      <c r="C769" s="3" t="s">
        <v>1666</v>
      </c>
      <c r="D769">
        <v>97200</v>
      </c>
      <c r="E769">
        <v>55372</v>
      </c>
      <c r="F769" s="5">
        <f t="shared" si="22"/>
        <v>0.56967078189300413</v>
      </c>
      <c r="G769" t="s">
        <v>6</v>
      </c>
      <c r="H769">
        <v>513</v>
      </c>
      <c r="I769">
        <f t="shared" si="23"/>
        <v>107.93762183235867</v>
      </c>
      <c r="J769" t="s">
        <v>109</v>
      </c>
      <c r="K769" t="s">
        <v>110</v>
      </c>
      <c r="L769" s="4">
        <v>42283.208333333328</v>
      </c>
      <c r="M769" s="4" t="s">
        <v>56</v>
      </c>
      <c r="N769" s="4" t="s">
        <v>105</v>
      </c>
      <c r="O769" s="4">
        <v>42328.25</v>
      </c>
      <c r="P769" t="b">
        <v>0</v>
      </c>
      <c r="Q769" t="b">
        <v>0</v>
      </c>
      <c r="R769" t="s">
        <v>301</v>
      </c>
      <c r="S769" t="str" cm="1">
        <f t="array" ref="S769:T769">_xlfn.TEXTSPLIT(R769, "/", , FALSE)</f>
        <v>publishing</v>
      </c>
      <c r="T769" t="str">
        <v>translations</v>
      </c>
    </row>
    <row r="770" spans="1:20" ht="17" x14ac:dyDescent="0.2">
      <c r="A770">
        <v>768</v>
      </c>
      <c r="B770" t="s">
        <v>1667</v>
      </c>
      <c r="C770" s="3" t="s">
        <v>1668</v>
      </c>
      <c r="D770">
        <v>4800</v>
      </c>
      <c r="E770">
        <v>11088</v>
      </c>
      <c r="F770" s="5">
        <f t="shared" si="22"/>
        <v>2.31</v>
      </c>
      <c r="G770" t="s">
        <v>8</v>
      </c>
      <c r="H770">
        <v>150</v>
      </c>
      <c r="I770">
        <f t="shared" si="23"/>
        <v>73.92</v>
      </c>
      <c r="J770" t="s">
        <v>109</v>
      </c>
      <c r="K770" t="s">
        <v>110</v>
      </c>
      <c r="L770" s="4">
        <v>41619.25</v>
      </c>
      <c r="M770" s="4" t="s">
        <v>58</v>
      </c>
      <c r="N770" s="4" t="s">
        <v>117</v>
      </c>
      <c r="O770" s="4">
        <v>41634.25</v>
      </c>
      <c r="P770" t="b">
        <v>0</v>
      </c>
      <c r="Q770" t="b">
        <v>0</v>
      </c>
      <c r="R770" t="s">
        <v>124</v>
      </c>
      <c r="S770" t="str" cm="1">
        <f t="array" ref="S770:T770">_xlfn.TEXTSPLIT(R770, "/", , FALSE)</f>
        <v>theater</v>
      </c>
      <c r="T770" t="str">
        <v>plays</v>
      </c>
    </row>
    <row r="771" spans="1:20" ht="17" x14ac:dyDescent="0.2">
      <c r="A771">
        <v>769</v>
      </c>
      <c r="B771" t="s">
        <v>1669</v>
      </c>
      <c r="C771" s="3" t="s">
        <v>1670</v>
      </c>
      <c r="D771">
        <v>125600</v>
      </c>
      <c r="E771">
        <v>109106</v>
      </c>
      <c r="F771" s="5">
        <f t="shared" ref="F771:F834" si="24">E771/D771</f>
        <v>0.86867834394904464</v>
      </c>
      <c r="G771" t="s">
        <v>6</v>
      </c>
      <c r="H771">
        <v>3410</v>
      </c>
      <c r="I771">
        <f t="shared" ref="I771:I834" si="25">E771/H771</f>
        <v>31.995894428152493</v>
      </c>
      <c r="J771" t="s">
        <v>109</v>
      </c>
      <c r="K771" t="s">
        <v>110</v>
      </c>
      <c r="L771" s="4">
        <v>41501.208333333336</v>
      </c>
      <c r="M771" s="4" t="s">
        <v>54</v>
      </c>
      <c r="N771" s="4" t="s">
        <v>117</v>
      </c>
      <c r="O771" s="4">
        <v>41527.208333333336</v>
      </c>
      <c r="P771" t="b">
        <v>0</v>
      </c>
      <c r="Q771" t="b">
        <v>0</v>
      </c>
      <c r="R771" t="s">
        <v>184</v>
      </c>
      <c r="S771" t="str" cm="1">
        <f t="array" ref="S771:T771">_xlfn.TEXTSPLIT(R771, "/", , FALSE)</f>
        <v>games</v>
      </c>
      <c r="T771" t="str">
        <v>video games</v>
      </c>
    </row>
    <row r="772" spans="1:20" ht="17" x14ac:dyDescent="0.2">
      <c r="A772">
        <v>770</v>
      </c>
      <c r="B772" t="s">
        <v>1671</v>
      </c>
      <c r="C772" s="3" t="s">
        <v>1672</v>
      </c>
      <c r="D772">
        <v>4300</v>
      </c>
      <c r="E772">
        <v>11642</v>
      </c>
      <c r="F772" s="5">
        <f t="shared" si="24"/>
        <v>2.7074418604651163</v>
      </c>
      <c r="G772" t="s">
        <v>8</v>
      </c>
      <c r="H772">
        <v>216</v>
      </c>
      <c r="I772">
        <f t="shared" si="25"/>
        <v>53.898148148148145</v>
      </c>
      <c r="J772" t="s">
        <v>202</v>
      </c>
      <c r="K772" t="s">
        <v>203</v>
      </c>
      <c r="L772" s="4">
        <v>41743.208333333336</v>
      </c>
      <c r="M772" s="4" t="s">
        <v>50</v>
      </c>
      <c r="N772" s="4" t="s">
        <v>111</v>
      </c>
      <c r="O772" s="4">
        <v>41750.208333333336</v>
      </c>
      <c r="P772" t="b">
        <v>0</v>
      </c>
      <c r="Q772" t="b">
        <v>1</v>
      </c>
      <c r="R772" t="s">
        <v>124</v>
      </c>
      <c r="S772" t="str" cm="1">
        <f t="array" ref="S772:T772">_xlfn.TEXTSPLIT(R772, "/", , FALSE)</f>
        <v>theater</v>
      </c>
      <c r="T772" t="str">
        <v>plays</v>
      </c>
    </row>
    <row r="773" spans="1:20" ht="17" x14ac:dyDescent="0.2">
      <c r="A773">
        <v>771</v>
      </c>
      <c r="B773" t="s">
        <v>1673</v>
      </c>
      <c r="C773" s="3" t="s">
        <v>1674</v>
      </c>
      <c r="D773">
        <v>5600</v>
      </c>
      <c r="E773">
        <v>2769</v>
      </c>
      <c r="F773" s="5">
        <f t="shared" si="24"/>
        <v>0.49446428571428569</v>
      </c>
      <c r="G773" t="s">
        <v>5</v>
      </c>
      <c r="H773">
        <v>26</v>
      </c>
      <c r="I773">
        <f t="shared" si="25"/>
        <v>106.5</v>
      </c>
      <c r="J773" t="s">
        <v>109</v>
      </c>
      <c r="K773" t="s">
        <v>110</v>
      </c>
      <c r="L773" s="4">
        <v>43491.25</v>
      </c>
      <c r="M773" s="4" t="s">
        <v>47</v>
      </c>
      <c r="N773" s="4" t="s">
        <v>121</v>
      </c>
      <c r="O773" s="4">
        <v>43518.25</v>
      </c>
      <c r="P773" t="b">
        <v>0</v>
      </c>
      <c r="Q773" t="b">
        <v>0</v>
      </c>
      <c r="R773" t="s">
        <v>124</v>
      </c>
      <c r="S773" t="str" cm="1">
        <f t="array" ref="S773:T773">_xlfn.TEXTSPLIT(R773, "/", , FALSE)</f>
        <v>theater</v>
      </c>
      <c r="T773" t="str">
        <v>plays</v>
      </c>
    </row>
    <row r="774" spans="1:20" ht="17" x14ac:dyDescent="0.2">
      <c r="A774">
        <v>772</v>
      </c>
      <c r="B774" t="s">
        <v>1675</v>
      </c>
      <c r="C774" s="3" t="s">
        <v>1676</v>
      </c>
      <c r="D774">
        <v>149600</v>
      </c>
      <c r="E774">
        <v>169586</v>
      </c>
      <c r="F774" s="5">
        <f t="shared" si="24"/>
        <v>1.1335962566844919</v>
      </c>
      <c r="G774" t="s">
        <v>8</v>
      </c>
      <c r="H774">
        <v>5139</v>
      </c>
      <c r="I774">
        <f t="shared" si="25"/>
        <v>32.999805409612762</v>
      </c>
      <c r="J774" t="s">
        <v>109</v>
      </c>
      <c r="K774" t="s">
        <v>110</v>
      </c>
      <c r="L774" s="4">
        <v>43505.25</v>
      </c>
      <c r="M774" s="4" t="s">
        <v>48</v>
      </c>
      <c r="N774" s="4" t="s">
        <v>121</v>
      </c>
      <c r="O774" s="4">
        <v>43509.25</v>
      </c>
      <c r="P774" t="b">
        <v>0</v>
      </c>
      <c r="Q774" t="b">
        <v>0</v>
      </c>
      <c r="R774" t="s">
        <v>154</v>
      </c>
      <c r="S774" t="str" cm="1">
        <f t="array" ref="S774:T774">_xlfn.TEXTSPLIT(R774, "/", , FALSE)</f>
        <v>music</v>
      </c>
      <c r="T774" t="str">
        <v>indie rock</v>
      </c>
    </row>
    <row r="775" spans="1:20" ht="17" x14ac:dyDescent="0.2">
      <c r="A775">
        <v>773</v>
      </c>
      <c r="B775" t="s">
        <v>1677</v>
      </c>
      <c r="C775" s="3" t="s">
        <v>1678</v>
      </c>
      <c r="D775">
        <v>53100</v>
      </c>
      <c r="E775">
        <v>101185</v>
      </c>
      <c r="F775" s="5">
        <f t="shared" si="24"/>
        <v>1.9055555555555554</v>
      </c>
      <c r="G775" t="s">
        <v>8</v>
      </c>
      <c r="H775">
        <v>2353</v>
      </c>
      <c r="I775">
        <f t="shared" si="25"/>
        <v>43.00254993625159</v>
      </c>
      <c r="J775" t="s">
        <v>109</v>
      </c>
      <c r="K775" t="s">
        <v>110</v>
      </c>
      <c r="L775" s="4">
        <v>42838.208333333328</v>
      </c>
      <c r="M775" s="4" t="s">
        <v>50</v>
      </c>
      <c r="N775" s="4" t="s">
        <v>134</v>
      </c>
      <c r="O775" s="4">
        <v>42848.208333333328</v>
      </c>
      <c r="P775" t="b">
        <v>0</v>
      </c>
      <c r="Q775" t="b">
        <v>0</v>
      </c>
      <c r="R775" t="s">
        <v>124</v>
      </c>
      <c r="S775" t="str" cm="1">
        <f t="array" ref="S775:T775">_xlfn.TEXTSPLIT(R775, "/", , FALSE)</f>
        <v>theater</v>
      </c>
      <c r="T775" t="str">
        <v>plays</v>
      </c>
    </row>
    <row r="776" spans="1:20" ht="17" x14ac:dyDescent="0.2">
      <c r="A776">
        <v>774</v>
      </c>
      <c r="B776" t="s">
        <v>1679</v>
      </c>
      <c r="C776" s="3" t="s">
        <v>1680</v>
      </c>
      <c r="D776">
        <v>5000</v>
      </c>
      <c r="E776">
        <v>6775</v>
      </c>
      <c r="F776" s="5">
        <f t="shared" si="24"/>
        <v>1.355</v>
      </c>
      <c r="G776" t="s">
        <v>8</v>
      </c>
      <c r="H776">
        <v>78</v>
      </c>
      <c r="I776">
        <f t="shared" si="25"/>
        <v>86.858974358974365</v>
      </c>
      <c r="J776" t="s">
        <v>202</v>
      </c>
      <c r="K776" t="s">
        <v>203</v>
      </c>
      <c r="L776" s="4">
        <v>42513.208333333328</v>
      </c>
      <c r="M776" s="4" t="s">
        <v>51</v>
      </c>
      <c r="N776" s="4" t="s">
        <v>153</v>
      </c>
      <c r="O776" s="4">
        <v>42554.208333333328</v>
      </c>
      <c r="P776" t="b">
        <v>0</v>
      </c>
      <c r="Q776" t="b">
        <v>0</v>
      </c>
      <c r="R776" t="s">
        <v>118</v>
      </c>
      <c r="S776" t="str" cm="1">
        <f t="array" ref="S776:T776">_xlfn.TEXTSPLIT(R776, "/", , FALSE)</f>
        <v>technology</v>
      </c>
      <c r="T776" t="str">
        <v>web</v>
      </c>
    </row>
    <row r="777" spans="1:20" ht="34" x14ac:dyDescent="0.2">
      <c r="A777">
        <v>775</v>
      </c>
      <c r="B777" t="s">
        <v>1681</v>
      </c>
      <c r="C777" s="3" t="s">
        <v>1682</v>
      </c>
      <c r="D777">
        <v>9400</v>
      </c>
      <c r="E777">
        <v>968</v>
      </c>
      <c r="F777" s="5">
        <f t="shared" si="24"/>
        <v>0.10297872340425532</v>
      </c>
      <c r="G777" t="s">
        <v>6</v>
      </c>
      <c r="H777">
        <v>10</v>
      </c>
      <c r="I777">
        <f t="shared" si="25"/>
        <v>96.8</v>
      </c>
      <c r="J777" t="s">
        <v>109</v>
      </c>
      <c r="K777" t="s">
        <v>110</v>
      </c>
      <c r="L777" s="4">
        <v>41949.25</v>
      </c>
      <c r="M777" s="4" t="s">
        <v>57</v>
      </c>
      <c r="N777" s="4" t="s">
        <v>111</v>
      </c>
      <c r="O777" s="4">
        <v>41959.25</v>
      </c>
      <c r="P777" t="b">
        <v>0</v>
      </c>
      <c r="Q777" t="b">
        <v>0</v>
      </c>
      <c r="R777" t="s">
        <v>112</v>
      </c>
      <c r="S777" t="str" cm="1">
        <f t="array" ref="S777:T777">_xlfn.TEXTSPLIT(R777, "/", , FALSE)</f>
        <v>music</v>
      </c>
      <c r="T777" t="str">
        <v>rock</v>
      </c>
    </row>
    <row r="778" spans="1:20" ht="17" x14ac:dyDescent="0.2">
      <c r="A778">
        <v>776</v>
      </c>
      <c r="B778" t="s">
        <v>1683</v>
      </c>
      <c r="C778" s="3" t="s">
        <v>1684</v>
      </c>
      <c r="D778">
        <v>110800</v>
      </c>
      <c r="E778">
        <v>72623</v>
      </c>
      <c r="F778" s="5">
        <f t="shared" si="24"/>
        <v>0.65544223826714798</v>
      </c>
      <c r="G778" t="s">
        <v>6</v>
      </c>
      <c r="H778">
        <v>2201</v>
      </c>
      <c r="I778">
        <f t="shared" si="25"/>
        <v>32.995456610631528</v>
      </c>
      <c r="J778" t="s">
        <v>109</v>
      </c>
      <c r="K778" t="s">
        <v>110</v>
      </c>
      <c r="L778" s="4">
        <v>43650.208333333328</v>
      </c>
      <c r="M778" s="4" t="s">
        <v>53</v>
      </c>
      <c r="N778" s="4" t="s">
        <v>121</v>
      </c>
      <c r="O778" s="4">
        <v>43668.208333333328</v>
      </c>
      <c r="P778" t="b">
        <v>0</v>
      </c>
      <c r="Q778" t="b">
        <v>0</v>
      </c>
      <c r="R778" t="s">
        <v>124</v>
      </c>
      <c r="S778" t="str" cm="1">
        <f t="array" ref="S778:T778">_xlfn.TEXTSPLIT(R778, "/", , FALSE)</f>
        <v>theater</v>
      </c>
      <c r="T778" t="str">
        <v>plays</v>
      </c>
    </row>
    <row r="779" spans="1:20" ht="17" x14ac:dyDescent="0.2">
      <c r="A779">
        <v>777</v>
      </c>
      <c r="B779" t="s">
        <v>1685</v>
      </c>
      <c r="C779" s="3" t="s">
        <v>1686</v>
      </c>
      <c r="D779">
        <v>93800</v>
      </c>
      <c r="E779">
        <v>45987</v>
      </c>
      <c r="F779" s="5">
        <f t="shared" si="24"/>
        <v>0.49026652452025588</v>
      </c>
      <c r="G779" t="s">
        <v>6</v>
      </c>
      <c r="H779">
        <v>676</v>
      </c>
      <c r="I779">
        <f t="shared" si="25"/>
        <v>68.028106508875737</v>
      </c>
      <c r="J779" t="s">
        <v>109</v>
      </c>
      <c r="K779" t="s">
        <v>110</v>
      </c>
      <c r="L779" s="4">
        <v>40809.208333333336</v>
      </c>
      <c r="M779" s="4" t="s">
        <v>55</v>
      </c>
      <c r="N779" s="4" t="s">
        <v>165</v>
      </c>
      <c r="O779" s="4">
        <v>40838.208333333336</v>
      </c>
      <c r="P779" t="b">
        <v>0</v>
      </c>
      <c r="Q779" t="b">
        <v>0</v>
      </c>
      <c r="R779" t="s">
        <v>124</v>
      </c>
      <c r="S779" t="str" cm="1">
        <f t="array" ref="S779:T779">_xlfn.TEXTSPLIT(R779, "/", , FALSE)</f>
        <v>theater</v>
      </c>
      <c r="T779" t="str">
        <v>plays</v>
      </c>
    </row>
    <row r="780" spans="1:20" ht="17" x14ac:dyDescent="0.2">
      <c r="A780">
        <v>778</v>
      </c>
      <c r="B780" t="s">
        <v>1687</v>
      </c>
      <c r="C780" s="3" t="s">
        <v>1688</v>
      </c>
      <c r="D780">
        <v>1300</v>
      </c>
      <c r="E780">
        <v>10243</v>
      </c>
      <c r="F780" s="5">
        <f t="shared" si="24"/>
        <v>7.8792307692307695</v>
      </c>
      <c r="G780" t="s">
        <v>8</v>
      </c>
      <c r="H780">
        <v>174</v>
      </c>
      <c r="I780">
        <f t="shared" si="25"/>
        <v>58.867816091954026</v>
      </c>
      <c r="J780" t="s">
        <v>193</v>
      </c>
      <c r="K780" t="s">
        <v>194</v>
      </c>
      <c r="L780" s="4">
        <v>40768.208333333336</v>
      </c>
      <c r="M780" s="4" t="s">
        <v>54</v>
      </c>
      <c r="N780" s="4" t="s">
        <v>165</v>
      </c>
      <c r="O780" s="4">
        <v>40773.208333333336</v>
      </c>
      <c r="P780" t="b">
        <v>0</v>
      </c>
      <c r="Q780" t="b">
        <v>0</v>
      </c>
      <c r="R780" t="s">
        <v>166</v>
      </c>
      <c r="S780" t="str" cm="1">
        <f t="array" ref="S780:T780">_xlfn.TEXTSPLIT(R780, "/", , FALSE)</f>
        <v>film &amp; video</v>
      </c>
      <c r="T780" t="str">
        <v>animation</v>
      </c>
    </row>
    <row r="781" spans="1:20" ht="17" x14ac:dyDescent="0.2">
      <c r="A781">
        <v>779</v>
      </c>
      <c r="B781" t="s">
        <v>1689</v>
      </c>
      <c r="C781" s="3" t="s">
        <v>1690</v>
      </c>
      <c r="D781">
        <v>108700</v>
      </c>
      <c r="E781">
        <v>87293</v>
      </c>
      <c r="F781" s="5">
        <f t="shared" si="24"/>
        <v>0.80306347746090156</v>
      </c>
      <c r="G781" t="s">
        <v>6</v>
      </c>
      <c r="H781">
        <v>831</v>
      </c>
      <c r="I781">
        <f t="shared" si="25"/>
        <v>105.04572803850782</v>
      </c>
      <c r="J781" t="s">
        <v>109</v>
      </c>
      <c r="K781" t="s">
        <v>110</v>
      </c>
      <c r="L781" s="4">
        <v>42230.208333333328</v>
      </c>
      <c r="M781" s="4" t="s">
        <v>54</v>
      </c>
      <c r="N781" s="4" t="s">
        <v>105</v>
      </c>
      <c r="O781" s="4">
        <v>42239.208333333328</v>
      </c>
      <c r="P781" t="b">
        <v>0</v>
      </c>
      <c r="Q781" t="b">
        <v>1</v>
      </c>
      <c r="R781" t="s">
        <v>124</v>
      </c>
      <c r="S781" t="str" cm="1">
        <f t="array" ref="S781:T781">_xlfn.TEXTSPLIT(R781, "/", , FALSE)</f>
        <v>theater</v>
      </c>
      <c r="T781" t="str">
        <v>plays</v>
      </c>
    </row>
    <row r="782" spans="1:20" ht="34" x14ac:dyDescent="0.2">
      <c r="A782">
        <v>780</v>
      </c>
      <c r="B782" t="s">
        <v>1691</v>
      </c>
      <c r="C782" s="3" t="s">
        <v>1692</v>
      </c>
      <c r="D782">
        <v>5100</v>
      </c>
      <c r="E782">
        <v>5421</v>
      </c>
      <c r="F782" s="5">
        <f t="shared" si="24"/>
        <v>1.0629411764705883</v>
      </c>
      <c r="G782" t="s">
        <v>8</v>
      </c>
      <c r="H782">
        <v>164</v>
      </c>
      <c r="I782">
        <f t="shared" si="25"/>
        <v>33.054878048780488</v>
      </c>
      <c r="J782" t="s">
        <v>109</v>
      </c>
      <c r="K782" t="s">
        <v>110</v>
      </c>
      <c r="L782" s="4">
        <v>42573.208333333328</v>
      </c>
      <c r="M782" s="4" t="s">
        <v>53</v>
      </c>
      <c r="N782" s="4" t="s">
        <v>153</v>
      </c>
      <c r="O782" s="4">
        <v>42592.208333333328</v>
      </c>
      <c r="P782" t="b">
        <v>0</v>
      </c>
      <c r="Q782" t="b">
        <v>1</v>
      </c>
      <c r="R782" t="s">
        <v>146</v>
      </c>
      <c r="S782" t="str" cm="1">
        <f t="array" ref="S782:T782">_xlfn.TEXTSPLIT(R782, "/", , FALSE)</f>
        <v>film &amp; video</v>
      </c>
      <c r="T782" t="str">
        <v>drama</v>
      </c>
    </row>
    <row r="783" spans="1:20" ht="17" x14ac:dyDescent="0.2">
      <c r="A783">
        <v>781</v>
      </c>
      <c r="B783" t="s">
        <v>1693</v>
      </c>
      <c r="C783" s="3" t="s">
        <v>1694</v>
      </c>
      <c r="D783">
        <v>8700</v>
      </c>
      <c r="E783">
        <v>4414</v>
      </c>
      <c r="F783" s="5">
        <f t="shared" si="24"/>
        <v>0.50735632183908042</v>
      </c>
      <c r="G783" t="s">
        <v>5</v>
      </c>
      <c r="H783">
        <v>56</v>
      </c>
      <c r="I783">
        <f t="shared" si="25"/>
        <v>78.821428571428569</v>
      </c>
      <c r="J783" t="s">
        <v>193</v>
      </c>
      <c r="K783" t="s">
        <v>194</v>
      </c>
      <c r="L783" s="4">
        <v>40482.208333333336</v>
      </c>
      <c r="M783" s="4" t="s">
        <v>56</v>
      </c>
      <c r="N783" s="4" t="s">
        <v>140</v>
      </c>
      <c r="O783" s="4">
        <v>40533.25</v>
      </c>
      <c r="P783" t="b">
        <v>0</v>
      </c>
      <c r="Q783" t="b">
        <v>0</v>
      </c>
      <c r="R783" t="s">
        <v>124</v>
      </c>
      <c r="S783" t="str" cm="1">
        <f t="array" ref="S783:T783">_xlfn.TEXTSPLIT(R783, "/", , FALSE)</f>
        <v>theater</v>
      </c>
      <c r="T783" t="str">
        <v>plays</v>
      </c>
    </row>
    <row r="784" spans="1:20" ht="17" x14ac:dyDescent="0.2">
      <c r="A784">
        <v>782</v>
      </c>
      <c r="B784" t="s">
        <v>1695</v>
      </c>
      <c r="C784" s="3" t="s">
        <v>1696</v>
      </c>
      <c r="D784">
        <v>5100</v>
      </c>
      <c r="E784">
        <v>10981</v>
      </c>
      <c r="F784" s="5">
        <f t="shared" si="24"/>
        <v>2.153137254901961</v>
      </c>
      <c r="G784" t="s">
        <v>8</v>
      </c>
      <c r="H784">
        <v>161</v>
      </c>
      <c r="I784">
        <f t="shared" si="25"/>
        <v>68.204968944099377</v>
      </c>
      <c r="J784" t="s">
        <v>109</v>
      </c>
      <c r="K784" t="s">
        <v>110</v>
      </c>
      <c r="L784" s="4">
        <v>40603.25</v>
      </c>
      <c r="M784" s="4" t="s">
        <v>49</v>
      </c>
      <c r="N784" s="4" t="s">
        <v>165</v>
      </c>
      <c r="O784" s="4">
        <v>40631.208333333336</v>
      </c>
      <c r="P784" t="b">
        <v>0</v>
      </c>
      <c r="Q784" t="b">
        <v>1</v>
      </c>
      <c r="R784" t="s">
        <v>166</v>
      </c>
      <c r="S784" t="str" cm="1">
        <f t="array" ref="S784:T784">_xlfn.TEXTSPLIT(R784, "/", , FALSE)</f>
        <v>film &amp; video</v>
      </c>
      <c r="T784" t="str">
        <v>animation</v>
      </c>
    </row>
    <row r="785" spans="1:20" ht="17" x14ac:dyDescent="0.2">
      <c r="A785">
        <v>783</v>
      </c>
      <c r="B785" t="s">
        <v>1697</v>
      </c>
      <c r="C785" s="3" t="s">
        <v>1698</v>
      </c>
      <c r="D785">
        <v>7400</v>
      </c>
      <c r="E785">
        <v>10451</v>
      </c>
      <c r="F785" s="5">
        <f t="shared" si="24"/>
        <v>1.4122972972972974</v>
      </c>
      <c r="G785" t="s">
        <v>8</v>
      </c>
      <c r="H785">
        <v>138</v>
      </c>
      <c r="I785">
        <f t="shared" si="25"/>
        <v>75.731884057971016</v>
      </c>
      <c r="J785" t="s">
        <v>109</v>
      </c>
      <c r="K785" t="s">
        <v>110</v>
      </c>
      <c r="L785" s="4">
        <v>41625.25</v>
      </c>
      <c r="M785" s="4" t="s">
        <v>58</v>
      </c>
      <c r="N785" s="4" t="s">
        <v>117</v>
      </c>
      <c r="O785" s="4">
        <v>41632.25</v>
      </c>
      <c r="P785" t="b">
        <v>0</v>
      </c>
      <c r="Q785" t="b">
        <v>0</v>
      </c>
      <c r="R785" t="s">
        <v>112</v>
      </c>
      <c r="S785" t="str" cm="1">
        <f t="array" ref="S785:T785">_xlfn.TEXTSPLIT(R785, "/", , FALSE)</f>
        <v>music</v>
      </c>
      <c r="T785" t="str">
        <v>rock</v>
      </c>
    </row>
    <row r="786" spans="1:20" ht="17" x14ac:dyDescent="0.2">
      <c r="A786">
        <v>784</v>
      </c>
      <c r="B786" t="s">
        <v>1699</v>
      </c>
      <c r="C786" s="3" t="s">
        <v>1700</v>
      </c>
      <c r="D786">
        <v>88900</v>
      </c>
      <c r="E786">
        <v>102535</v>
      </c>
      <c r="F786" s="5">
        <f t="shared" si="24"/>
        <v>1.1533745781777278</v>
      </c>
      <c r="G786" t="s">
        <v>8</v>
      </c>
      <c r="H786">
        <v>3308</v>
      </c>
      <c r="I786">
        <f t="shared" si="25"/>
        <v>30.996070133010882</v>
      </c>
      <c r="J786" t="s">
        <v>109</v>
      </c>
      <c r="K786" t="s">
        <v>110</v>
      </c>
      <c r="L786" s="4">
        <v>42435.25</v>
      </c>
      <c r="M786" s="4" t="s">
        <v>49</v>
      </c>
      <c r="N786" s="4" t="s">
        <v>153</v>
      </c>
      <c r="O786" s="4">
        <v>42446.208333333328</v>
      </c>
      <c r="P786" t="b">
        <v>0</v>
      </c>
      <c r="Q786" t="b">
        <v>0</v>
      </c>
      <c r="R786" t="s">
        <v>118</v>
      </c>
      <c r="S786" t="str" cm="1">
        <f t="array" ref="S786:T786">_xlfn.TEXTSPLIT(R786, "/", , FALSE)</f>
        <v>technology</v>
      </c>
      <c r="T786" t="str">
        <v>web</v>
      </c>
    </row>
    <row r="787" spans="1:20" ht="34" x14ac:dyDescent="0.2">
      <c r="A787">
        <v>785</v>
      </c>
      <c r="B787" t="s">
        <v>1701</v>
      </c>
      <c r="C787" s="3" t="s">
        <v>1702</v>
      </c>
      <c r="D787">
        <v>6700</v>
      </c>
      <c r="E787">
        <v>12939</v>
      </c>
      <c r="F787" s="5">
        <f t="shared" si="24"/>
        <v>1.9311940298507462</v>
      </c>
      <c r="G787" t="s">
        <v>8</v>
      </c>
      <c r="H787">
        <v>127</v>
      </c>
      <c r="I787">
        <f t="shared" si="25"/>
        <v>101.88188976377953</v>
      </c>
      <c r="J787" t="s">
        <v>115</v>
      </c>
      <c r="K787" t="s">
        <v>116</v>
      </c>
      <c r="L787" s="4">
        <v>43582.208333333328</v>
      </c>
      <c r="M787" s="4" t="s">
        <v>50</v>
      </c>
      <c r="N787" s="4" t="s">
        <v>121</v>
      </c>
      <c r="O787" s="4">
        <v>43616.208333333328</v>
      </c>
      <c r="P787" t="b">
        <v>0</v>
      </c>
      <c r="Q787" t="b">
        <v>1</v>
      </c>
      <c r="R787" t="s">
        <v>166</v>
      </c>
      <c r="S787" t="str" cm="1">
        <f t="array" ref="S787:T787">_xlfn.TEXTSPLIT(R787, "/", , FALSE)</f>
        <v>film &amp; video</v>
      </c>
      <c r="T787" t="str">
        <v>animation</v>
      </c>
    </row>
    <row r="788" spans="1:20" ht="17" x14ac:dyDescent="0.2">
      <c r="A788">
        <v>786</v>
      </c>
      <c r="B788" t="s">
        <v>1703</v>
      </c>
      <c r="C788" s="3" t="s">
        <v>1704</v>
      </c>
      <c r="D788">
        <v>1500</v>
      </c>
      <c r="E788">
        <v>10946</v>
      </c>
      <c r="F788" s="5">
        <f t="shared" si="24"/>
        <v>7.2973333333333334</v>
      </c>
      <c r="G788" t="s">
        <v>8</v>
      </c>
      <c r="H788">
        <v>207</v>
      </c>
      <c r="I788">
        <f t="shared" si="25"/>
        <v>52.879227053140099</v>
      </c>
      <c r="J788" t="s">
        <v>202</v>
      </c>
      <c r="K788" t="s">
        <v>203</v>
      </c>
      <c r="L788" s="4">
        <v>43186.208333333328</v>
      </c>
      <c r="M788" s="4" t="s">
        <v>49</v>
      </c>
      <c r="N788" s="4" t="s">
        <v>169</v>
      </c>
      <c r="O788" s="4">
        <v>43193.208333333328</v>
      </c>
      <c r="P788" t="b">
        <v>0</v>
      </c>
      <c r="Q788" t="b">
        <v>1</v>
      </c>
      <c r="R788" t="s">
        <v>254</v>
      </c>
      <c r="S788" t="str" cm="1">
        <f t="array" ref="S788:T788">_xlfn.TEXTSPLIT(R788, "/", , FALSE)</f>
        <v>music</v>
      </c>
      <c r="T788" t="str">
        <v>jazz</v>
      </c>
    </row>
    <row r="789" spans="1:20" ht="17" x14ac:dyDescent="0.2">
      <c r="A789">
        <v>787</v>
      </c>
      <c r="B789" t="s">
        <v>1705</v>
      </c>
      <c r="C789" s="3" t="s">
        <v>1706</v>
      </c>
      <c r="D789">
        <v>61200</v>
      </c>
      <c r="E789">
        <v>60994</v>
      </c>
      <c r="F789" s="5">
        <f t="shared" si="24"/>
        <v>0.99663398692810456</v>
      </c>
      <c r="G789" t="s">
        <v>6</v>
      </c>
      <c r="H789">
        <v>859</v>
      </c>
      <c r="I789">
        <f t="shared" si="25"/>
        <v>71.005820721769496</v>
      </c>
      <c r="J789" t="s">
        <v>103</v>
      </c>
      <c r="K789" t="s">
        <v>104</v>
      </c>
      <c r="L789" s="4">
        <v>40684.208333333336</v>
      </c>
      <c r="M789" s="4" t="s">
        <v>51</v>
      </c>
      <c r="N789" s="4" t="s">
        <v>165</v>
      </c>
      <c r="O789" s="4">
        <v>40693.208333333336</v>
      </c>
      <c r="P789" t="b">
        <v>0</v>
      </c>
      <c r="Q789" t="b">
        <v>0</v>
      </c>
      <c r="R789" t="s">
        <v>112</v>
      </c>
      <c r="S789" t="str" cm="1">
        <f t="array" ref="S789:T789">_xlfn.TEXTSPLIT(R789, "/", , FALSE)</f>
        <v>music</v>
      </c>
      <c r="T789" t="str">
        <v>rock</v>
      </c>
    </row>
    <row r="790" spans="1:20" ht="17" x14ac:dyDescent="0.2">
      <c r="A790">
        <v>788</v>
      </c>
      <c r="B790" t="s">
        <v>1707</v>
      </c>
      <c r="C790" s="3" t="s">
        <v>1708</v>
      </c>
      <c r="D790">
        <v>3600</v>
      </c>
      <c r="E790">
        <v>3174</v>
      </c>
      <c r="F790" s="5">
        <f t="shared" si="24"/>
        <v>0.88166666666666671</v>
      </c>
      <c r="G790" t="s">
        <v>7</v>
      </c>
      <c r="H790">
        <v>31</v>
      </c>
      <c r="I790">
        <f t="shared" si="25"/>
        <v>102.38709677419355</v>
      </c>
      <c r="J790" t="s">
        <v>109</v>
      </c>
      <c r="K790" t="s">
        <v>110</v>
      </c>
      <c r="L790" s="4">
        <v>41202.208333333336</v>
      </c>
      <c r="M790" s="4" t="s">
        <v>56</v>
      </c>
      <c r="N790" s="4" t="s">
        <v>129</v>
      </c>
      <c r="O790" s="4">
        <v>41223.25</v>
      </c>
      <c r="P790" t="b">
        <v>0</v>
      </c>
      <c r="Q790" t="b">
        <v>0</v>
      </c>
      <c r="R790" t="s">
        <v>166</v>
      </c>
      <c r="S790" t="str" cm="1">
        <f t="array" ref="S790:T790">_xlfn.TEXTSPLIT(R790, "/", , FALSE)</f>
        <v>film &amp; video</v>
      </c>
      <c r="T790" t="str">
        <v>animation</v>
      </c>
    </row>
    <row r="791" spans="1:20" ht="17" x14ac:dyDescent="0.2">
      <c r="A791">
        <v>789</v>
      </c>
      <c r="B791" t="s">
        <v>1709</v>
      </c>
      <c r="C791" s="3" t="s">
        <v>1710</v>
      </c>
      <c r="D791">
        <v>9000</v>
      </c>
      <c r="E791">
        <v>3351</v>
      </c>
      <c r="F791" s="5">
        <f t="shared" si="24"/>
        <v>0.37233333333333335</v>
      </c>
      <c r="G791" t="s">
        <v>6</v>
      </c>
      <c r="H791">
        <v>45</v>
      </c>
      <c r="I791">
        <f t="shared" si="25"/>
        <v>74.466666666666669</v>
      </c>
      <c r="J791" t="s">
        <v>109</v>
      </c>
      <c r="K791" t="s">
        <v>110</v>
      </c>
      <c r="L791" s="4">
        <v>41786.208333333336</v>
      </c>
      <c r="M791" s="4" t="s">
        <v>51</v>
      </c>
      <c r="N791" s="4" t="s">
        <v>111</v>
      </c>
      <c r="O791" s="4">
        <v>41823.208333333336</v>
      </c>
      <c r="P791" t="b">
        <v>0</v>
      </c>
      <c r="Q791" t="b">
        <v>0</v>
      </c>
      <c r="R791" t="s">
        <v>124</v>
      </c>
      <c r="S791" t="str" cm="1">
        <f t="array" ref="S791:T791">_xlfn.TEXTSPLIT(R791, "/", , FALSE)</f>
        <v>theater</v>
      </c>
      <c r="T791" t="str">
        <v>plays</v>
      </c>
    </row>
    <row r="792" spans="1:20" ht="17" x14ac:dyDescent="0.2">
      <c r="A792">
        <v>790</v>
      </c>
      <c r="B792" t="s">
        <v>1711</v>
      </c>
      <c r="C792" s="3" t="s">
        <v>1712</v>
      </c>
      <c r="D792">
        <v>185900</v>
      </c>
      <c r="E792">
        <v>56774</v>
      </c>
      <c r="F792" s="5">
        <f t="shared" si="24"/>
        <v>0.30540075309306081</v>
      </c>
      <c r="G792" t="s">
        <v>5</v>
      </c>
      <c r="H792">
        <v>1113</v>
      </c>
      <c r="I792">
        <f t="shared" si="25"/>
        <v>51.009883198562441</v>
      </c>
      <c r="J792" t="s">
        <v>109</v>
      </c>
      <c r="K792" t="s">
        <v>110</v>
      </c>
      <c r="L792" s="4">
        <v>40223.25</v>
      </c>
      <c r="M792" s="4" t="s">
        <v>48</v>
      </c>
      <c r="N792" s="4" t="s">
        <v>140</v>
      </c>
      <c r="O792" s="4">
        <v>40229.25</v>
      </c>
      <c r="P792" t="b">
        <v>0</v>
      </c>
      <c r="Q792" t="b">
        <v>0</v>
      </c>
      <c r="R792" t="s">
        <v>124</v>
      </c>
      <c r="S792" t="str" cm="1">
        <f t="array" ref="S792:T792">_xlfn.TEXTSPLIT(R792, "/", , FALSE)</f>
        <v>theater</v>
      </c>
      <c r="T792" t="str">
        <v>plays</v>
      </c>
    </row>
    <row r="793" spans="1:20" ht="17" x14ac:dyDescent="0.2">
      <c r="A793">
        <v>791</v>
      </c>
      <c r="B793" t="s">
        <v>1713</v>
      </c>
      <c r="C793" s="3" t="s">
        <v>1714</v>
      </c>
      <c r="D793">
        <v>2100</v>
      </c>
      <c r="E793">
        <v>540</v>
      </c>
      <c r="F793" s="5">
        <f t="shared" si="24"/>
        <v>0.25714285714285712</v>
      </c>
      <c r="G793" t="s">
        <v>6</v>
      </c>
      <c r="H793">
        <v>6</v>
      </c>
      <c r="I793">
        <f t="shared" si="25"/>
        <v>90</v>
      </c>
      <c r="J793" t="s">
        <v>109</v>
      </c>
      <c r="K793" t="s">
        <v>110</v>
      </c>
      <c r="L793" s="4">
        <v>42715.25</v>
      </c>
      <c r="M793" s="4" t="s">
        <v>58</v>
      </c>
      <c r="N793" s="4" t="s">
        <v>153</v>
      </c>
      <c r="O793" s="4">
        <v>42731.25</v>
      </c>
      <c r="P793" t="b">
        <v>0</v>
      </c>
      <c r="Q793" t="b">
        <v>0</v>
      </c>
      <c r="R793" t="s">
        <v>106</v>
      </c>
      <c r="S793" t="str" cm="1">
        <f t="array" ref="S793:T793">_xlfn.TEXTSPLIT(R793, "/", , FALSE)</f>
        <v>food</v>
      </c>
      <c r="T793" t="str">
        <v>food trucks</v>
      </c>
    </row>
    <row r="794" spans="1:20" ht="17" x14ac:dyDescent="0.2">
      <c r="A794">
        <v>792</v>
      </c>
      <c r="B794" t="s">
        <v>1715</v>
      </c>
      <c r="C794" s="3" t="s">
        <v>1716</v>
      </c>
      <c r="D794">
        <v>2000</v>
      </c>
      <c r="E794">
        <v>680</v>
      </c>
      <c r="F794" s="5">
        <f t="shared" si="24"/>
        <v>0.34</v>
      </c>
      <c r="G794" t="s">
        <v>6</v>
      </c>
      <c r="H794">
        <v>7</v>
      </c>
      <c r="I794">
        <f t="shared" si="25"/>
        <v>97.142857142857139</v>
      </c>
      <c r="J794" t="s">
        <v>109</v>
      </c>
      <c r="K794" t="s">
        <v>110</v>
      </c>
      <c r="L794" s="4">
        <v>41451.208333333336</v>
      </c>
      <c r="M794" s="4" t="s">
        <v>52</v>
      </c>
      <c r="N794" s="4" t="s">
        <v>117</v>
      </c>
      <c r="O794" s="4">
        <v>41479.208333333336</v>
      </c>
      <c r="P794" t="b">
        <v>0</v>
      </c>
      <c r="Q794" t="b">
        <v>1</v>
      </c>
      <c r="R794" t="s">
        <v>124</v>
      </c>
      <c r="S794" t="str" cm="1">
        <f t="array" ref="S794:T794">_xlfn.TEXTSPLIT(R794, "/", , FALSE)</f>
        <v>theater</v>
      </c>
      <c r="T794" t="str">
        <v>plays</v>
      </c>
    </row>
    <row r="795" spans="1:20" ht="17" x14ac:dyDescent="0.2">
      <c r="A795">
        <v>793</v>
      </c>
      <c r="B795" t="s">
        <v>1717</v>
      </c>
      <c r="C795" s="3" t="s">
        <v>1718</v>
      </c>
      <c r="D795">
        <v>1100</v>
      </c>
      <c r="E795">
        <v>13045</v>
      </c>
      <c r="F795" s="5">
        <f t="shared" si="24"/>
        <v>11.859090909090909</v>
      </c>
      <c r="G795" t="s">
        <v>8</v>
      </c>
      <c r="H795">
        <v>181</v>
      </c>
      <c r="I795">
        <f t="shared" si="25"/>
        <v>72.071823204419886</v>
      </c>
      <c r="J795" t="s">
        <v>193</v>
      </c>
      <c r="K795" t="s">
        <v>194</v>
      </c>
      <c r="L795" s="4">
        <v>41450.208333333336</v>
      </c>
      <c r="M795" s="4" t="s">
        <v>52</v>
      </c>
      <c r="N795" s="4" t="s">
        <v>117</v>
      </c>
      <c r="O795" s="4">
        <v>41454.208333333336</v>
      </c>
      <c r="P795" t="b">
        <v>0</v>
      </c>
      <c r="Q795" t="b">
        <v>0</v>
      </c>
      <c r="R795" t="s">
        <v>162</v>
      </c>
      <c r="S795" t="str" cm="1">
        <f t="array" ref="S795:T795">_xlfn.TEXTSPLIT(R795, "/", , FALSE)</f>
        <v>publishing</v>
      </c>
      <c r="T795" t="str">
        <v>nonfiction</v>
      </c>
    </row>
    <row r="796" spans="1:20" ht="17" x14ac:dyDescent="0.2">
      <c r="A796">
        <v>794</v>
      </c>
      <c r="B796" t="s">
        <v>1719</v>
      </c>
      <c r="C796" s="3" t="s">
        <v>1720</v>
      </c>
      <c r="D796">
        <v>6600</v>
      </c>
      <c r="E796">
        <v>8276</v>
      </c>
      <c r="F796" s="5">
        <f t="shared" si="24"/>
        <v>1.2539393939393939</v>
      </c>
      <c r="G796" t="s">
        <v>8</v>
      </c>
      <c r="H796">
        <v>110</v>
      </c>
      <c r="I796">
        <f t="shared" si="25"/>
        <v>75.236363636363635</v>
      </c>
      <c r="J796" t="s">
        <v>109</v>
      </c>
      <c r="K796" t="s">
        <v>110</v>
      </c>
      <c r="L796" s="4">
        <v>43091.25</v>
      </c>
      <c r="M796" s="4" t="s">
        <v>58</v>
      </c>
      <c r="N796" s="4" t="s">
        <v>134</v>
      </c>
      <c r="O796" s="4">
        <v>43103.25</v>
      </c>
      <c r="P796" t="b">
        <v>0</v>
      </c>
      <c r="Q796" t="b">
        <v>0</v>
      </c>
      <c r="R796" t="s">
        <v>112</v>
      </c>
      <c r="S796" t="str" cm="1">
        <f t="array" ref="S796:T796">_xlfn.TEXTSPLIT(R796, "/", , FALSE)</f>
        <v>music</v>
      </c>
      <c r="T796" t="str">
        <v>rock</v>
      </c>
    </row>
    <row r="797" spans="1:20" ht="34" x14ac:dyDescent="0.2">
      <c r="A797">
        <v>795</v>
      </c>
      <c r="B797" t="s">
        <v>1721</v>
      </c>
      <c r="C797" s="3" t="s">
        <v>1722</v>
      </c>
      <c r="D797">
        <v>7100</v>
      </c>
      <c r="E797">
        <v>1022</v>
      </c>
      <c r="F797" s="5">
        <f t="shared" si="24"/>
        <v>0.14394366197183098</v>
      </c>
      <c r="G797" t="s">
        <v>6</v>
      </c>
      <c r="H797">
        <v>31</v>
      </c>
      <c r="I797">
        <f t="shared" si="25"/>
        <v>32.967741935483872</v>
      </c>
      <c r="J797" t="s">
        <v>109</v>
      </c>
      <c r="K797" t="s">
        <v>110</v>
      </c>
      <c r="L797" s="4">
        <v>42675.208333333328</v>
      </c>
      <c r="M797" s="4" t="s">
        <v>57</v>
      </c>
      <c r="N797" s="4" t="s">
        <v>153</v>
      </c>
      <c r="O797" s="4">
        <v>42678.208333333328</v>
      </c>
      <c r="P797" t="b">
        <v>0</v>
      </c>
      <c r="Q797" t="b">
        <v>0</v>
      </c>
      <c r="R797" t="s">
        <v>146</v>
      </c>
      <c r="S797" t="str" cm="1">
        <f t="array" ref="S797:T797">_xlfn.TEXTSPLIT(R797, "/", , FALSE)</f>
        <v>film &amp; video</v>
      </c>
      <c r="T797" t="str">
        <v>drama</v>
      </c>
    </row>
    <row r="798" spans="1:20" ht="17" x14ac:dyDescent="0.2">
      <c r="A798">
        <v>796</v>
      </c>
      <c r="B798" t="s">
        <v>1723</v>
      </c>
      <c r="C798" s="3" t="s">
        <v>1724</v>
      </c>
      <c r="D798">
        <v>7800</v>
      </c>
      <c r="E798">
        <v>4275</v>
      </c>
      <c r="F798" s="5">
        <f t="shared" si="24"/>
        <v>0.54807692307692313</v>
      </c>
      <c r="G798" t="s">
        <v>6</v>
      </c>
      <c r="H798">
        <v>78</v>
      </c>
      <c r="I798">
        <f t="shared" si="25"/>
        <v>54.807692307692307</v>
      </c>
      <c r="J798" t="s">
        <v>109</v>
      </c>
      <c r="K798" t="s">
        <v>110</v>
      </c>
      <c r="L798" s="4">
        <v>41859.208333333336</v>
      </c>
      <c r="M798" s="4" t="s">
        <v>54</v>
      </c>
      <c r="N798" s="4" t="s">
        <v>111</v>
      </c>
      <c r="O798" s="4">
        <v>41866.208333333336</v>
      </c>
      <c r="P798" t="b">
        <v>0</v>
      </c>
      <c r="Q798" t="b">
        <v>1</v>
      </c>
      <c r="R798" t="s">
        <v>387</v>
      </c>
      <c r="S798" t="str" cm="1">
        <f t="array" ref="S798:T798">_xlfn.TEXTSPLIT(R798, "/", , FALSE)</f>
        <v>games</v>
      </c>
      <c r="T798" t="str">
        <v>mobile games</v>
      </c>
    </row>
    <row r="799" spans="1:20" ht="17" x14ac:dyDescent="0.2">
      <c r="A799">
        <v>797</v>
      </c>
      <c r="B799" t="s">
        <v>1725</v>
      </c>
      <c r="C799" s="3" t="s">
        <v>1726</v>
      </c>
      <c r="D799">
        <v>7600</v>
      </c>
      <c r="E799">
        <v>8332</v>
      </c>
      <c r="F799" s="5">
        <f t="shared" si="24"/>
        <v>1.0963157894736841</v>
      </c>
      <c r="G799" t="s">
        <v>8</v>
      </c>
      <c r="H799">
        <v>185</v>
      </c>
      <c r="I799">
        <f t="shared" si="25"/>
        <v>45.037837837837834</v>
      </c>
      <c r="J799" t="s">
        <v>109</v>
      </c>
      <c r="K799" t="s">
        <v>110</v>
      </c>
      <c r="L799" s="4">
        <v>43464.25</v>
      </c>
      <c r="M799" s="4" t="s">
        <v>58</v>
      </c>
      <c r="N799" s="4" t="s">
        <v>169</v>
      </c>
      <c r="O799" s="4">
        <v>43487.25</v>
      </c>
      <c r="P799" t="b">
        <v>0</v>
      </c>
      <c r="Q799" t="b">
        <v>0</v>
      </c>
      <c r="R799" t="s">
        <v>118</v>
      </c>
      <c r="S799" t="str" cm="1">
        <f t="array" ref="S799:T799">_xlfn.TEXTSPLIT(R799, "/", , FALSE)</f>
        <v>technology</v>
      </c>
      <c r="T799" t="str">
        <v>web</v>
      </c>
    </row>
    <row r="800" spans="1:20" ht="17" x14ac:dyDescent="0.2">
      <c r="A800">
        <v>798</v>
      </c>
      <c r="B800" t="s">
        <v>1727</v>
      </c>
      <c r="C800" s="3" t="s">
        <v>1728</v>
      </c>
      <c r="D800">
        <v>3400</v>
      </c>
      <c r="E800">
        <v>6408</v>
      </c>
      <c r="F800" s="5">
        <f t="shared" si="24"/>
        <v>1.8847058823529412</v>
      </c>
      <c r="G800" t="s">
        <v>8</v>
      </c>
      <c r="H800">
        <v>121</v>
      </c>
      <c r="I800">
        <f t="shared" si="25"/>
        <v>52.958677685950413</v>
      </c>
      <c r="J800" t="s">
        <v>109</v>
      </c>
      <c r="K800" t="s">
        <v>110</v>
      </c>
      <c r="L800" s="4">
        <v>41060.208333333336</v>
      </c>
      <c r="M800" s="4" t="s">
        <v>51</v>
      </c>
      <c r="N800" s="4" t="s">
        <v>129</v>
      </c>
      <c r="O800" s="4">
        <v>41088.208333333336</v>
      </c>
      <c r="P800" t="b">
        <v>0</v>
      </c>
      <c r="Q800" t="b">
        <v>1</v>
      </c>
      <c r="R800" t="s">
        <v>124</v>
      </c>
      <c r="S800" t="str" cm="1">
        <f t="array" ref="S800:T800">_xlfn.TEXTSPLIT(R800, "/", , FALSE)</f>
        <v>theater</v>
      </c>
      <c r="T800" t="str">
        <v>plays</v>
      </c>
    </row>
    <row r="801" spans="1:20" ht="17" x14ac:dyDescent="0.2">
      <c r="A801">
        <v>799</v>
      </c>
      <c r="B801" t="s">
        <v>1729</v>
      </c>
      <c r="C801" s="3" t="s">
        <v>1730</v>
      </c>
      <c r="D801">
        <v>84500</v>
      </c>
      <c r="E801">
        <v>73522</v>
      </c>
      <c r="F801" s="5">
        <f t="shared" si="24"/>
        <v>0.87008284023668636</v>
      </c>
      <c r="G801" t="s">
        <v>6</v>
      </c>
      <c r="H801">
        <v>1225</v>
      </c>
      <c r="I801">
        <f t="shared" si="25"/>
        <v>60.017959183673469</v>
      </c>
      <c r="J801" t="s">
        <v>132</v>
      </c>
      <c r="K801" t="s">
        <v>133</v>
      </c>
      <c r="L801" s="4">
        <v>42399.25</v>
      </c>
      <c r="M801" s="4" t="s">
        <v>47</v>
      </c>
      <c r="N801" s="4" t="s">
        <v>153</v>
      </c>
      <c r="O801" s="4">
        <v>42403.25</v>
      </c>
      <c r="P801" t="b">
        <v>0</v>
      </c>
      <c r="Q801" t="b">
        <v>0</v>
      </c>
      <c r="R801" t="s">
        <v>124</v>
      </c>
      <c r="S801" t="str" cm="1">
        <f t="array" ref="S801:T801">_xlfn.TEXTSPLIT(R801, "/", , FALSE)</f>
        <v>theater</v>
      </c>
      <c r="T801" t="str">
        <v>plays</v>
      </c>
    </row>
    <row r="802" spans="1:20" ht="17" x14ac:dyDescent="0.2">
      <c r="A802">
        <v>800</v>
      </c>
      <c r="B802" t="s">
        <v>1731</v>
      </c>
      <c r="C802" s="3" t="s">
        <v>1732</v>
      </c>
      <c r="D802">
        <v>100</v>
      </c>
      <c r="E802">
        <v>1</v>
      </c>
      <c r="F802" s="5">
        <f t="shared" si="24"/>
        <v>0.01</v>
      </c>
      <c r="G802" t="s">
        <v>6</v>
      </c>
      <c r="H802">
        <v>1</v>
      </c>
      <c r="I802">
        <f t="shared" si="25"/>
        <v>1</v>
      </c>
      <c r="J802" t="s">
        <v>193</v>
      </c>
      <c r="K802" t="s">
        <v>194</v>
      </c>
      <c r="L802" s="4">
        <v>42167.208333333328</v>
      </c>
      <c r="M802" s="4" t="s">
        <v>52</v>
      </c>
      <c r="N802" s="4" t="s">
        <v>105</v>
      </c>
      <c r="O802" s="4">
        <v>42171.208333333328</v>
      </c>
      <c r="P802" t="b">
        <v>0</v>
      </c>
      <c r="Q802" t="b">
        <v>0</v>
      </c>
      <c r="R802" t="s">
        <v>112</v>
      </c>
      <c r="S802" t="str" cm="1">
        <f t="array" ref="S802:T802">_xlfn.TEXTSPLIT(R802, "/", , FALSE)</f>
        <v>music</v>
      </c>
      <c r="T802" t="str">
        <v>rock</v>
      </c>
    </row>
    <row r="803" spans="1:20" ht="17" x14ac:dyDescent="0.2">
      <c r="A803">
        <v>801</v>
      </c>
      <c r="B803" t="s">
        <v>1733</v>
      </c>
      <c r="C803" s="3" t="s">
        <v>1734</v>
      </c>
      <c r="D803">
        <v>2300</v>
      </c>
      <c r="E803">
        <v>4667</v>
      </c>
      <c r="F803" s="5">
        <f t="shared" si="24"/>
        <v>2.0291304347826089</v>
      </c>
      <c r="G803" t="s">
        <v>8</v>
      </c>
      <c r="H803">
        <v>106</v>
      </c>
      <c r="I803">
        <f t="shared" si="25"/>
        <v>44.028301886792455</v>
      </c>
      <c r="J803" t="s">
        <v>109</v>
      </c>
      <c r="K803" t="s">
        <v>110</v>
      </c>
      <c r="L803" s="4">
        <v>43830.25</v>
      </c>
      <c r="M803" s="4" t="s">
        <v>58</v>
      </c>
      <c r="N803" s="4" t="s">
        <v>121</v>
      </c>
      <c r="O803" s="4">
        <v>43852.25</v>
      </c>
      <c r="P803" t="b">
        <v>0</v>
      </c>
      <c r="Q803" t="b">
        <v>1</v>
      </c>
      <c r="R803" t="s">
        <v>217</v>
      </c>
      <c r="S803" t="str" cm="1">
        <f t="array" ref="S803:T803">_xlfn.TEXTSPLIT(R803, "/", , FALSE)</f>
        <v>photography</v>
      </c>
      <c r="T803" t="str">
        <v>photography books</v>
      </c>
    </row>
    <row r="804" spans="1:20" ht="34" x14ac:dyDescent="0.2">
      <c r="A804">
        <v>802</v>
      </c>
      <c r="B804" t="s">
        <v>1735</v>
      </c>
      <c r="C804" s="3" t="s">
        <v>1736</v>
      </c>
      <c r="D804">
        <v>6200</v>
      </c>
      <c r="E804">
        <v>12216</v>
      </c>
      <c r="F804" s="5">
        <f t="shared" si="24"/>
        <v>1.9703225806451612</v>
      </c>
      <c r="G804" t="s">
        <v>8</v>
      </c>
      <c r="H804">
        <v>142</v>
      </c>
      <c r="I804">
        <f t="shared" si="25"/>
        <v>86.028169014084511</v>
      </c>
      <c r="J804" t="s">
        <v>109</v>
      </c>
      <c r="K804" t="s">
        <v>110</v>
      </c>
      <c r="L804" s="4">
        <v>43650.208333333328</v>
      </c>
      <c r="M804" s="4" t="s">
        <v>53</v>
      </c>
      <c r="N804" s="4" t="s">
        <v>121</v>
      </c>
      <c r="O804" s="4">
        <v>43652.208333333328</v>
      </c>
      <c r="P804" t="b">
        <v>0</v>
      </c>
      <c r="Q804" t="b">
        <v>0</v>
      </c>
      <c r="R804" t="s">
        <v>217</v>
      </c>
      <c r="S804" t="str" cm="1">
        <f t="array" ref="S804:T804">_xlfn.TEXTSPLIT(R804, "/", , FALSE)</f>
        <v>photography</v>
      </c>
      <c r="T804" t="str">
        <v>photography books</v>
      </c>
    </row>
    <row r="805" spans="1:20" ht="34" x14ac:dyDescent="0.2">
      <c r="A805">
        <v>803</v>
      </c>
      <c r="B805" t="s">
        <v>1737</v>
      </c>
      <c r="C805" s="3" t="s">
        <v>1738</v>
      </c>
      <c r="D805">
        <v>6100</v>
      </c>
      <c r="E805">
        <v>6527</v>
      </c>
      <c r="F805" s="5">
        <f t="shared" si="24"/>
        <v>1.07</v>
      </c>
      <c r="G805" t="s">
        <v>8</v>
      </c>
      <c r="H805">
        <v>233</v>
      </c>
      <c r="I805">
        <f t="shared" si="25"/>
        <v>28.012875536480685</v>
      </c>
      <c r="J805" t="s">
        <v>109</v>
      </c>
      <c r="K805" t="s">
        <v>110</v>
      </c>
      <c r="L805" s="4">
        <v>43492.25</v>
      </c>
      <c r="M805" s="4" t="s">
        <v>47</v>
      </c>
      <c r="N805" s="4" t="s">
        <v>121</v>
      </c>
      <c r="O805" s="4">
        <v>43526.25</v>
      </c>
      <c r="P805" t="b">
        <v>0</v>
      </c>
      <c r="Q805" t="b">
        <v>0</v>
      </c>
      <c r="R805" t="s">
        <v>124</v>
      </c>
      <c r="S805" t="str" cm="1">
        <f t="array" ref="S805:T805">_xlfn.TEXTSPLIT(R805, "/", , FALSE)</f>
        <v>theater</v>
      </c>
      <c r="T805" t="str">
        <v>plays</v>
      </c>
    </row>
    <row r="806" spans="1:20" ht="17" x14ac:dyDescent="0.2">
      <c r="A806">
        <v>804</v>
      </c>
      <c r="B806" t="s">
        <v>1739</v>
      </c>
      <c r="C806" s="3" t="s">
        <v>1740</v>
      </c>
      <c r="D806">
        <v>2600</v>
      </c>
      <c r="E806">
        <v>6987</v>
      </c>
      <c r="F806" s="5">
        <f t="shared" si="24"/>
        <v>2.6873076923076922</v>
      </c>
      <c r="G806" t="s">
        <v>8</v>
      </c>
      <c r="H806">
        <v>218</v>
      </c>
      <c r="I806">
        <f t="shared" si="25"/>
        <v>32.050458715596328</v>
      </c>
      <c r="J806" t="s">
        <v>109</v>
      </c>
      <c r="K806" t="s">
        <v>110</v>
      </c>
      <c r="L806" s="4">
        <v>43102.25</v>
      </c>
      <c r="M806" s="4" t="s">
        <v>47</v>
      </c>
      <c r="N806" s="4" t="s">
        <v>169</v>
      </c>
      <c r="O806" s="4">
        <v>43122.25</v>
      </c>
      <c r="P806" t="b">
        <v>0</v>
      </c>
      <c r="Q806" t="b">
        <v>0</v>
      </c>
      <c r="R806" t="s">
        <v>112</v>
      </c>
      <c r="S806" t="str" cm="1">
        <f t="array" ref="S806:T806">_xlfn.TEXTSPLIT(R806, "/", , FALSE)</f>
        <v>music</v>
      </c>
      <c r="T806" t="str">
        <v>rock</v>
      </c>
    </row>
    <row r="807" spans="1:20" ht="34" x14ac:dyDescent="0.2">
      <c r="A807">
        <v>805</v>
      </c>
      <c r="B807" t="s">
        <v>1741</v>
      </c>
      <c r="C807" s="3" t="s">
        <v>1742</v>
      </c>
      <c r="D807">
        <v>9700</v>
      </c>
      <c r="E807">
        <v>4932</v>
      </c>
      <c r="F807" s="5">
        <f t="shared" si="24"/>
        <v>0.50845360824742269</v>
      </c>
      <c r="G807" t="s">
        <v>6</v>
      </c>
      <c r="H807">
        <v>67</v>
      </c>
      <c r="I807">
        <f t="shared" si="25"/>
        <v>73.611940298507463</v>
      </c>
      <c r="J807" t="s">
        <v>115</v>
      </c>
      <c r="K807" t="s">
        <v>116</v>
      </c>
      <c r="L807" s="4">
        <v>41958.25</v>
      </c>
      <c r="M807" s="4" t="s">
        <v>57</v>
      </c>
      <c r="N807" s="4" t="s">
        <v>111</v>
      </c>
      <c r="O807" s="4">
        <v>42009.25</v>
      </c>
      <c r="P807" t="b">
        <v>0</v>
      </c>
      <c r="Q807" t="b">
        <v>0</v>
      </c>
      <c r="R807" t="s">
        <v>135</v>
      </c>
      <c r="S807" t="str" cm="1">
        <f t="array" ref="S807:T807">_xlfn.TEXTSPLIT(R807, "/", , FALSE)</f>
        <v>film &amp; video</v>
      </c>
      <c r="T807" t="str">
        <v>documentary</v>
      </c>
    </row>
    <row r="808" spans="1:20" ht="17" x14ac:dyDescent="0.2">
      <c r="A808">
        <v>806</v>
      </c>
      <c r="B808" t="s">
        <v>1743</v>
      </c>
      <c r="C808" s="3" t="s">
        <v>1744</v>
      </c>
      <c r="D808">
        <v>700</v>
      </c>
      <c r="E808">
        <v>8262</v>
      </c>
      <c r="F808" s="5">
        <f t="shared" si="24"/>
        <v>11.802857142857142</v>
      </c>
      <c r="G808" t="s">
        <v>8</v>
      </c>
      <c r="H808">
        <v>76</v>
      </c>
      <c r="I808">
        <f t="shared" si="25"/>
        <v>108.71052631578948</v>
      </c>
      <c r="J808" t="s">
        <v>109</v>
      </c>
      <c r="K808" t="s">
        <v>110</v>
      </c>
      <c r="L808" s="4">
        <v>40973.25</v>
      </c>
      <c r="M808" s="4" t="s">
        <v>49</v>
      </c>
      <c r="N808" s="4" t="s">
        <v>129</v>
      </c>
      <c r="O808" s="4">
        <v>40997.208333333336</v>
      </c>
      <c r="P808" t="b">
        <v>0</v>
      </c>
      <c r="Q808" t="b">
        <v>1</v>
      </c>
      <c r="R808" t="s">
        <v>146</v>
      </c>
      <c r="S808" t="str" cm="1">
        <f t="array" ref="S808:T808">_xlfn.TEXTSPLIT(R808, "/", , FALSE)</f>
        <v>film &amp; video</v>
      </c>
      <c r="T808" t="str">
        <v>drama</v>
      </c>
    </row>
    <row r="809" spans="1:20" ht="17" x14ac:dyDescent="0.2">
      <c r="A809">
        <v>807</v>
      </c>
      <c r="B809" t="s">
        <v>1745</v>
      </c>
      <c r="C809" s="3" t="s">
        <v>1746</v>
      </c>
      <c r="D809">
        <v>700</v>
      </c>
      <c r="E809">
        <v>1848</v>
      </c>
      <c r="F809" s="5">
        <f t="shared" si="24"/>
        <v>2.64</v>
      </c>
      <c r="G809" t="s">
        <v>8</v>
      </c>
      <c r="H809">
        <v>43</v>
      </c>
      <c r="I809">
        <f t="shared" si="25"/>
        <v>42.97674418604651</v>
      </c>
      <c r="J809" t="s">
        <v>109</v>
      </c>
      <c r="K809" t="s">
        <v>110</v>
      </c>
      <c r="L809" s="4">
        <v>43753.208333333328</v>
      </c>
      <c r="M809" s="4" t="s">
        <v>56</v>
      </c>
      <c r="N809" s="4" t="s">
        <v>121</v>
      </c>
      <c r="O809" s="4">
        <v>43797.25</v>
      </c>
      <c r="P809" t="b">
        <v>0</v>
      </c>
      <c r="Q809" t="b">
        <v>1</v>
      </c>
      <c r="R809" t="s">
        <v>124</v>
      </c>
      <c r="S809" t="str" cm="1">
        <f t="array" ref="S809:T809">_xlfn.TEXTSPLIT(R809, "/", , FALSE)</f>
        <v>theater</v>
      </c>
      <c r="T809" t="str">
        <v>plays</v>
      </c>
    </row>
    <row r="810" spans="1:20" ht="17" x14ac:dyDescent="0.2">
      <c r="A810">
        <v>808</v>
      </c>
      <c r="B810" t="s">
        <v>1747</v>
      </c>
      <c r="C810" s="3" t="s">
        <v>1748</v>
      </c>
      <c r="D810">
        <v>5200</v>
      </c>
      <c r="E810">
        <v>1583</v>
      </c>
      <c r="F810" s="5">
        <f t="shared" si="24"/>
        <v>0.30442307692307691</v>
      </c>
      <c r="G810" t="s">
        <v>6</v>
      </c>
      <c r="H810">
        <v>19</v>
      </c>
      <c r="I810">
        <f t="shared" si="25"/>
        <v>83.315789473684205</v>
      </c>
      <c r="J810" t="s">
        <v>109</v>
      </c>
      <c r="K810" t="s">
        <v>110</v>
      </c>
      <c r="L810" s="4">
        <v>42507.208333333328</v>
      </c>
      <c r="M810" s="4" t="s">
        <v>51</v>
      </c>
      <c r="N810" s="4" t="s">
        <v>153</v>
      </c>
      <c r="O810" s="4">
        <v>42524.208333333328</v>
      </c>
      <c r="P810" t="b">
        <v>0</v>
      </c>
      <c r="Q810" t="b">
        <v>0</v>
      </c>
      <c r="R810" t="s">
        <v>106</v>
      </c>
      <c r="S810" t="str" cm="1">
        <f t="array" ref="S810:T810">_xlfn.TEXTSPLIT(R810, "/", , FALSE)</f>
        <v>food</v>
      </c>
      <c r="T810" t="str">
        <v>food trucks</v>
      </c>
    </row>
    <row r="811" spans="1:20" ht="17" x14ac:dyDescent="0.2">
      <c r="A811">
        <v>809</v>
      </c>
      <c r="B811" t="s">
        <v>1695</v>
      </c>
      <c r="C811" s="3" t="s">
        <v>1749</v>
      </c>
      <c r="D811">
        <v>140800</v>
      </c>
      <c r="E811">
        <v>88536</v>
      </c>
      <c r="F811" s="5">
        <f t="shared" si="24"/>
        <v>0.62880681818181816</v>
      </c>
      <c r="G811" t="s">
        <v>6</v>
      </c>
      <c r="H811">
        <v>2108</v>
      </c>
      <c r="I811">
        <f t="shared" si="25"/>
        <v>42</v>
      </c>
      <c r="J811" t="s">
        <v>193</v>
      </c>
      <c r="K811" t="s">
        <v>194</v>
      </c>
      <c r="L811" s="4">
        <v>41135.208333333336</v>
      </c>
      <c r="M811" s="4" t="s">
        <v>54</v>
      </c>
      <c r="N811" s="4" t="s">
        <v>129</v>
      </c>
      <c r="O811" s="4">
        <v>41136.208333333336</v>
      </c>
      <c r="P811" t="b">
        <v>0</v>
      </c>
      <c r="Q811" t="b">
        <v>0</v>
      </c>
      <c r="R811" t="s">
        <v>135</v>
      </c>
      <c r="S811" t="str" cm="1">
        <f t="array" ref="S811:T811">_xlfn.TEXTSPLIT(R811, "/", , FALSE)</f>
        <v>film &amp; video</v>
      </c>
      <c r="T811" t="str">
        <v>documentary</v>
      </c>
    </row>
    <row r="812" spans="1:20" ht="34" x14ac:dyDescent="0.2">
      <c r="A812">
        <v>810</v>
      </c>
      <c r="B812" t="s">
        <v>1750</v>
      </c>
      <c r="C812" s="3" t="s">
        <v>1751</v>
      </c>
      <c r="D812">
        <v>6400</v>
      </c>
      <c r="E812">
        <v>12360</v>
      </c>
      <c r="F812" s="5">
        <f t="shared" si="24"/>
        <v>1.9312499999999999</v>
      </c>
      <c r="G812" t="s">
        <v>8</v>
      </c>
      <c r="H812">
        <v>221</v>
      </c>
      <c r="I812">
        <f t="shared" si="25"/>
        <v>55.927601809954751</v>
      </c>
      <c r="J812" t="s">
        <v>109</v>
      </c>
      <c r="K812" t="s">
        <v>110</v>
      </c>
      <c r="L812" s="4">
        <v>43067.25</v>
      </c>
      <c r="M812" s="4" t="s">
        <v>57</v>
      </c>
      <c r="N812" s="4" t="s">
        <v>134</v>
      </c>
      <c r="O812" s="4">
        <v>43077.25</v>
      </c>
      <c r="P812" t="b">
        <v>0</v>
      </c>
      <c r="Q812" t="b">
        <v>1</v>
      </c>
      <c r="R812" t="s">
        <v>124</v>
      </c>
      <c r="S812" t="str" cm="1">
        <f t="array" ref="S812:T812">_xlfn.TEXTSPLIT(R812, "/", , FALSE)</f>
        <v>theater</v>
      </c>
      <c r="T812" t="str">
        <v>plays</v>
      </c>
    </row>
    <row r="813" spans="1:20" ht="17" x14ac:dyDescent="0.2">
      <c r="A813">
        <v>811</v>
      </c>
      <c r="B813" t="s">
        <v>1752</v>
      </c>
      <c r="C813" s="3" t="s">
        <v>1753</v>
      </c>
      <c r="D813">
        <v>92500</v>
      </c>
      <c r="E813">
        <v>71320</v>
      </c>
      <c r="F813" s="5">
        <f t="shared" si="24"/>
        <v>0.77102702702702708</v>
      </c>
      <c r="G813" t="s">
        <v>6</v>
      </c>
      <c r="H813">
        <v>679</v>
      </c>
      <c r="I813">
        <f t="shared" si="25"/>
        <v>105.03681885125184</v>
      </c>
      <c r="J813" t="s">
        <v>109</v>
      </c>
      <c r="K813" t="s">
        <v>110</v>
      </c>
      <c r="L813" s="4">
        <v>42378.25</v>
      </c>
      <c r="M813" s="4" t="s">
        <v>47</v>
      </c>
      <c r="N813" s="4" t="s">
        <v>153</v>
      </c>
      <c r="O813" s="4">
        <v>42380.25</v>
      </c>
      <c r="P813" t="b">
        <v>0</v>
      </c>
      <c r="Q813" t="b">
        <v>1</v>
      </c>
      <c r="R813" t="s">
        <v>184</v>
      </c>
      <c r="S813" t="str" cm="1">
        <f t="array" ref="S813:T813">_xlfn.TEXTSPLIT(R813, "/", , FALSE)</f>
        <v>games</v>
      </c>
      <c r="T813" t="str">
        <v>video games</v>
      </c>
    </row>
    <row r="814" spans="1:20" ht="17" x14ac:dyDescent="0.2">
      <c r="A814">
        <v>812</v>
      </c>
      <c r="B814" t="s">
        <v>1754</v>
      </c>
      <c r="C814" s="3" t="s">
        <v>1755</v>
      </c>
      <c r="D814">
        <v>59700</v>
      </c>
      <c r="E814">
        <v>134640</v>
      </c>
      <c r="F814" s="5">
        <f t="shared" si="24"/>
        <v>2.2552763819095478</v>
      </c>
      <c r="G814" t="s">
        <v>8</v>
      </c>
      <c r="H814">
        <v>2805</v>
      </c>
      <c r="I814">
        <f t="shared" si="25"/>
        <v>48</v>
      </c>
      <c r="J814" t="s">
        <v>103</v>
      </c>
      <c r="K814" t="s">
        <v>104</v>
      </c>
      <c r="L814" s="4">
        <v>43206.208333333328</v>
      </c>
      <c r="M814" s="4" t="s">
        <v>50</v>
      </c>
      <c r="N814" s="4" t="s">
        <v>169</v>
      </c>
      <c r="O814" s="4">
        <v>43211.208333333328</v>
      </c>
      <c r="P814" t="b">
        <v>0</v>
      </c>
      <c r="Q814" t="b">
        <v>0</v>
      </c>
      <c r="R814" t="s">
        <v>162</v>
      </c>
      <c r="S814" t="str" cm="1">
        <f t="array" ref="S814:T814">_xlfn.TEXTSPLIT(R814, "/", , FALSE)</f>
        <v>publishing</v>
      </c>
      <c r="T814" t="str">
        <v>nonfiction</v>
      </c>
    </row>
    <row r="815" spans="1:20" ht="17" x14ac:dyDescent="0.2">
      <c r="A815">
        <v>813</v>
      </c>
      <c r="B815" t="s">
        <v>1756</v>
      </c>
      <c r="C815" s="3" t="s">
        <v>1757</v>
      </c>
      <c r="D815">
        <v>3200</v>
      </c>
      <c r="E815">
        <v>7661</v>
      </c>
      <c r="F815" s="5">
        <f t="shared" si="24"/>
        <v>2.3940625</v>
      </c>
      <c r="G815" t="s">
        <v>8</v>
      </c>
      <c r="H815">
        <v>68</v>
      </c>
      <c r="I815">
        <f t="shared" si="25"/>
        <v>112.66176470588235</v>
      </c>
      <c r="J815" t="s">
        <v>109</v>
      </c>
      <c r="K815" t="s">
        <v>110</v>
      </c>
      <c r="L815" s="4">
        <v>41148.208333333336</v>
      </c>
      <c r="M815" s="4" t="s">
        <v>54</v>
      </c>
      <c r="N815" s="4" t="s">
        <v>129</v>
      </c>
      <c r="O815" s="4">
        <v>41158.208333333336</v>
      </c>
      <c r="P815" t="b">
        <v>0</v>
      </c>
      <c r="Q815" t="b">
        <v>0</v>
      </c>
      <c r="R815" t="s">
        <v>184</v>
      </c>
      <c r="S815" t="str" cm="1">
        <f t="array" ref="S815:T815">_xlfn.TEXTSPLIT(R815, "/", , FALSE)</f>
        <v>games</v>
      </c>
      <c r="T815" t="str">
        <v>video games</v>
      </c>
    </row>
    <row r="816" spans="1:20" ht="17" x14ac:dyDescent="0.2">
      <c r="A816">
        <v>814</v>
      </c>
      <c r="B816" t="s">
        <v>1758</v>
      </c>
      <c r="C816" s="3" t="s">
        <v>1759</v>
      </c>
      <c r="D816">
        <v>3200</v>
      </c>
      <c r="E816">
        <v>2950</v>
      </c>
      <c r="F816" s="5">
        <f t="shared" si="24"/>
        <v>0.921875</v>
      </c>
      <c r="G816" t="s">
        <v>6</v>
      </c>
      <c r="H816">
        <v>36</v>
      </c>
      <c r="I816">
        <f t="shared" si="25"/>
        <v>81.944444444444443</v>
      </c>
      <c r="J816" t="s">
        <v>127</v>
      </c>
      <c r="K816" t="s">
        <v>128</v>
      </c>
      <c r="L816" s="4">
        <v>42517.208333333328</v>
      </c>
      <c r="M816" s="4" t="s">
        <v>51</v>
      </c>
      <c r="N816" s="4" t="s">
        <v>153</v>
      </c>
      <c r="O816" s="4">
        <v>42519.208333333328</v>
      </c>
      <c r="P816" t="b">
        <v>0</v>
      </c>
      <c r="Q816" t="b">
        <v>1</v>
      </c>
      <c r="R816" t="s">
        <v>112</v>
      </c>
      <c r="S816" t="str" cm="1">
        <f t="array" ref="S816:T816">_xlfn.TEXTSPLIT(R816, "/", , FALSE)</f>
        <v>music</v>
      </c>
      <c r="T816" t="str">
        <v>rock</v>
      </c>
    </row>
    <row r="817" spans="1:20" ht="34" x14ac:dyDescent="0.2">
      <c r="A817">
        <v>815</v>
      </c>
      <c r="B817" t="s">
        <v>1760</v>
      </c>
      <c r="C817" s="3" t="s">
        <v>1761</v>
      </c>
      <c r="D817">
        <v>9000</v>
      </c>
      <c r="E817">
        <v>11721</v>
      </c>
      <c r="F817" s="5">
        <f t="shared" si="24"/>
        <v>1.3023333333333333</v>
      </c>
      <c r="G817" t="s">
        <v>8</v>
      </c>
      <c r="H817">
        <v>183</v>
      </c>
      <c r="I817">
        <f t="shared" si="25"/>
        <v>64.049180327868854</v>
      </c>
      <c r="J817" t="s">
        <v>103</v>
      </c>
      <c r="K817" t="s">
        <v>104</v>
      </c>
      <c r="L817" s="4">
        <v>43068.25</v>
      </c>
      <c r="M817" s="4" t="s">
        <v>57</v>
      </c>
      <c r="N817" s="4" t="s">
        <v>134</v>
      </c>
      <c r="O817" s="4">
        <v>43094.25</v>
      </c>
      <c r="P817" t="b">
        <v>0</v>
      </c>
      <c r="Q817" t="b">
        <v>0</v>
      </c>
      <c r="R817" t="s">
        <v>112</v>
      </c>
      <c r="S817" t="str" cm="1">
        <f t="array" ref="S817:T817">_xlfn.TEXTSPLIT(R817, "/", , FALSE)</f>
        <v>music</v>
      </c>
      <c r="T817" t="str">
        <v>rock</v>
      </c>
    </row>
    <row r="818" spans="1:20" ht="34" x14ac:dyDescent="0.2">
      <c r="A818">
        <v>816</v>
      </c>
      <c r="B818" t="s">
        <v>1762</v>
      </c>
      <c r="C818" s="3" t="s">
        <v>1763</v>
      </c>
      <c r="D818">
        <v>2300</v>
      </c>
      <c r="E818">
        <v>14150</v>
      </c>
      <c r="F818" s="5">
        <f t="shared" si="24"/>
        <v>6.1521739130434785</v>
      </c>
      <c r="G818" t="s">
        <v>8</v>
      </c>
      <c r="H818">
        <v>133</v>
      </c>
      <c r="I818">
        <f t="shared" si="25"/>
        <v>106.39097744360902</v>
      </c>
      <c r="J818" t="s">
        <v>109</v>
      </c>
      <c r="K818" t="s">
        <v>110</v>
      </c>
      <c r="L818" s="4">
        <v>41680.25</v>
      </c>
      <c r="M818" s="4" t="s">
        <v>48</v>
      </c>
      <c r="N818" s="4" t="s">
        <v>111</v>
      </c>
      <c r="O818" s="4">
        <v>41682.25</v>
      </c>
      <c r="P818" t="b">
        <v>1</v>
      </c>
      <c r="Q818" t="b">
        <v>1</v>
      </c>
      <c r="R818" t="s">
        <v>124</v>
      </c>
      <c r="S818" t="str" cm="1">
        <f t="array" ref="S818:T818">_xlfn.TEXTSPLIT(R818, "/", , FALSE)</f>
        <v>theater</v>
      </c>
      <c r="T818" t="str">
        <v>plays</v>
      </c>
    </row>
    <row r="819" spans="1:20" ht="17" x14ac:dyDescent="0.2">
      <c r="A819">
        <v>817</v>
      </c>
      <c r="B819" t="s">
        <v>1764</v>
      </c>
      <c r="C819" s="3" t="s">
        <v>1765</v>
      </c>
      <c r="D819">
        <v>51300</v>
      </c>
      <c r="E819">
        <v>189192</v>
      </c>
      <c r="F819" s="5">
        <f t="shared" si="24"/>
        <v>3.687953216374269</v>
      </c>
      <c r="G819" t="s">
        <v>8</v>
      </c>
      <c r="H819">
        <v>2489</v>
      </c>
      <c r="I819">
        <f t="shared" si="25"/>
        <v>76.011249497790274</v>
      </c>
      <c r="J819" t="s">
        <v>202</v>
      </c>
      <c r="K819" t="s">
        <v>203</v>
      </c>
      <c r="L819" s="4">
        <v>43589.208333333328</v>
      </c>
      <c r="M819" s="4" t="s">
        <v>51</v>
      </c>
      <c r="N819" s="4" t="s">
        <v>121</v>
      </c>
      <c r="O819" s="4">
        <v>43617.208333333328</v>
      </c>
      <c r="P819" t="b">
        <v>0</v>
      </c>
      <c r="Q819" t="b">
        <v>1</v>
      </c>
      <c r="R819" t="s">
        <v>162</v>
      </c>
      <c r="S819" t="str" cm="1">
        <f t="array" ref="S819:T819">_xlfn.TEXTSPLIT(R819, "/", , FALSE)</f>
        <v>publishing</v>
      </c>
      <c r="T819" t="str">
        <v>nonfiction</v>
      </c>
    </row>
    <row r="820" spans="1:20" ht="17" x14ac:dyDescent="0.2">
      <c r="A820">
        <v>818</v>
      </c>
      <c r="B820" t="s">
        <v>771</v>
      </c>
      <c r="C820" s="3" t="s">
        <v>1766</v>
      </c>
      <c r="D820">
        <v>700</v>
      </c>
      <c r="E820">
        <v>7664</v>
      </c>
      <c r="F820" s="5">
        <f t="shared" si="24"/>
        <v>10.948571428571428</v>
      </c>
      <c r="G820" t="s">
        <v>8</v>
      </c>
      <c r="H820">
        <v>69</v>
      </c>
      <c r="I820">
        <f t="shared" si="25"/>
        <v>111.07246376811594</v>
      </c>
      <c r="J820" t="s">
        <v>109</v>
      </c>
      <c r="K820" t="s">
        <v>110</v>
      </c>
      <c r="L820" s="4">
        <v>43486.25</v>
      </c>
      <c r="M820" s="4" t="s">
        <v>47</v>
      </c>
      <c r="N820" s="4" t="s">
        <v>121</v>
      </c>
      <c r="O820" s="4">
        <v>43499.25</v>
      </c>
      <c r="P820" t="b">
        <v>0</v>
      </c>
      <c r="Q820" t="b">
        <v>1</v>
      </c>
      <c r="R820" t="s">
        <v>124</v>
      </c>
      <c r="S820" t="str" cm="1">
        <f t="array" ref="S820:T820">_xlfn.TEXTSPLIT(R820, "/", , FALSE)</f>
        <v>theater</v>
      </c>
      <c r="T820" t="str">
        <v>plays</v>
      </c>
    </row>
    <row r="821" spans="1:20" ht="34" x14ac:dyDescent="0.2">
      <c r="A821">
        <v>819</v>
      </c>
      <c r="B821" t="s">
        <v>1767</v>
      </c>
      <c r="C821" s="3" t="s">
        <v>1768</v>
      </c>
      <c r="D821">
        <v>8900</v>
      </c>
      <c r="E821">
        <v>4509</v>
      </c>
      <c r="F821" s="5">
        <f t="shared" si="24"/>
        <v>0.50662921348314605</v>
      </c>
      <c r="G821" t="s">
        <v>6</v>
      </c>
      <c r="H821">
        <v>47</v>
      </c>
      <c r="I821">
        <f t="shared" si="25"/>
        <v>95.936170212765958</v>
      </c>
      <c r="J821" t="s">
        <v>109</v>
      </c>
      <c r="K821" t="s">
        <v>110</v>
      </c>
      <c r="L821" s="4">
        <v>41237.25</v>
      </c>
      <c r="M821" s="4" t="s">
        <v>57</v>
      </c>
      <c r="N821" s="4" t="s">
        <v>129</v>
      </c>
      <c r="O821" s="4">
        <v>41252.25</v>
      </c>
      <c r="P821" t="b">
        <v>1</v>
      </c>
      <c r="Q821" t="b">
        <v>0</v>
      </c>
      <c r="R821" t="s">
        <v>184</v>
      </c>
      <c r="S821" t="str" cm="1">
        <f t="array" ref="S821:T821">_xlfn.TEXTSPLIT(R821, "/", , FALSE)</f>
        <v>games</v>
      </c>
      <c r="T821" t="str">
        <v>video games</v>
      </c>
    </row>
    <row r="822" spans="1:20" ht="17" x14ac:dyDescent="0.2">
      <c r="A822">
        <v>820</v>
      </c>
      <c r="B822" t="s">
        <v>1769</v>
      </c>
      <c r="C822" s="3" t="s">
        <v>1770</v>
      </c>
      <c r="D822">
        <v>1500</v>
      </c>
      <c r="E822">
        <v>12009</v>
      </c>
      <c r="F822" s="5">
        <f t="shared" si="24"/>
        <v>8.0060000000000002</v>
      </c>
      <c r="G822" t="s">
        <v>8</v>
      </c>
      <c r="H822">
        <v>279</v>
      </c>
      <c r="I822">
        <f t="shared" si="25"/>
        <v>43.043010752688176</v>
      </c>
      <c r="J822" t="s">
        <v>132</v>
      </c>
      <c r="K822" t="s">
        <v>133</v>
      </c>
      <c r="L822" s="4">
        <v>43310.208333333328</v>
      </c>
      <c r="M822" s="4" t="s">
        <v>53</v>
      </c>
      <c r="N822" s="4" t="s">
        <v>169</v>
      </c>
      <c r="O822" s="4">
        <v>43323.208333333328</v>
      </c>
      <c r="P822" t="b">
        <v>0</v>
      </c>
      <c r="Q822" t="b">
        <v>1</v>
      </c>
      <c r="R822" t="s">
        <v>112</v>
      </c>
      <c r="S822" t="str" cm="1">
        <f t="array" ref="S822:T822">_xlfn.TEXTSPLIT(R822, "/", , FALSE)</f>
        <v>music</v>
      </c>
      <c r="T822" t="str">
        <v>rock</v>
      </c>
    </row>
    <row r="823" spans="1:20" ht="17" x14ac:dyDescent="0.2">
      <c r="A823">
        <v>821</v>
      </c>
      <c r="B823" t="s">
        <v>1771</v>
      </c>
      <c r="C823" s="3" t="s">
        <v>1772</v>
      </c>
      <c r="D823">
        <v>4900</v>
      </c>
      <c r="E823">
        <v>14273</v>
      </c>
      <c r="F823" s="5">
        <f t="shared" si="24"/>
        <v>2.9128571428571428</v>
      </c>
      <c r="G823" t="s">
        <v>8</v>
      </c>
      <c r="H823">
        <v>210</v>
      </c>
      <c r="I823">
        <f t="shared" si="25"/>
        <v>67.966666666666669</v>
      </c>
      <c r="J823" t="s">
        <v>109</v>
      </c>
      <c r="K823" t="s">
        <v>110</v>
      </c>
      <c r="L823" s="4">
        <v>42794.25</v>
      </c>
      <c r="M823" s="4" t="s">
        <v>48</v>
      </c>
      <c r="N823" s="4" t="s">
        <v>134</v>
      </c>
      <c r="O823" s="4">
        <v>42807.208333333328</v>
      </c>
      <c r="P823" t="b">
        <v>0</v>
      </c>
      <c r="Q823" t="b">
        <v>0</v>
      </c>
      <c r="R823" t="s">
        <v>135</v>
      </c>
      <c r="S823" t="str" cm="1">
        <f t="array" ref="S823:T823">_xlfn.TEXTSPLIT(R823, "/", , FALSE)</f>
        <v>film &amp; video</v>
      </c>
      <c r="T823" t="str">
        <v>documentary</v>
      </c>
    </row>
    <row r="824" spans="1:20" ht="17" x14ac:dyDescent="0.2">
      <c r="A824">
        <v>822</v>
      </c>
      <c r="B824" t="s">
        <v>1773</v>
      </c>
      <c r="C824" s="3" t="s">
        <v>1774</v>
      </c>
      <c r="D824">
        <v>54000</v>
      </c>
      <c r="E824">
        <v>188982</v>
      </c>
      <c r="F824" s="5">
        <f t="shared" si="24"/>
        <v>3.4996666666666667</v>
      </c>
      <c r="G824" t="s">
        <v>8</v>
      </c>
      <c r="H824">
        <v>2100</v>
      </c>
      <c r="I824">
        <f t="shared" si="25"/>
        <v>89.991428571428571</v>
      </c>
      <c r="J824" t="s">
        <v>109</v>
      </c>
      <c r="K824" t="s">
        <v>110</v>
      </c>
      <c r="L824" s="4">
        <v>41698.25</v>
      </c>
      <c r="M824" s="4" t="s">
        <v>48</v>
      </c>
      <c r="N824" s="4" t="s">
        <v>111</v>
      </c>
      <c r="O824" s="4">
        <v>41715.208333333336</v>
      </c>
      <c r="P824" t="b">
        <v>0</v>
      </c>
      <c r="Q824" t="b">
        <v>0</v>
      </c>
      <c r="R824" t="s">
        <v>112</v>
      </c>
      <c r="S824" t="str" cm="1">
        <f t="array" ref="S824:T824">_xlfn.TEXTSPLIT(R824, "/", , FALSE)</f>
        <v>music</v>
      </c>
      <c r="T824" t="str">
        <v>rock</v>
      </c>
    </row>
    <row r="825" spans="1:20" ht="34" x14ac:dyDescent="0.2">
      <c r="A825">
        <v>823</v>
      </c>
      <c r="B825" t="s">
        <v>1775</v>
      </c>
      <c r="C825" s="3" t="s">
        <v>1776</v>
      </c>
      <c r="D825">
        <v>4100</v>
      </c>
      <c r="E825">
        <v>14640</v>
      </c>
      <c r="F825" s="5">
        <f t="shared" si="24"/>
        <v>3.5707317073170732</v>
      </c>
      <c r="G825" t="s">
        <v>8</v>
      </c>
      <c r="H825">
        <v>252</v>
      </c>
      <c r="I825">
        <f t="shared" si="25"/>
        <v>58.095238095238095</v>
      </c>
      <c r="J825" t="s">
        <v>109</v>
      </c>
      <c r="K825" t="s">
        <v>110</v>
      </c>
      <c r="L825" s="4">
        <v>41892.208333333336</v>
      </c>
      <c r="M825" s="4" t="s">
        <v>55</v>
      </c>
      <c r="N825" s="4" t="s">
        <v>111</v>
      </c>
      <c r="O825" s="4">
        <v>41917.208333333336</v>
      </c>
      <c r="P825" t="b">
        <v>1</v>
      </c>
      <c r="Q825" t="b">
        <v>1</v>
      </c>
      <c r="R825" t="s">
        <v>112</v>
      </c>
      <c r="S825" t="str" cm="1">
        <f t="array" ref="S825:T825">_xlfn.TEXTSPLIT(R825, "/", , FALSE)</f>
        <v>music</v>
      </c>
      <c r="T825" t="str">
        <v>rock</v>
      </c>
    </row>
    <row r="826" spans="1:20" ht="17" x14ac:dyDescent="0.2">
      <c r="A826">
        <v>824</v>
      </c>
      <c r="B826" t="s">
        <v>1777</v>
      </c>
      <c r="C826" s="3" t="s">
        <v>1778</v>
      </c>
      <c r="D826">
        <v>85000</v>
      </c>
      <c r="E826">
        <v>107516</v>
      </c>
      <c r="F826" s="5">
        <f t="shared" si="24"/>
        <v>1.2648941176470587</v>
      </c>
      <c r="G826" t="s">
        <v>8</v>
      </c>
      <c r="H826">
        <v>1280</v>
      </c>
      <c r="I826">
        <f t="shared" si="25"/>
        <v>83.996875000000003</v>
      </c>
      <c r="J826" t="s">
        <v>109</v>
      </c>
      <c r="K826" t="s">
        <v>110</v>
      </c>
      <c r="L826" s="4">
        <v>40348.208333333336</v>
      </c>
      <c r="M826" s="4" t="s">
        <v>52</v>
      </c>
      <c r="N826" s="4" t="s">
        <v>140</v>
      </c>
      <c r="O826" s="4">
        <v>40380.208333333336</v>
      </c>
      <c r="P826" t="b">
        <v>0</v>
      </c>
      <c r="Q826" t="b">
        <v>1</v>
      </c>
      <c r="R826" t="s">
        <v>162</v>
      </c>
      <c r="S826" t="str" cm="1">
        <f t="array" ref="S826:T826">_xlfn.TEXTSPLIT(R826, "/", , FALSE)</f>
        <v>publishing</v>
      </c>
      <c r="T826" t="str">
        <v>nonfiction</v>
      </c>
    </row>
    <row r="827" spans="1:20" ht="17" x14ac:dyDescent="0.2">
      <c r="A827">
        <v>825</v>
      </c>
      <c r="B827" t="s">
        <v>1779</v>
      </c>
      <c r="C827" s="3" t="s">
        <v>1780</v>
      </c>
      <c r="D827">
        <v>3600</v>
      </c>
      <c r="E827">
        <v>13950</v>
      </c>
      <c r="F827" s="5">
        <f t="shared" si="24"/>
        <v>3.875</v>
      </c>
      <c r="G827" t="s">
        <v>8</v>
      </c>
      <c r="H827">
        <v>157</v>
      </c>
      <c r="I827">
        <f t="shared" si="25"/>
        <v>88.853503184713375</v>
      </c>
      <c r="J827" t="s">
        <v>132</v>
      </c>
      <c r="K827" t="s">
        <v>133</v>
      </c>
      <c r="L827" s="4">
        <v>42941.208333333328</v>
      </c>
      <c r="M827" s="4" t="s">
        <v>53</v>
      </c>
      <c r="N827" s="4" t="s">
        <v>134</v>
      </c>
      <c r="O827" s="4">
        <v>42953.208333333328</v>
      </c>
      <c r="P827" t="b">
        <v>0</v>
      </c>
      <c r="Q827" t="b">
        <v>0</v>
      </c>
      <c r="R827" t="s">
        <v>195</v>
      </c>
      <c r="S827" t="str" cm="1">
        <f t="array" ref="S827:T827">_xlfn.TEXTSPLIT(R827, "/", , FALSE)</f>
        <v>film &amp; video</v>
      </c>
      <c r="T827" t="str">
        <v>shorts</v>
      </c>
    </row>
    <row r="828" spans="1:20" ht="34" x14ac:dyDescent="0.2">
      <c r="A828">
        <v>826</v>
      </c>
      <c r="B828" t="s">
        <v>1781</v>
      </c>
      <c r="C828" s="3" t="s">
        <v>1782</v>
      </c>
      <c r="D828">
        <v>2800</v>
      </c>
      <c r="E828">
        <v>12797</v>
      </c>
      <c r="F828" s="5">
        <f t="shared" si="24"/>
        <v>4.5703571428571426</v>
      </c>
      <c r="G828" t="s">
        <v>8</v>
      </c>
      <c r="H828">
        <v>194</v>
      </c>
      <c r="I828">
        <f t="shared" si="25"/>
        <v>65.963917525773198</v>
      </c>
      <c r="J828" t="s">
        <v>109</v>
      </c>
      <c r="K828" t="s">
        <v>110</v>
      </c>
      <c r="L828" s="4">
        <v>40525.25</v>
      </c>
      <c r="M828" s="4" t="s">
        <v>58</v>
      </c>
      <c r="N828" s="4" t="s">
        <v>140</v>
      </c>
      <c r="O828" s="4">
        <v>40553.25</v>
      </c>
      <c r="P828" t="b">
        <v>0</v>
      </c>
      <c r="Q828" t="b">
        <v>1</v>
      </c>
      <c r="R828" t="s">
        <v>124</v>
      </c>
      <c r="S828" t="str" cm="1">
        <f t="array" ref="S828:T828">_xlfn.TEXTSPLIT(R828, "/", , FALSE)</f>
        <v>theater</v>
      </c>
      <c r="T828" t="str">
        <v>plays</v>
      </c>
    </row>
    <row r="829" spans="1:20" ht="34" x14ac:dyDescent="0.2">
      <c r="A829">
        <v>827</v>
      </c>
      <c r="B829" t="s">
        <v>1783</v>
      </c>
      <c r="C829" s="3" t="s">
        <v>1784</v>
      </c>
      <c r="D829">
        <v>2300</v>
      </c>
      <c r="E829">
        <v>6134</v>
      </c>
      <c r="F829" s="5">
        <f t="shared" si="24"/>
        <v>2.6669565217391304</v>
      </c>
      <c r="G829" t="s">
        <v>8</v>
      </c>
      <c r="H829">
        <v>82</v>
      </c>
      <c r="I829">
        <f t="shared" si="25"/>
        <v>74.804878048780495</v>
      </c>
      <c r="J829" t="s">
        <v>115</v>
      </c>
      <c r="K829" t="s">
        <v>116</v>
      </c>
      <c r="L829" s="4">
        <v>40666.208333333336</v>
      </c>
      <c r="M829" s="4" t="s">
        <v>51</v>
      </c>
      <c r="N829" s="4" t="s">
        <v>165</v>
      </c>
      <c r="O829" s="4">
        <v>40678.208333333336</v>
      </c>
      <c r="P829" t="b">
        <v>0</v>
      </c>
      <c r="Q829" t="b">
        <v>1</v>
      </c>
      <c r="R829" t="s">
        <v>146</v>
      </c>
      <c r="S829" t="str" cm="1">
        <f t="array" ref="S829:T829">_xlfn.TEXTSPLIT(R829, "/", , FALSE)</f>
        <v>film &amp; video</v>
      </c>
      <c r="T829" t="str">
        <v>drama</v>
      </c>
    </row>
    <row r="830" spans="1:20" ht="34" x14ac:dyDescent="0.2">
      <c r="A830">
        <v>828</v>
      </c>
      <c r="B830" t="s">
        <v>1785</v>
      </c>
      <c r="C830" s="3" t="s">
        <v>1786</v>
      </c>
      <c r="D830">
        <v>7100</v>
      </c>
      <c r="E830">
        <v>4899</v>
      </c>
      <c r="F830" s="5">
        <f t="shared" si="24"/>
        <v>0.69</v>
      </c>
      <c r="G830" t="s">
        <v>6</v>
      </c>
      <c r="H830">
        <v>70</v>
      </c>
      <c r="I830">
        <f t="shared" si="25"/>
        <v>69.98571428571428</v>
      </c>
      <c r="J830" t="s">
        <v>109</v>
      </c>
      <c r="K830" t="s">
        <v>110</v>
      </c>
      <c r="L830" s="4">
        <v>43340.208333333328</v>
      </c>
      <c r="M830" s="4" t="s">
        <v>54</v>
      </c>
      <c r="N830" s="4" t="s">
        <v>169</v>
      </c>
      <c r="O830" s="4">
        <v>43365.208333333328</v>
      </c>
      <c r="P830" t="b">
        <v>0</v>
      </c>
      <c r="Q830" t="b">
        <v>0</v>
      </c>
      <c r="R830" t="s">
        <v>124</v>
      </c>
      <c r="S830" t="str" cm="1">
        <f t="array" ref="S830:T830">_xlfn.TEXTSPLIT(R830, "/", , FALSE)</f>
        <v>theater</v>
      </c>
      <c r="T830" t="str">
        <v>plays</v>
      </c>
    </row>
    <row r="831" spans="1:20" ht="17" x14ac:dyDescent="0.2">
      <c r="A831">
        <v>829</v>
      </c>
      <c r="B831" t="s">
        <v>1787</v>
      </c>
      <c r="C831" s="3" t="s">
        <v>1788</v>
      </c>
      <c r="D831">
        <v>9600</v>
      </c>
      <c r="E831">
        <v>4929</v>
      </c>
      <c r="F831" s="5">
        <f t="shared" si="24"/>
        <v>0.51343749999999999</v>
      </c>
      <c r="G831" t="s">
        <v>6</v>
      </c>
      <c r="H831">
        <v>154</v>
      </c>
      <c r="I831">
        <f t="shared" si="25"/>
        <v>32.006493506493506</v>
      </c>
      <c r="J831" t="s">
        <v>109</v>
      </c>
      <c r="K831" t="s">
        <v>110</v>
      </c>
      <c r="L831" s="4">
        <v>42164.208333333328</v>
      </c>
      <c r="M831" s="4" t="s">
        <v>52</v>
      </c>
      <c r="N831" s="4" t="s">
        <v>105</v>
      </c>
      <c r="O831" s="4">
        <v>42179.208333333328</v>
      </c>
      <c r="P831" t="b">
        <v>0</v>
      </c>
      <c r="Q831" t="b">
        <v>0</v>
      </c>
      <c r="R831" t="s">
        <v>124</v>
      </c>
      <c r="S831" t="str" cm="1">
        <f t="array" ref="S831:T831">_xlfn.TEXTSPLIT(R831, "/", , FALSE)</f>
        <v>theater</v>
      </c>
      <c r="T831" t="str">
        <v>plays</v>
      </c>
    </row>
    <row r="832" spans="1:20" ht="34" x14ac:dyDescent="0.2">
      <c r="A832">
        <v>830</v>
      </c>
      <c r="B832" t="s">
        <v>1789</v>
      </c>
      <c r="C832" s="3" t="s">
        <v>1790</v>
      </c>
      <c r="D832">
        <v>121600</v>
      </c>
      <c r="E832">
        <v>1424</v>
      </c>
      <c r="F832" s="5">
        <f t="shared" si="24"/>
        <v>1.1710526315789473E-2</v>
      </c>
      <c r="G832" t="s">
        <v>6</v>
      </c>
      <c r="H832">
        <v>22</v>
      </c>
      <c r="I832">
        <f t="shared" si="25"/>
        <v>64.727272727272734</v>
      </c>
      <c r="J832" t="s">
        <v>109</v>
      </c>
      <c r="K832" t="s">
        <v>110</v>
      </c>
      <c r="L832" s="4">
        <v>43103.25</v>
      </c>
      <c r="M832" s="4" t="s">
        <v>47</v>
      </c>
      <c r="N832" s="4" t="s">
        <v>169</v>
      </c>
      <c r="O832" s="4">
        <v>43162.25</v>
      </c>
      <c r="P832" t="b">
        <v>0</v>
      </c>
      <c r="Q832" t="b">
        <v>0</v>
      </c>
      <c r="R832" t="s">
        <v>124</v>
      </c>
      <c r="S832" t="str" cm="1">
        <f t="array" ref="S832:T832">_xlfn.TEXTSPLIT(R832, "/", , FALSE)</f>
        <v>theater</v>
      </c>
      <c r="T832" t="str">
        <v>plays</v>
      </c>
    </row>
    <row r="833" spans="1:20" ht="34" x14ac:dyDescent="0.2">
      <c r="A833">
        <v>831</v>
      </c>
      <c r="B833" t="s">
        <v>1791</v>
      </c>
      <c r="C833" s="3" t="s">
        <v>1792</v>
      </c>
      <c r="D833">
        <v>97100</v>
      </c>
      <c r="E833">
        <v>105817</v>
      </c>
      <c r="F833" s="5">
        <f t="shared" si="24"/>
        <v>1.089773429454171</v>
      </c>
      <c r="G833" t="s">
        <v>8</v>
      </c>
      <c r="H833">
        <v>4233</v>
      </c>
      <c r="I833">
        <f t="shared" si="25"/>
        <v>24.998110087408456</v>
      </c>
      <c r="J833" t="s">
        <v>109</v>
      </c>
      <c r="K833" t="s">
        <v>110</v>
      </c>
      <c r="L833" s="4">
        <v>40994.208333333336</v>
      </c>
      <c r="M833" s="4" t="s">
        <v>49</v>
      </c>
      <c r="N833" s="4" t="s">
        <v>129</v>
      </c>
      <c r="O833" s="4">
        <v>41028.208333333336</v>
      </c>
      <c r="P833" t="b">
        <v>0</v>
      </c>
      <c r="Q833" t="b">
        <v>0</v>
      </c>
      <c r="R833" t="s">
        <v>217</v>
      </c>
      <c r="S833" t="str" cm="1">
        <f t="array" ref="S833:T833">_xlfn.TEXTSPLIT(R833, "/", , FALSE)</f>
        <v>photography</v>
      </c>
      <c r="T833" t="str">
        <v>photography books</v>
      </c>
    </row>
    <row r="834" spans="1:20" ht="17" x14ac:dyDescent="0.2">
      <c r="A834">
        <v>832</v>
      </c>
      <c r="B834" t="s">
        <v>1793</v>
      </c>
      <c r="C834" s="3" t="s">
        <v>1794</v>
      </c>
      <c r="D834">
        <v>43200</v>
      </c>
      <c r="E834">
        <v>136156</v>
      </c>
      <c r="F834" s="5">
        <f t="shared" si="24"/>
        <v>3.1517592592592591</v>
      </c>
      <c r="G834" t="s">
        <v>8</v>
      </c>
      <c r="H834">
        <v>1297</v>
      </c>
      <c r="I834">
        <f t="shared" si="25"/>
        <v>104.97764070932922</v>
      </c>
      <c r="J834" t="s">
        <v>127</v>
      </c>
      <c r="K834" t="s">
        <v>128</v>
      </c>
      <c r="L834" s="4">
        <v>42299.208333333328</v>
      </c>
      <c r="M834" s="4" t="s">
        <v>56</v>
      </c>
      <c r="N834" s="4" t="s">
        <v>105</v>
      </c>
      <c r="O834" s="4">
        <v>42333.25</v>
      </c>
      <c r="P834" t="b">
        <v>1</v>
      </c>
      <c r="Q834" t="b">
        <v>0</v>
      </c>
      <c r="R834" t="s">
        <v>301</v>
      </c>
      <c r="S834" t="str" cm="1">
        <f t="array" ref="S834:T834">_xlfn.TEXTSPLIT(R834, "/", , FALSE)</f>
        <v>publishing</v>
      </c>
      <c r="T834" t="str">
        <v>translations</v>
      </c>
    </row>
    <row r="835" spans="1:20" ht="17" x14ac:dyDescent="0.2">
      <c r="A835">
        <v>833</v>
      </c>
      <c r="B835" t="s">
        <v>1795</v>
      </c>
      <c r="C835" s="3" t="s">
        <v>1796</v>
      </c>
      <c r="D835">
        <v>6800</v>
      </c>
      <c r="E835">
        <v>10723</v>
      </c>
      <c r="F835" s="5">
        <f t="shared" ref="F835:F898" si="26">E835/D835</f>
        <v>1.5769117647058823</v>
      </c>
      <c r="G835" t="s">
        <v>8</v>
      </c>
      <c r="H835">
        <v>165</v>
      </c>
      <c r="I835">
        <f t="shared" ref="I835:I898" si="27">E835/H835</f>
        <v>64.987878787878785</v>
      </c>
      <c r="J835" t="s">
        <v>127</v>
      </c>
      <c r="K835" t="s">
        <v>128</v>
      </c>
      <c r="L835" s="4">
        <v>40588.25</v>
      </c>
      <c r="M835" s="4" t="s">
        <v>48</v>
      </c>
      <c r="N835" s="4" t="s">
        <v>165</v>
      </c>
      <c r="O835" s="4">
        <v>40599.25</v>
      </c>
      <c r="P835" t="b">
        <v>0</v>
      </c>
      <c r="Q835" t="b">
        <v>0</v>
      </c>
      <c r="R835" t="s">
        <v>301</v>
      </c>
      <c r="S835" t="str" cm="1">
        <f t="array" ref="S835:T835">_xlfn.TEXTSPLIT(R835, "/", , FALSE)</f>
        <v>publishing</v>
      </c>
      <c r="T835" t="str">
        <v>translations</v>
      </c>
    </row>
    <row r="836" spans="1:20" ht="17" x14ac:dyDescent="0.2">
      <c r="A836">
        <v>834</v>
      </c>
      <c r="B836" t="s">
        <v>1797</v>
      </c>
      <c r="C836" s="3" t="s">
        <v>1798</v>
      </c>
      <c r="D836">
        <v>7300</v>
      </c>
      <c r="E836">
        <v>11228</v>
      </c>
      <c r="F836" s="5">
        <f t="shared" si="26"/>
        <v>1.5380821917808218</v>
      </c>
      <c r="G836" t="s">
        <v>8</v>
      </c>
      <c r="H836">
        <v>119</v>
      </c>
      <c r="I836">
        <f t="shared" si="27"/>
        <v>94.352941176470594</v>
      </c>
      <c r="J836" t="s">
        <v>109</v>
      </c>
      <c r="K836" t="s">
        <v>110</v>
      </c>
      <c r="L836" s="4">
        <v>41448.208333333336</v>
      </c>
      <c r="M836" s="4" t="s">
        <v>52</v>
      </c>
      <c r="N836" s="4" t="s">
        <v>117</v>
      </c>
      <c r="O836" s="4">
        <v>41454.208333333336</v>
      </c>
      <c r="P836" t="b">
        <v>0</v>
      </c>
      <c r="Q836" t="b">
        <v>0</v>
      </c>
      <c r="R836" t="s">
        <v>124</v>
      </c>
      <c r="S836" t="str" cm="1">
        <f t="array" ref="S836:T836">_xlfn.TEXTSPLIT(R836, "/", , FALSE)</f>
        <v>theater</v>
      </c>
      <c r="T836" t="str">
        <v>plays</v>
      </c>
    </row>
    <row r="837" spans="1:20" ht="17" x14ac:dyDescent="0.2">
      <c r="A837">
        <v>835</v>
      </c>
      <c r="B837" t="s">
        <v>1799</v>
      </c>
      <c r="C837" s="3" t="s">
        <v>1800</v>
      </c>
      <c r="D837">
        <v>86200</v>
      </c>
      <c r="E837">
        <v>77355</v>
      </c>
      <c r="F837" s="5">
        <f t="shared" si="26"/>
        <v>0.89738979118329465</v>
      </c>
      <c r="G837" t="s">
        <v>6</v>
      </c>
      <c r="H837">
        <v>1758</v>
      </c>
      <c r="I837">
        <f t="shared" si="27"/>
        <v>44.001706484641637</v>
      </c>
      <c r="J837" t="s">
        <v>109</v>
      </c>
      <c r="K837" t="s">
        <v>110</v>
      </c>
      <c r="L837" s="4">
        <v>42063.25</v>
      </c>
      <c r="M837" s="4" t="s">
        <v>48</v>
      </c>
      <c r="N837" s="4" t="s">
        <v>105</v>
      </c>
      <c r="O837" s="4">
        <v>42069.25</v>
      </c>
      <c r="P837" t="b">
        <v>0</v>
      </c>
      <c r="Q837" t="b">
        <v>0</v>
      </c>
      <c r="R837" t="s">
        <v>118</v>
      </c>
      <c r="S837" t="str" cm="1">
        <f t="array" ref="S837:T837">_xlfn.TEXTSPLIT(R837, "/", , FALSE)</f>
        <v>technology</v>
      </c>
      <c r="T837" t="str">
        <v>web</v>
      </c>
    </row>
    <row r="838" spans="1:20" ht="17" x14ac:dyDescent="0.2">
      <c r="A838">
        <v>836</v>
      </c>
      <c r="B838" t="s">
        <v>1801</v>
      </c>
      <c r="C838" s="3" t="s">
        <v>1802</v>
      </c>
      <c r="D838">
        <v>8100</v>
      </c>
      <c r="E838">
        <v>6086</v>
      </c>
      <c r="F838" s="5">
        <f t="shared" si="26"/>
        <v>0.75135802469135804</v>
      </c>
      <c r="G838" t="s">
        <v>6</v>
      </c>
      <c r="H838">
        <v>94</v>
      </c>
      <c r="I838">
        <f t="shared" si="27"/>
        <v>64.744680851063833</v>
      </c>
      <c r="J838" t="s">
        <v>109</v>
      </c>
      <c r="K838" t="s">
        <v>110</v>
      </c>
      <c r="L838" s="4">
        <v>40214.25</v>
      </c>
      <c r="M838" s="4" t="s">
        <v>48</v>
      </c>
      <c r="N838" s="4" t="s">
        <v>140</v>
      </c>
      <c r="O838" s="4">
        <v>40225.25</v>
      </c>
      <c r="P838" t="b">
        <v>0</v>
      </c>
      <c r="Q838" t="b">
        <v>0</v>
      </c>
      <c r="R838" t="s">
        <v>154</v>
      </c>
      <c r="S838" t="str" cm="1">
        <f t="array" ref="S838:T838">_xlfn.TEXTSPLIT(R838, "/", , FALSE)</f>
        <v>music</v>
      </c>
      <c r="T838" t="str">
        <v>indie rock</v>
      </c>
    </row>
    <row r="839" spans="1:20" ht="17" x14ac:dyDescent="0.2">
      <c r="A839">
        <v>837</v>
      </c>
      <c r="B839" t="s">
        <v>1803</v>
      </c>
      <c r="C839" s="3" t="s">
        <v>1804</v>
      </c>
      <c r="D839">
        <v>17700</v>
      </c>
      <c r="E839">
        <v>150960</v>
      </c>
      <c r="F839" s="5">
        <f t="shared" si="26"/>
        <v>8.5288135593220336</v>
      </c>
      <c r="G839" t="s">
        <v>8</v>
      </c>
      <c r="H839">
        <v>1797</v>
      </c>
      <c r="I839">
        <f t="shared" si="27"/>
        <v>84.00667779632721</v>
      </c>
      <c r="J839" t="s">
        <v>109</v>
      </c>
      <c r="K839" t="s">
        <v>110</v>
      </c>
      <c r="L839" s="4">
        <v>40629.208333333336</v>
      </c>
      <c r="M839" s="4" t="s">
        <v>49</v>
      </c>
      <c r="N839" s="4" t="s">
        <v>165</v>
      </c>
      <c r="O839" s="4">
        <v>40683.208333333336</v>
      </c>
      <c r="P839" t="b">
        <v>0</v>
      </c>
      <c r="Q839" t="b">
        <v>0</v>
      </c>
      <c r="R839" t="s">
        <v>254</v>
      </c>
      <c r="S839" t="str" cm="1">
        <f t="array" ref="S839:T839">_xlfn.TEXTSPLIT(R839, "/", , FALSE)</f>
        <v>music</v>
      </c>
      <c r="T839" t="str">
        <v>jazz</v>
      </c>
    </row>
    <row r="840" spans="1:20" ht="17" x14ac:dyDescent="0.2">
      <c r="A840">
        <v>838</v>
      </c>
      <c r="B840" t="s">
        <v>1805</v>
      </c>
      <c r="C840" s="3" t="s">
        <v>1806</v>
      </c>
      <c r="D840">
        <v>6400</v>
      </c>
      <c r="E840">
        <v>8890</v>
      </c>
      <c r="F840" s="5">
        <f t="shared" si="26"/>
        <v>1.3890625000000001</v>
      </c>
      <c r="G840" t="s">
        <v>8</v>
      </c>
      <c r="H840">
        <v>261</v>
      </c>
      <c r="I840">
        <f t="shared" si="27"/>
        <v>34.061302681992338</v>
      </c>
      <c r="J840" t="s">
        <v>109</v>
      </c>
      <c r="K840" t="s">
        <v>110</v>
      </c>
      <c r="L840" s="4">
        <v>43370.208333333328</v>
      </c>
      <c r="M840" s="4" t="s">
        <v>55</v>
      </c>
      <c r="N840" s="4" t="s">
        <v>169</v>
      </c>
      <c r="O840" s="4">
        <v>43379.208333333328</v>
      </c>
      <c r="P840" t="b">
        <v>0</v>
      </c>
      <c r="Q840" t="b">
        <v>0</v>
      </c>
      <c r="R840" t="s">
        <v>124</v>
      </c>
      <c r="S840" t="str" cm="1">
        <f t="array" ref="S840:T840">_xlfn.TEXTSPLIT(R840, "/", , FALSE)</f>
        <v>theater</v>
      </c>
      <c r="T840" t="str">
        <v>plays</v>
      </c>
    </row>
    <row r="841" spans="1:20" ht="17" x14ac:dyDescent="0.2">
      <c r="A841">
        <v>839</v>
      </c>
      <c r="B841" t="s">
        <v>1807</v>
      </c>
      <c r="C841" s="3" t="s">
        <v>1808</v>
      </c>
      <c r="D841">
        <v>7700</v>
      </c>
      <c r="E841">
        <v>14644</v>
      </c>
      <c r="F841" s="5">
        <f t="shared" si="26"/>
        <v>1.9018181818181819</v>
      </c>
      <c r="G841" t="s">
        <v>8</v>
      </c>
      <c r="H841">
        <v>157</v>
      </c>
      <c r="I841">
        <f t="shared" si="27"/>
        <v>93.273885350318466</v>
      </c>
      <c r="J841" t="s">
        <v>109</v>
      </c>
      <c r="K841" t="s">
        <v>110</v>
      </c>
      <c r="L841" s="4">
        <v>41715.208333333336</v>
      </c>
      <c r="M841" s="4" t="s">
        <v>49</v>
      </c>
      <c r="N841" s="4" t="s">
        <v>111</v>
      </c>
      <c r="O841" s="4">
        <v>41760.208333333336</v>
      </c>
      <c r="P841" t="b">
        <v>0</v>
      </c>
      <c r="Q841" t="b">
        <v>1</v>
      </c>
      <c r="R841" t="s">
        <v>135</v>
      </c>
      <c r="S841" t="str" cm="1">
        <f t="array" ref="S841:T841">_xlfn.TEXTSPLIT(R841, "/", , FALSE)</f>
        <v>film &amp; video</v>
      </c>
      <c r="T841" t="str">
        <v>documentary</v>
      </c>
    </row>
    <row r="842" spans="1:20" ht="17" x14ac:dyDescent="0.2">
      <c r="A842">
        <v>840</v>
      </c>
      <c r="B842" t="s">
        <v>1809</v>
      </c>
      <c r="C842" s="3" t="s">
        <v>1810</v>
      </c>
      <c r="D842">
        <v>116300</v>
      </c>
      <c r="E842">
        <v>116583</v>
      </c>
      <c r="F842" s="5">
        <f t="shared" si="26"/>
        <v>1.0024333619948409</v>
      </c>
      <c r="G842" t="s">
        <v>8</v>
      </c>
      <c r="H842">
        <v>3533</v>
      </c>
      <c r="I842">
        <f t="shared" si="27"/>
        <v>32.998301726577978</v>
      </c>
      <c r="J842" t="s">
        <v>109</v>
      </c>
      <c r="K842" t="s">
        <v>110</v>
      </c>
      <c r="L842" s="4">
        <v>41836.208333333336</v>
      </c>
      <c r="M842" s="4" t="s">
        <v>53</v>
      </c>
      <c r="N842" s="4" t="s">
        <v>111</v>
      </c>
      <c r="O842" s="4">
        <v>41838.208333333336</v>
      </c>
      <c r="P842" t="b">
        <v>0</v>
      </c>
      <c r="Q842" t="b">
        <v>1</v>
      </c>
      <c r="R842" t="s">
        <v>124</v>
      </c>
      <c r="S842" t="str" cm="1">
        <f t="array" ref="S842:T842">_xlfn.TEXTSPLIT(R842, "/", , FALSE)</f>
        <v>theater</v>
      </c>
      <c r="T842" t="str">
        <v>plays</v>
      </c>
    </row>
    <row r="843" spans="1:20" ht="17" x14ac:dyDescent="0.2">
      <c r="A843">
        <v>841</v>
      </c>
      <c r="B843" t="s">
        <v>1811</v>
      </c>
      <c r="C843" s="3" t="s">
        <v>1812</v>
      </c>
      <c r="D843">
        <v>9100</v>
      </c>
      <c r="E843">
        <v>12991</v>
      </c>
      <c r="F843" s="5">
        <f t="shared" si="26"/>
        <v>1.4275824175824177</v>
      </c>
      <c r="G843" t="s">
        <v>8</v>
      </c>
      <c r="H843">
        <v>155</v>
      </c>
      <c r="I843">
        <f t="shared" si="27"/>
        <v>83.812903225806451</v>
      </c>
      <c r="J843" t="s">
        <v>109</v>
      </c>
      <c r="K843" t="s">
        <v>110</v>
      </c>
      <c r="L843" s="4">
        <v>42419.25</v>
      </c>
      <c r="M843" s="4" t="s">
        <v>48</v>
      </c>
      <c r="N843" s="4" t="s">
        <v>153</v>
      </c>
      <c r="O843" s="4">
        <v>42435.25</v>
      </c>
      <c r="P843" t="b">
        <v>0</v>
      </c>
      <c r="Q843" t="b">
        <v>0</v>
      </c>
      <c r="R843" t="s">
        <v>118</v>
      </c>
      <c r="S843" t="str" cm="1">
        <f t="array" ref="S843:T843">_xlfn.TEXTSPLIT(R843, "/", , FALSE)</f>
        <v>technology</v>
      </c>
      <c r="T843" t="str">
        <v>web</v>
      </c>
    </row>
    <row r="844" spans="1:20" ht="34" x14ac:dyDescent="0.2">
      <c r="A844">
        <v>842</v>
      </c>
      <c r="B844" t="s">
        <v>1813</v>
      </c>
      <c r="C844" s="3" t="s">
        <v>1814</v>
      </c>
      <c r="D844">
        <v>1500</v>
      </c>
      <c r="E844">
        <v>8447</v>
      </c>
      <c r="F844" s="5">
        <f t="shared" si="26"/>
        <v>5.6313333333333331</v>
      </c>
      <c r="G844" t="s">
        <v>8</v>
      </c>
      <c r="H844">
        <v>132</v>
      </c>
      <c r="I844">
        <f t="shared" si="27"/>
        <v>63.992424242424242</v>
      </c>
      <c r="J844" t="s">
        <v>202</v>
      </c>
      <c r="K844" t="s">
        <v>203</v>
      </c>
      <c r="L844" s="4">
        <v>43266.208333333328</v>
      </c>
      <c r="M844" s="4" t="s">
        <v>52</v>
      </c>
      <c r="N844" s="4" t="s">
        <v>169</v>
      </c>
      <c r="O844" s="4">
        <v>43269.208333333328</v>
      </c>
      <c r="P844" t="b">
        <v>0</v>
      </c>
      <c r="Q844" t="b">
        <v>0</v>
      </c>
      <c r="R844" t="s">
        <v>159</v>
      </c>
      <c r="S844" t="str" cm="1">
        <f t="array" ref="S844:T844">_xlfn.TEXTSPLIT(R844, "/", , FALSE)</f>
        <v>technology</v>
      </c>
      <c r="T844" t="str">
        <v>wearables</v>
      </c>
    </row>
    <row r="845" spans="1:20" ht="34" x14ac:dyDescent="0.2">
      <c r="A845">
        <v>843</v>
      </c>
      <c r="B845" t="s">
        <v>1815</v>
      </c>
      <c r="C845" s="3" t="s">
        <v>1816</v>
      </c>
      <c r="D845">
        <v>8800</v>
      </c>
      <c r="E845">
        <v>2703</v>
      </c>
      <c r="F845" s="5">
        <f t="shared" si="26"/>
        <v>0.30715909090909088</v>
      </c>
      <c r="G845" t="s">
        <v>6</v>
      </c>
      <c r="H845">
        <v>33</v>
      </c>
      <c r="I845">
        <f t="shared" si="27"/>
        <v>81.909090909090907</v>
      </c>
      <c r="J845" t="s">
        <v>109</v>
      </c>
      <c r="K845" t="s">
        <v>110</v>
      </c>
      <c r="L845" s="4">
        <v>43338.208333333328</v>
      </c>
      <c r="M845" s="4" t="s">
        <v>54</v>
      </c>
      <c r="N845" s="4" t="s">
        <v>169</v>
      </c>
      <c r="O845" s="4">
        <v>43344.208333333328</v>
      </c>
      <c r="P845" t="b">
        <v>0</v>
      </c>
      <c r="Q845" t="b">
        <v>0</v>
      </c>
      <c r="R845" t="s">
        <v>217</v>
      </c>
      <c r="S845" t="str" cm="1">
        <f t="array" ref="S845:T845">_xlfn.TEXTSPLIT(R845, "/", , FALSE)</f>
        <v>photography</v>
      </c>
      <c r="T845" t="str">
        <v>photography books</v>
      </c>
    </row>
    <row r="846" spans="1:20" ht="17" x14ac:dyDescent="0.2">
      <c r="A846">
        <v>844</v>
      </c>
      <c r="B846" t="s">
        <v>1817</v>
      </c>
      <c r="C846" s="3" t="s">
        <v>1818</v>
      </c>
      <c r="D846">
        <v>8800</v>
      </c>
      <c r="E846">
        <v>8747</v>
      </c>
      <c r="F846" s="5">
        <f t="shared" si="26"/>
        <v>0.99397727272727276</v>
      </c>
      <c r="G846" t="s">
        <v>5</v>
      </c>
      <c r="H846">
        <v>94</v>
      </c>
      <c r="I846">
        <f t="shared" si="27"/>
        <v>93.053191489361708</v>
      </c>
      <c r="J846" t="s">
        <v>109</v>
      </c>
      <c r="K846" t="s">
        <v>110</v>
      </c>
      <c r="L846" s="4">
        <v>40930.25</v>
      </c>
      <c r="M846" s="4" t="s">
        <v>47</v>
      </c>
      <c r="N846" s="4" t="s">
        <v>129</v>
      </c>
      <c r="O846" s="4">
        <v>40933.25</v>
      </c>
      <c r="P846" t="b">
        <v>0</v>
      </c>
      <c r="Q846" t="b">
        <v>0</v>
      </c>
      <c r="R846" t="s">
        <v>135</v>
      </c>
      <c r="S846" t="str" cm="1">
        <f t="array" ref="S846:T846">_xlfn.TEXTSPLIT(R846, "/", , FALSE)</f>
        <v>film &amp; video</v>
      </c>
      <c r="T846" t="str">
        <v>documentary</v>
      </c>
    </row>
    <row r="847" spans="1:20" ht="17" x14ac:dyDescent="0.2">
      <c r="A847">
        <v>845</v>
      </c>
      <c r="B847" t="s">
        <v>1819</v>
      </c>
      <c r="C847" s="3" t="s">
        <v>1820</v>
      </c>
      <c r="D847">
        <v>69900</v>
      </c>
      <c r="E847">
        <v>138087</v>
      </c>
      <c r="F847" s="5">
        <f t="shared" si="26"/>
        <v>1.9754935622317598</v>
      </c>
      <c r="G847" t="s">
        <v>8</v>
      </c>
      <c r="H847">
        <v>1354</v>
      </c>
      <c r="I847">
        <f t="shared" si="27"/>
        <v>101.98449039881831</v>
      </c>
      <c r="J847" t="s">
        <v>132</v>
      </c>
      <c r="K847" t="s">
        <v>133</v>
      </c>
      <c r="L847" s="4">
        <v>43235.208333333328</v>
      </c>
      <c r="M847" s="4" t="s">
        <v>51</v>
      </c>
      <c r="N847" s="4" t="s">
        <v>169</v>
      </c>
      <c r="O847" s="4">
        <v>43272.208333333328</v>
      </c>
      <c r="P847" t="b">
        <v>0</v>
      </c>
      <c r="Q847" t="b">
        <v>0</v>
      </c>
      <c r="R847" t="s">
        <v>118</v>
      </c>
      <c r="S847" t="str" cm="1">
        <f t="array" ref="S847:T847">_xlfn.TEXTSPLIT(R847, "/", , FALSE)</f>
        <v>technology</v>
      </c>
      <c r="T847" t="str">
        <v>web</v>
      </c>
    </row>
    <row r="848" spans="1:20" ht="17" x14ac:dyDescent="0.2">
      <c r="A848">
        <v>846</v>
      </c>
      <c r="B848" t="s">
        <v>1821</v>
      </c>
      <c r="C848" s="3" t="s">
        <v>1822</v>
      </c>
      <c r="D848">
        <v>1000</v>
      </c>
      <c r="E848">
        <v>5085</v>
      </c>
      <c r="F848" s="5">
        <f t="shared" si="26"/>
        <v>5.085</v>
      </c>
      <c r="G848" t="s">
        <v>8</v>
      </c>
      <c r="H848">
        <v>48</v>
      </c>
      <c r="I848">
        <f t="shared" si="27"/>
        <v>105.9375</v>
      </c>
      <c r="J848" t="s">
        <v>109</v>
      </c>
      <c r="K848" t="s">
        <v>110</v>
      </c>
      <c r="L848" s="4">
        <v>43302.208333333328</v>
      </c>
      <c r="M848" s="4" t="s">
        <v>53</v>
      </c>
      <c r="N848" s="4" t="s">
        <v>169</v>
      </c>
      <c r="O848" s="4">
        <v>43338.208333333328</v>
      </c>
      <c r="P848" t="b">
        <v>1</v>
      </c>
      <c r="Q848" t="b">
        <v>1</v>
      </c>
      <c r="R848" t="s">
        <v>118</v>
      </c>
      <c r="S848" t="str" cm="1">
        <f t="array" ref="S848:T848">_xlfn.TEXTSPLIT(R848, "/", , FALSE)</f>
        <v>technology</v>
      </c>
      <c r="T848" t="str">
        <v>web</v>
      </c>
    </row>
    <row r="849" spans="1:20" ht="17" x14ac:dyDescent="0.2">
      <c r="A849">
        <v>847</v>
      </c>
      <c r="B849" t="s">
        <v>1823</v>
      </c>
      <c r="C849" s="3" t="s">
        <v>1824</v>
      </c>
      <c r="D849">
        <v>4700</v>
      </c>
      <c r="E849">
        <v>11174</v>
      </c>
      <c r="F849" s="5">
        <f t="shared" si="26"/>
        <v>2.3774468085106384</v>
      </c>
      <c r="G849" t="s">
        <v>8</v>
      </c>
      <c r="H849">
        <v>110</v>
      </c>
      <c r="I849">
        <f t="shared" si="27"/>
        <v>101.58181818181818</v>
      </c>
      <c r="J849" t="s">
        <v>109</v>
      </c>
      <c r="K849" t="s">
        <v>110</v>
      </c>
      <c r="L849" s="4">
        <v>43107.25</v>
      </c>
      <c r="M849" s="4" t="s">
        <v>47</v>
      </c>
      <c r="N849" s="4" t="s">
        <v>169</v>
      </c>
      <c r="O849" s="4">
        <v>43110.25</v>
      </c>
      <c r="P849" t="b">
        <v>0</v>
      </c>
      <c r="Q849" t="b">
        <v>0</v>
      </c>
      <c r="R849" t="s">
        <v>106</v>
      </c>
      <c r="S849" t="str" cm="1">
        <f t="array" ref="S849:T849">_xlfn.TEXTSPLIT(R849, "/", , FALSE)</f>
        <v>food</v>
      </c>
      <c r="T849" t="str">
        <v>food trucks</v>
      </c>
    </row>
    <row r="850" spans="1:20" ht="17" x14ac:dyDescent="0.2">
      <c r="A850">
        <v>848</v>
      </c>
      <c r="B850" t="s">
        <v>1825</v>
      </c>
      <c r="C850" s="3" t="s">
        <v>1826</v>
      </c>
      <c r="D850">
        <v>3200</v>
      </c>
      <c r="E850">
        <v>10831</v>
      </c>
      <c r="F850" s="5">
        <f t="shared" si="26"/>
        <v>3.3846875000000001</v>
      </c>
      <c r="G850" t="s">
        <v>8</v>
      </c>
      <c r="H850">
        <v>172</v>
      </c>
      <c r="I850">
        <f t="shared" si="27"/>
        <v>62.970930232558139</v>
      </c>
      <c r="J850" t="s">
        <v>109</v>
      </c>
      <c r="K850" t="s">
        <v>110</v>
      </c>
      <c r="L850" s="4">
        <v>40341.208333333336</v>
      </c>
      <c r="M850" s="4" t="s">
        <v>52</v>
      </c>
      <c r="N850" s="4" t="s">
        <v>140</v>
      </c>
      <c r="O850" s="4">
        <v>40350.208333333336</v>
      </c>
      <c r="P850" t="b">
        <v>0</v>
      </c>
      <c r="Q850" t="b">
        <v>0</v>
      </c>
      <c r="R850" t="s">
        <v>146</v>
      </c>
      <c r="S850" t="str" cm="1">
        <f t="array" ref="S850:T850">_xlfn.TEXTSPLIT(R850, "/", , FALSE)</f>
        <v>film &amp; video</v>
      </c>
      <c r="T850" t="str">
        <v>drama</v>
      </c>
    </row>
    <row r="851" spans="1:20" ht="17" x14ac:dyDescent="0.2">
      <c r="A851">
        <v>849</v>
      </c>
      <c r="B851" t="s">
        <v>1827</v>
      </c>
      <c r="C851" s="3" t="s">
        <v>1828</v>
      </c>
      <c r="D851">
        <v>6700</v>
      </c>
      <c r="E851">
        <v>8917</v>
      </c>
      <c r="F851" s="5">
        <f t="shared" si="26"/>
        <v>1.3308955223880596</v>
      </c>
      <c r="G851" t="s">
        <v>8</v>
      </c>
      <c r="H851">
        <v>307</v>
      </c>
      <c r="I851">
        <f t="shared" si="27"/>
        <v>29.045602605863191</v>
      </c>
      <c r="J851" t="s">
        <v>109</v>
      </c>
      <c r="K851" t="s">
        <v>110</v>
      </c>
      <c r="L851" s="4">
        <v>40948.25</v>
      </c>
      <c r="M851" s="4" t="s">
        <v>48</v>
      </c>
      <c r="N851" s="4" t="s">
        <v>129</v>
      </c>
      <c r="O851" s="4">
        <v>40951.25</v>
      </c>
      <c r="P851" t="b">
        <v>0</v>
      </c>
      <c r="Q851" t="b">
        <v>1</v>
      </c>
      <c r="R851" t="s">
        <v>154</v>
      </c>
      <c r="S851" t="str" cm="1">
        <f t="array" ref="S851:T851">_xlfn.TEXTSPLIT(R851, "/", , FALSE)</f>
        <v>music</v>
      </c>
      <c r="T851" t="str">
        <v>indie rock</v>
      </c>
    </row>
    <row r="852" spans="1:20" ht="34" x14ac:dyDescent="0.2">
      <c r="A852">
        <v>850</v>
      </c>
      <c r="B852" t="s">
        <v>1829</v>
      </c>
      <c r="C852" s="3" t="s">
        <v>1830</v>
      </c>
      <c r="D852">
        <v>100</v>
      </c>
      <c r="E852">
        <v>1</v>
      </c>
      <c r="F852" s="5">
        <f t="shared" si="26"/>
        <v>0.01</v>
      </c>
      <c r="G852" t="s">
        <v>6</v>
      </c>
      <c r="H852">
        <v>1</v>
      </c>
      <c r="I852">
        <f t="shared" si="27"/>
        <v>1</v>
      </c>
      <c r="J852" t="s">
        <v>109</v>
      </c>
      <c r="K852" t="s">
        <v>110</v>
      </c>
      <c r="L852" s="4">
        <v>40866.25</v>
      </c>
      <c r="M852" s="4" t="s">
        <v>57</v>
      </c>
      <c r="N852" s="4" t="s">
        <v>165</v>
      </c>
      <c r="O852" s="4">
        <v>40881.25</v>
      </c>
      <c r="P852" t="b">
        <v>1</v>
      </c>
      <c r="Q852" t="b">
        <v>0</v>
      </c>
      <c r="R852" t="s">
        <v>112</v>
      </c>
      <c r="S852" t="str" cm="1">
        <f t="array" ref="S852:T852">_xlfn.TEXTSPLIT(R852, "/", , FALSE)</f>
        <v>music</v>
      </c>
      <c r="T852" t="str">
        <v>rock</v>
      </c>
    </row>
    <row r="853" spans="1:20" ht="34" x14ac:dyDescent="0.2">
      <c r="A853">
        <v>851</v>
      </c>
      <c r="B853" t="s">
        <v>1831</v>
      </c>
      <c r="C853" s="3" t="s">
        <v>1832</v>
      </c>
      <c r="D853">
        <v>6000</v>
      </c>
      <c r="E853">
        <v>12468</v>
      </c>
      <c r="F853" s="5">
        <f t="shared" si="26"/>
        <v>2.0779999999999998</v>
      </c>
      <c r="G853" t="s">
        <v>8</v>
      </c>
      <c r="H853">
        <v>160</v>
      </c>
      <c r="I853">
        <f t="shared" si="27"/>
        <v>77.924999999999997</v>
      </c>
      <c r="J853" t="s">
        <v>109</v>
      </c>
      <c r="K853" t="s">
        <v>110</v>
      </c>
      <c r="L853" s="4">
        <v>41031.208333333336</v>
      </c>
      <c r="M853" s="4" t="s">
        <v>51</v>
      </c>
      <c r="N853" s="4" t="s">
        <v>129</v>
      </c>
      <c r="O853" s="4">
        <v>41064.208333333336</v>
      </c>
      <c r="P853" t="b">
        <v>0</v>
      </c>
      <c r="Q853" t="b">
        <v>0</v>
      </c>
      <c r="R853" t="s">
        <v>143</v>
      </c>
      <c r="S853" t="str" cm="1">
        <f t="array" ref="S853:T853">_xlfn.TEXTSPLIT(R853, "/", , FALSE)</f>
        <v>music</v>
      </c>
      <c r="T853" t="str">
        <v>electric music</v>
      </c>
    </row>
    <row r="854" spans="1:20" ht="34" x14ac:dyDescent="0.2">
      <c r="A854">
        <v>852</v>
      </c>
      <c r="B854" t="s">
        <v>1833</v>
      </c>
      <c r="C854" s="3" t="s">
        <v>1834</v>
      </c>
      <c r="D854">
        <v>4900</v>
      </c>
      <c r="E854">
        <v>2505</v>
      </c>
      <c r="F854" s="5">
        <f t="shared" si="26"/>
        <v>0.51122448979591839</v>
      </c>
      <c r="G854" t="s">
        <v>6</v>
      </c>
      <c r="H854">
        <v>31</v>
      </c>
      <c r="I854">
        <f t="shared" si="27"/>
        <v>80.806451612903231</v>
      </c>
      <c r="J854" t="s">
        <v>109</v>
      </c>
      <c r="K854" t="s">
        <v>110</v>
      </c>
      <c r="L854" s="4">
        <v>40740.208333333336</v>
      </c>
      <c r="M854" s="4" t="s">
        <v>53</v>
      </c>
      <c r="N854" s="4" t="s">
        <v>165</v>
      </c>
      <c r="O854" s="4">
        <v>40750.208333333336</v>
      </c>
      <c r="P854" t="b">
        <v>0</v>
      </c>
      <c r="Q854" t="b">
        <v>1</v>
      </c>
      <c r="R854" t="s">
        <v>184</v>
      </c>
      <c r="S854" t="str" cm="1">
        <f t="array" ref="S854:T854">_xlfn.TEXTSPLIT(R854, "/", , FALSE)</f>
        <v>games</v>
      </c>
      <c r="T854" t="str">
        <v>video games</v>
      </c>
    </row>
    <row r="855" spans="1:20" ht="17" x14ac:dyDescent="0.2">
      <c r="A855">
        <v>853</v>
      </c>
      <c r="B855" t="s">
        <v>1835</v>
      </c>
      <c r="C855" s="3" t="s">
        <v>1836</v>
      </c>
      <c r="D855">
        <v>17100</v>
      </c>
      <c r="E855">
        <v>111502</v>
      </c>
      <c r="F855" s="5">
        <f t="shared" si="26"/>
        <v>6.5205847953216374</v>
      </c>
      <c r="G855" t="s">
        <v>8</v>
      </c>
      <c r="H855">
        <v>1467</v>
      </c>
      <c r="I855">
        <f t="shared" si="27"/>
        <v>76.006816632583508</v>
      </c>
      <c r="J855" t="s">
        <v>103</v>
      </c>
      <c r="K855" t="s">
        <v>104</v>
      </c>
      <c r="L855" s="4">
        <v>40714.208333333336</v>
      </c>
      <c r="M855" s="4" t="s">
        <v>52</v>
      </c>
      <c r="N855" s="4" t="s">
        <v>165</v>
      </c>
      <c r="O855" s="4">
        <v>40719.208333333336</v>
      </c>
      <c r="P855" t="b">
        <v>0</v>
      </c>
      <c r="Q855" t="b">
        <v>1</v>
      </c>
      <c r="R855" t="s">
        <v>154</v>
      </c>
      <c r="S855" t="str" cm="1">
        <f t="array" ref="S855:T855">_xlfn.TEXTSPLIT(R855, "/", , FALSE)</f>
        <v>music</v>
      </c>
      <c r="T855" t="str">
        <v>indie rock</v>
      </c>
    </row>
    <row r="856" spans="1:20" ht="34" x14ac:dyDescent="0.2">
      <c r="A856">
        <v>854</v>
      </c>
      <c r="B856" t="s">
        <v>1837</v>
      </c>
      <c r="C856" s="3" t="s">
        <v>1838</v>
      </c>
      <c r="D856">
        <v>171000</v>
      </c>
      <c r="E856">
        <v>194309</v>
      </c>
      <c r="F856" s="5">
        <f t="shared" si="26"/>
        <v>1.1363099415204678</v>
      </c>
      <c r="G856" t="s">
        <v>8</v>
      </c>
      <c r="H856">
        <v>2662</v>
      </c>
      <c r="I856">
        <f t="shared" si="27"/>
        <v>72.993613824192337</v>
      </c>
      <c r="J856" t="s">
        <v>103</v>
      </c>
      <c r="K856" t="s">
        <v>104</v>
      </c>
      <c r="L856" s="4">
        <v>43787.25</v>
      </c>
      <c r="M856" s="4" t="s">
        <v>57</v>
      </c>
      <c r="N856" s="4" t="s">
        <v>121</v>
      </c>
      <c r="O856" s="4">
        <v>43814.25</v>
      </c>
      <c r="P856" t="b">
        <v>0</v>
      </c>
      <c r="Q856" t="b">
        <v>0</v>
      </c>
      <c r="R856" t="s">
        <v>214</v>
      </c>
      <c r="S856" t="str" cm="1">
        <f t="array" ref="S856:T856">_xlfn.TEXTSPLIT(R856, "/", , FALSE)</f>
        <v>publishing</v>
      </c>
      <c r="T856" t="str">
        <v>fiction</v>
      </c>
    </row>
    <row r="857" spans="1:20" ht="17" x14ac:dyDescent="0.2">
      <c r="A857">
        <v>855</v>
      </c>
      <c r="B857" t="s">
        <v>1839</v>
      </c>
      <c r="C857" s="3" t="s">
        <v>1840</v>
      </c>
      <c r="D857">
        <v>23400</v>
      </c>
      <c r="E857">
        <v>23956</v>
      </c>
      <c r="F857" s="5">
        <f t="shared" si="26"/>
        <v>1.0237606837606839</v>
      </c>
      <c r="G857" t="s">
        <v>8</v>
      </c>
      <c r="H857">
        <v>452</v>
      </c>
      <c r="I857">
        <f t="shared" si="27"/>
        <v>53</v>
      </c>
      <c r="J857" t="s">
        <v>115</v>
      </c>
      <c r="K857" t="s">
        <v>116</v>
      </c>
      <c r="L857" s="4">
        <v>40712.208333333336</v>
      </c>
      <c r="M857" s="4" t="s">
        <v>52</v>
      </c>
      <c r="N857" s="4" t="s">
        <v>165</v>
      </c>
      <c r="O857" s="4">
        <v>40743.208333333336</v>
      </c>
      <c r="P857" t="b">
        <v>0</v>
      </c>
      <c r="Q857" t="b">
        <v>0</v>
      </c>
      <c r="R857" t="s">
        <v>124</v>
      </c>
      <c r="S857" t="str" cm="1">
        <f t="array" ref="S857:T857">_xlfn.TEXTSPLIT(R857, "/", , FALSE)</f>
        <v>theater</v>
      </c>
      <c r="T857" t="str">
        <v>plays</v>
      </c>
    </row>
    <row r="858" spans="1:20" ht="17" x14ac:dyDescent="0.2">
      <c r="A858">
        <v>856</v>
      </c>
      <c r="B858" t="s">
        <v>1695</v>
      </c>
      <c r="C858" s="3" t="s">
        <v>1841</v>
      </c>
      <c r="D858">
        <v>2400</v>
      </c>
      <c r="E858">
        <v>8558</v>
      </c>
      <c r="F858" s="5">
        <f t="shared" si="26"/>
        <v>3.5658333333333334</v>
      </c>
      <c r="G858" t="s">
        <v>8</v>
      </c>
      <c r="H858">
        <v>158</v>
      </c>
      <c r="I858">
        <f t="shared" si="27"/>
        <v>54.164556962025316</v>
      </c>
      <c r="J858" t="s">
        <v>109</v>
      </c>
      <c r="K858" t="s">
        <v>110</v>
      </c>
      <c r="L858" s="4">
        <v>41023.208333333336</v>
      </c>
      <c r="M858" s="4" t="s">
        <v>50</v>
      </c>
      <c r="N858" s="4" t="s">
        <v>129</v>
      </c>
      <c r="O858" s="4">
        <v>41040.208333333336</v>
      </c>
      <c r="P858" t="b">
        <v>0</v>
      </c>
      <c r="Q858" t="b">
        <v>0</v>
      </c>
      <c r="R858" t="s">
        <v>106</v>
      </c>
      <c r="S858" t="str" cm="1">
        <f t="array" ref="S858:T858">_xlfn.TEXTSPLIT(R858, "/", , FALSE)</f>
        <v>food</v>
      </c>
      <c r="T858" t="str">
        <v>food trucks</v>
      </c>
    </row>
    <row r="859" spans="1:20" ht="34" x14ac:dyDescent="0.2">
      <c r="A859">
        <v>857</v>
      </c>
      <c r="B859" t="s">
        <v>1842</v>
      </c>
      <c r="C859" s="3" t="s">
        <v>1843</v>
      </c>
      <c r="D859">
        <v>5300</v>
      </c>
      <c r="E859">
        <v>7413</v>
      </c>
      <c r="F859" s="5">
        <f t="shared" si="26"/>
        <v>1.3986792452830188</v>
      </c>
      <c r="G859" t="s">
        <v>8</v>
      </c>
      <c r="H859">
        <v>225</v>
      </c>
      <c r="I859">
        <f t="shared" si="27"/>
        <v>32.946666666666665</v>
      </c>
      <c r="J859" t="s">
        <v>193</v>
      </c>
      <c r="K859" t="s">
        <v>194</v>
      </c>
      <c r="L859" s="4">
        <v>40944.25</v>
      </c>
      <c r="M859" s="4" t="s">
        <v>48</v>
      </c>
      <c r="N859" s="4" t="s">
        <v>129</v>
      </c>
      <c r="O859" s="4">
        <v>40967.25</v>
      </c>
      <c r="P859" t="b">
        <v>1</v>
      </c>
      <c r="Q859" t="b">
        <v>0</v>
      </c>
      <c r="R859" t="s">
        <v>195</v>
      </c>
      <c r="S859" t="str" cm="1">
        <f t="array" ref="S859:T859">_xlfn.TEXTSPLIT(R859, "/", , FALSE)</f>
        <v>film &amp; video</v>
      </c>
      <c r="T859" t="str">
        <v>shorts</v>
      </c>
    </row>
    <row r="860" spans="1:20" ht="34" x14ac:dyDescent="0.2">
      <c r="A860">
        <v>858</v>
      </c>
      <c r="B860" t="s">
        <v>1844</v>
      </c>
      <c r="C860" s="3" t="s">
        <v>1845</v>
      </c>
      <c r="D860">
        <v>4000</v>
      </c>
      <c r="E860">
        <v>2778</v>
      </c>
      <c r="F860" s="5">
        <f t="shared" si="26"/>
        <v>0.69450000000000001</v>
      </c>
      <c r="G860" t="s">
        <v>6</v>
      </c>
      <c r="H860">
        <v>35</v>
      </c>
      <c r="I860">
        <f t="shared" si="27"/>
        <v>79.371428571428567</v>
      </c>
      <c r="J860" t="s">
        <v>109</v>
      </c>
      <c r="K860" t="s">
        <v>110</v>
      </c>
      <c r="L860" s="4">
        <v>43211.208333333328</v>
      </c>
      <c r="M860" s="4" t="s">
        <v>50</v>
      </c>
      <c r="N860" s="4" t="s">
        <v>169</v>
      </c>
      <c r="O860" s="4">
        <v>43218.208333333328</v>
      </c>
      <c r="P860" t="b">
        <v>1</v>
      </c>
      <c r="Q860" t="b">
        <v>0</v>
      </c>
      <c r="R860" t="s">
        <v>106</v>
      </c>
      <c r="S860" t="str" cm="1">
        <f t="array" ref="S860:T860">_xlfn.TEXTSPLIT(R860, "/", , FALSE)</f>
        <v>food</v>
      </c>
      <c r="T860" t="str">
        <v>food trucks</v>
      </c>
    </row>
    <row r="861" spans="1:20" ht="34" x14ac:dyDescent="0.2">
      <c r="A861">
        <v>859</v>
      </c>
      <c r="B861" t="s">
        <v>1846</v>
      </c>
      <c r="C861" s="3" t="s">
        <v>1847</v>
      </c>
      <c r="D861">
        <v>7300</v>
      </c>
      <c r="E861">
        <v>2594</v>
      </c>
      <c r="F861" s="5">
        <f t="shared" si="26"/>
        <v>0.35534246575342465</v>
      </c>
      <c r="G861" t="s">
        <v>6</v>
      </c>
      <c r="H861">
        <v>63</v>
      </c>
      <c r="I861">
        <f t="shared" si="27"/>
        <v>41.174603174603178</v>
      </c>
      <c r="J861" t="s">
        <v>109</v>
      </c>
      <c r="K861" t="s">
        <v>110</v>
      </c>
      <c r="L861" s="4">
        <v>41334.25</v>
      </c>
      <c r="M861" s="4" t="s">
        <v>49</v>
      </c>
      <c r="N861" s="4" t="s">
        <v>117</v>
      </c>
      <c r="O861" s="4">
        <v>41352.208333333336</v>
      </c>
      <c r="P861" t="b">
        <v>0</v>
      </c>
      <c r="Q861" t="b">
        <v>1</v>
      </c>
      <c r="R861" t="s">
        <v>124</v>
      </c>
      <c r="S861" t="str" cm="1">
        <f t="array" ref="S861:T861">_xlfn.TEXTSPLIT(R861, "/", , FALSE)</f>
        <v>theater</v>
      </c>
      <c r="T861" t="str">
        <v>plays</v>
      </c>
    </row>
    <row r="862" spans="1:20" ht="34" x14ac:dyDescent="0.2">
      <c r="A862">
        <v>860</v>
      </c>
      <c r="B862" t="s">
        <v>1848</v>
      </c>
      <c r="C862" s="3" t="s">
        <v>1849</v>
      </c>
      <c r="D862">
        <v>2000</v>
      </c>
      <c r="E862">
        <v>5033</v>
      </c>
      <c r="F862" s="5">
        <f t="shared" si="26"/>
        <v>2.5165000000000002</v>
      </c>
      <c r="G862" t="s">
        <v>8</v>
      </c>
      <c r="H862">
        <v>65</v>
      </c>
      <c r="I862">
        <f t="shared" si="27"/>
        <v>77.430769230769229</v>
      </c>
      <c r="J862" t="s">
        <v>109</v>
      </c>
      <c r="K862" t="s">
        <v>110</v>
      </c>
      <c r="L862" s="4">
        <v>43515.25</v>
      </c>
      <c r="M862" s="4" t="s">
        <v>48</v>
      </c>
      <c r="N862" s="4" t="s">
        <v>121</v>
      </c>
      <c r="O862" s="4">
        <v>43525.25</v>
      </c>
      <c r="P862" t="b">
        <v>0</v>
      </c>
      <c r="Q862" t="b">
        <v>1</v>
      </c>
      <c r="R862" t="s">
        <v>159</v>
      </c>
      <c r="S862" t="str" cm="1">
        <f t="array" ref="S862:T862">_xlfn.TEXTSPLIT(R862, "/", , FALSE)</f>
        <v>technology</v>
      </c>
      <c r="T862" t="str">
        <v>wearables</v>
      </c>
    </row>
    <row r="863" spans="1:20" ht="17" x14ac:dyDescent="0.2">
      <c r="A863">
        <v>861</v>
      </c>
      <c r="B863" t="s">
        <v>1850</v>
      </c>
      <c r="C863" s="3" t="s">
        <v>1851</v>
      </c>
      <c r="D863">
        <v>8800</v>
      </c>
      <c r="E863">
        <v>9317</v>
      </c>
      <c r="F863" s="5">
        <f t="shared" si="26"/>
        <v>1.0587500000000001</v>
      </c>
      <c r="G863" t="s">
        <v>8</v>
      </c>
      <c r="H863">
        <v>163</v>
      </c>
      <c r="I863">
        <f t="shared" si="27"/>
        <v>57.159509202453989</v>
      </c>
      <c r="J863" t="s">
        <v>109</v>
      </c>
      <c r="K863" t="s">
        <v>110</v>
      </c>
      <c r="L863" s="4">
        <v>40258.208333333336</v>
      </c>
      <c r="M863" s="4" t="s">
        <v>49</v>
      </c>
      <c r="N863" s="4" t="s">
        <v>140</v>
      </c>
      <c r="O863" s="4">
        <v>40266.208333333336</v>
      </c>
      <c r="P863" t="b">
        <v>0</v>
      </c>
      <c r="Q863" t="b">
        <v>0</v>
      </c>
      <c r="R863" t="s">
        <v>124</v>
      </c>
      <c r="S863" t="str" cm="1">
        <f t="array" ref="S863:T863">_xlfn.TEXTSPLIT(R863, "/", , FALSE)</f>
        <v>theater</v>
      </c>
      <c r="T863" t="str">
        <v>plays</v>
      </c>
    </row>
    <row r="864" spans="1:20" ht="17" x14ac:dyDescent="0.2">
      <c r="A864">
        <v>862</v>
      </c>
      <c r="B864" t="s">
        <v>1852</v>
      </c>
      <c r="C864" s="3" t="s">
        <v>1853</v>
      </c>
      <c r="D864">
        <v>3500</v>
      </c>
      <c r="E864">
        <v>6560</v>
      </c>
      <c r="F864" s="5">
        <f t="shared" si="26"/>
        <v>1.8742857142857143</v>
      </c>
      <c r="G864" t="s">
        <v>8</v>
      </c>
      <c r="H864">
        <v>85</v>
      </c>
      <c r="I864">
        <f t="shared" si="27"/>
        <v>77.17647058823529</v>
      </c>
      <c r="J864" t="s">
        <v>109</v>
      </c>
      <c r="K864" t="s">
        <v>110</v>
      </c>
      <c r="L864" s="4">
        <v>40756.208333333336</v>
      </c>
      <c r="M864" s="4" t="s">
        <v>54</v>
      </c>
      <c r="N864" s="4" t="s">
        <v>165</v>
      </c>
      <c r="O864" s="4">
        <v>40760.208333333336</v>
      </c>
      <c r="P864" t="b">
        <v>0</v>
      </c>
      <c r="Q864" t="b">
        <v>0</v>
      </c>
      <c r="R864" t="s">
        <v>124</v>
      </c>
      <c r="S864" t="str" cm="1">
        <f t="array" ref="S864:T864">_xlfn.TEXTSPLIT(R864, "/", , FALSE)</f>
        <v>theater</v>
      </c>
      <c r="T864" t="str">
        <v>plays</v>
      </c>
    </row>
    <row r="865" spans="1:20" ht="17" x14ac:dyDescent="0.2">
      <c r="A865">
        <v>863</v>
      </c>
      <c r="B865" t="s">
        <v>1854</v>
      </c>
      <c r="C865" s="3" t="s">
        <v>1855</v>
      </c>
      <c r="D865">
        <v>1400</v>
      </c>
      <c r="E865">
        <v>5415</v>
      </c>
      <c r="F865" s="5">
        <f t="shared" si="26"/>
        <v>3.8678571428571429</v>
      </c>
      <c r="G865" t="s">
        <v>8</v>
      </c>
      <c r="H865">
        <v>217</v>
      </c>
      <c r="I865">
        <f t="shared" si="27"/>
        <v>24.953917050691246</v>
      </c>
      <c r="J865" t="s">
        <v>109</v>
      </c>
      <c r="K865" t="s">
        <v>110</v>
      </c>
      <c r="L865" s="4">
        <v>42172.208333333328</v>
      </c>
      <c r="M865" s="4" t="s">
        <v>52</v>
      </c>
      <c r="N865" s="4" t="s">
        <v>105</v>
      </c>
      <c r="O865" s="4">
        <v>42195.208333333328</v>
      </c>
      <c r="P865" t="b">
        <v>0</v>
      </c>
      <c r="Q865" t="b">
        <v>1</v>
      </c>
      <c r="R865" t="s">
        <v>364</v>
      </c>
      <c r="S865" t="str" cm="1">
        <f t="array" ref="S865:T865">_xlfn.TEXTSPLIT(R865, "/", , FALSE)</f>
        <v>film &amp; video</v>
      </c>
      <c r="T865" t="str">
        <v>television</v>
      </c>
    </row>
    <row r="866" spans="1:20" ht="17" x14ac:dyDescent="0.2">
      <c r="A866">
        <v>864</v>
      </c>
      <c r="B866" t="s">
        <v>1856</v>
      </c>
      <c r="C866" s="3" t="s">
        <v>1857</v>
      </c>
      <c r="D866">
        <v>4200</v>
      </c>
      <c r="E866">
        <v>14577</v>
      </c>
      <c r="F866" s="5">
        <f t="shared" si="26"/>
        <v>3.4707142857142856</v>
      </c>
      <c r="G866" t="s">
        <v>8</v>
      </c>
      <c r="H866">
        <v>150</v>
      </c>
      <c r="I866">
        <f t="shared" si="27"/>
        <v>97.18</v>
      </c>
      <c r="J866" t="s">
        <v>109</v>
      </c>
      <c r="K866" t="s">
        <v>110</v>
      </c>
      <c r="L866" s="4">
        <v>42601.208333333328</v>
      </c>
      <c r="M866" s="4" t="s">
        <v>54</v>
      </c>
      <c r="N866" s="4" t="s">
        <v>153</v>
      </c>
      <c r="O866" s="4">
        <v>42606.208333333328</v>
      </c>
      <c r="P866" t="b">
        <v>0</v>
      </c>
      <c r="Q866" t="b">
        <v>0</v>
      </c>
      <c r="R866" t="s">
        <v>195</v>
      </c>
      <c r="S866" t="str" cm="1">
        <f t="array" ref="S866:T866">_xlfn.TEXTSPLIT(R866, "/", , FALSE)</f>
        <v>film &amp; video</v>
      </c>
      <c r="T866" t="str">
        <v>shorts</v>
      </c>
    </row>
    <row r="867" spans="1:20" ht="17" x14ac:dyDescent="0.2">
      <c r="A867">
        <v>865</v>
      </c>
      <c r="B867" t="s">
        <v>1858</v>
      </c>
      <c r="C867" s="3" t="s">
        <v>1859</v>
      </c>
      <c r="D867">
        <v>81000</v>
      </c>
      <c r="E867">
        <v>150515</v>
      </c>
      <c r="F867" s="5">
        <f t="shared" si="26"/>
        <v>1.8582098765432098</v>
      </c>
      <c r="G867" t="s">
        <v>8</v>
      </c>
      <c r="H867">
        <v>3272</v>
      </c>
      <c r="I867">
        <f t="shared" si="27"/>
        <v>46.000916870415651</v>
      </c>
      <c r="J867" t="s">
        <v>109</v>
      </c>
      <c r="K867" t="s">
        <v>110</v>
      </c>
      <c r="L867" s="4">
        <v>41897.208333333336</v>
      </c>
      <c r="M867" s="4" t="s">
        <v>55</v>
      </c>
      <c r="N867" s="4" t="s">
        <v>111</v>
      </c>
      <c r="O867" s="4">
        <v>41906.208333333336</v>
      </c>
      <c r="P867" t="b">
        <v>0</v>
      </c>
      <c r="Q867" t="b">
        <v>0</v>
      </c>
      <c r="R867" t="s">
        <v>124</v>
      </c>
      <c r="S867" t="str" cm="1">
        <f t="array" ref="S867:T867">_xlfn.TEXTSPLIT(R867, "/", , FALSE)</f>
        <v>theater</v>
      </c>
      <c r="T867" t="str">
        <v>plays</v>
      </c>
    </row>
    <row r="868" spans="1:20" ht="17" x14ac:dyDescent="0.2">
      <c r="A868">
        <v>866</v>
      </c>
      <c r="B868" t="s">
        <v>1860</v>
      </c>
      <c r="C868" s="3" t="s">
        <v>1861</v>
      </c>
      <c r="D868">
        <v>182800</v>
      </c>
      <c r="E868">
        <v>79045</v>
      </c>
      <c r="F868" s="5">
        <f t="shared" si="26"/>
        <v>0.43241247264770238</v>
      </c>
      <c r="G868" t="s">
        <v>5</v>
      </c>
      <c r="H868">
        <v>898</v>
      </c>
      <c r="I868">
        <f t="shared" si="27"/>
        <v>88.023385300668153</v>
      </c>
      <c r="J868" t="s">
        <v>109</v>
      </c>
      <c r="K868" t="s">
        <v>110</v>
      </c>
      <c r="L868" s="4">
        <v>40671.208333333336</v>
      </c>
      <c r="M868" s="4" t="s">
        <v>51</v>
      </c>
      <c r="N868" s="4" t="s">
        <v>165</v>
      </c>
      <c r="O868" s="4">
        <v>40672.208333333336</v>
      </c>
      <c r="P868" t="b">
        <v>0</v>
      </c>
      <c r="Q868" t="b">
        <v>0</v>
      </c>
      <c r="R868" t="s">
        <v>217</v>
      </c>
      <c r="S868" t="str" cm="1">
        <f t="array" ref="S868:T868">_xlfn.TEXTSPLIT(R868, "/", , FALSE)</f>
        <v>photography</v>
      </c>
      <c r="T868" t="str">
        <v>photography books</v>
      </c>
    </row>
    <row r="869" spans="1:20" ht="34" x14ac:dyDescent="0.2">
      <c r="A869">
        <v>867</v>
      </c>
      <c r="B869" t="s">
        <v>1862</v>
      </c>
      <c r="C869" s="3" t="s">
        <v>1863</v>
      </c>
      <c r="D869">
        <v>4800</v>
      </c>
      <c r="E869">
        <v>7797</v>
      </c>
      <c r="F869" s="5">
        <f t="shared" si="26"/>
        <v>1.6243749999999999</v>
      </c>
      <c r="G869" t="s">
        <v>8</v>
      </c>
      <c r="H869">
        <v>300</v>
      </c>
      <c r="I869">
        <f t="shared" si="27"/>
        <v>25.99</v>
      </c>
      <c r="J869" t="s">
        <v>109</v>
      </c>
      <c r="K869" t="s">
        <v>110</v>
      </c>
      <c r="L869" s="4">
        <v>43382.208333333328</v>
      </c>
      <c r="M869" s="4" t="s">
        <v>56</v>
      </c>
      <c r="N869" s="4" t="s">
        <v>169</v>
      </c>
      <c r="O869" s="4">
        <v>43388.208333333328</v>
      </c>
      <c r="P869" t="b">
        <v>0</v>
      </c>
      <c r="Q869" t="b">
        <v>0</v>
      </c>
      <c r="R869" t="s">
        <v>106</v>
      </c>
      <c r="S869" t="str" cm="1">
        <f t="array" ref="S869:T869">_xlfn.TEXTSPLIT(R869, "/", , FALSE)</f>
        <v>food</v>
      </c>
      <c r="T869" t="str">
        <v>food trucks</v>
      </c>
    </row>
    <row r="870" spans="1:20" ht="17" x14ac:dyDescent="0.2">
      <c r="A870">
        <v>868</v>
      </c>
      <c r="B870" t="s">
        <v>1864</v>
      </c>
      <c r="C870" s="3" t="s">
        <v>1865</v>
      </c>
      <c r="D870">
        <v>7000</v>
      </c>
      <c r="E870">
        <v>12939</v>
      </c>
      <c r="F870" s="5">
        <f t="shared" si="26"/>
        <v>1.8484285714285715</v>
      </c>
      <c r="G870" t="s">
        <v>8</v>
      </c>
      <c r="H870">
        <v>126</v>
      </c>
      <c r="I870">
        <f t="shared" si="27"/>
        <v>102.69047619047619</v>
      </c>
      <c r="J870" t="s">
        <v>109</v>
      </c>
      <c r="K870" t="s">
        <v>110</v>
      </c>
      <c r="L870" s="4">
        <v>41559.208333333336</v>
      </c>
      <c r="M870" s="4" t="s">
        <v>56</v>
      </c>
      <c r="N870" s="4" t="s">
        <v>117</v>
      </c>
      <c r="O870" s="4">
        <v>41570.208333333336</v>
      </c>
      <c r="P870" t="b">
        <v>0</v>
      </c>
      <c r="Q870" t="b">
        <v>0</v>
      </c>
      <c r="R870" t="s">
        <v>124</v>
      </c>
      <c r="S870" t="str" cm="1">
        <f t="array" ref="S870:T870">_xlfn.TEXTSPLIT(R870, "/", , FALSE)</f>
        <v>theater</v>
      </c>
      <c r="T870" t="str">
        <v>plays</v>
      </c>
    </row>
    <row r="871" spans="1:20" ht="17" x14ac:dyDescent="0.2">
      <c r="A871">
        <v>869</v>
      </c>
      <c r="B871" t="s">
        <v>1866</v>
      </c>
      <c r="C871" s="3" t="s">
        <v>1867</v>
      </c>
      <c r="D871">
        <v>161900</v>
      </c>
      <c r="E871">
        <v>38376</v>
      </c>
      <c r="F871" s="5">
        <f t="shared" si="26"/>
        <v>0.23703520691785052</v>
      </c>
      <c r="G871" t="s">
        <v>6</v>
      </c>
      <c r="H871">
        <v>526</v>
      </c>
      <c r="I871">
        <f t="shared" si="27"/>
        <v>72.958174904942965</v>
      </c>
      <c r="J871" t="s">
        <v>109</v>
      </c>
      <c r="K871" t="s">
        <v>110</v>
      </c>
      <c r="L871" s="4">
        <v>40350.208333333336</v>
      </c>
      <c r="M871" s="4" t="s">
        <v>52</v>
      </c>
      <c r="N871" s="4" t="s">
        <v>140</v>
      </c>
      <c r="O871" s="4">
        <v>40364.208333333336</v>
      </c>
      <c r="P871" t="b">
        <v>0</v>
      </c>
      <c r="Q871" t="b">
        <v>0</v>
      </c>
      <c r="R871" t="s">
        <v>146</v>
      </c>
      <c r="S871" t="str" cm="1">
        <f t="array" ref="S871:T871">_xlfn.TEXTSPLIT(R871, "/", , FALSE)</f>
        <v>film &amp; video</v>
      </c>
      <c r="T871" t="str">
        <v>drama</v>
      </c>
    </row>
    <row r="872" spans="1:20" ht="17" x14ac:dyDescent="0.2">
      <c r="A872">
        <v>870</v>
      </c>
      <c r="B872" t="s">
        <v>1868</v>
      </c>
      <c r="C872" s="3" t="s">
        <v>1869</v>
      </c>
      <c r="D872">
        <v>7700</v>
      </c>
      <c r="E872">
        <v>6920</v>
      </c>
      <c r="F872" s="5">
        <f t="shared" si="26"/>
        <v>0.89870129870129867</v>
      </c>
      <c r="G872" t="s">
        <v>6</v>
      </c>
      <c r="H872">
        <v>121</v>
      </c>
      <c r="I872">
        <f t="shared" si="27"/>
        <v>57.190082644628099</v>
      </c>
      <c r="J872" t="s">
        <v>109</v>
      </c>
      <c r="K872" t="s">
        <v>110</v>
      </c>
      <c r="L872" s="4">
        <v>42240.208333333328</v>
      </c>
      <c r="M872" s="4" t="s">
        <v>54</v>
      </c>
      <c r="N872" s="4" t="s">
        <v>105</v>
      </c>
      <c r="O872" s="4">
        <v>42265.208333333328</v>
      </c>
      <c r="P872" t="b">
        <v>0</v>
      </c>
      <c r="Q872" t="b">
        <v>0</v>
      </c>
      <c r="R872" t="s">
        <v>124</v>
      </c>
      <c r="S872" t="str" cm="1">
        <f t="array" ref="S872:T872">_xlfn.TEXTSPLIT(R872, "/", , FALSE)</f>
        <v>theater</v>
      </c>
      <c r="T872" t="str">
        <v>plays</v>
      </c>
    </row>
    <row r="873" spans="1:20" ht="34" x14ac:dyDescent="0.2">
      <c r="A873">
        <v>871</v>
      </c>
      <c r="B873" t="s">
        <v>1870</v>
      </c>
      <c r="C873" s="3" t="s">
        <v>1871</v>
      </c>
      <c r="D873">
        <v>71500</v>
      </c>
      <c r="E873">
        <v>194912</v>
      </c>
      <c r="F873" s="5">
        <f t="shared" si="26"/>
        <v>2.7260419580419581</v>
      </c>
      <c r="G873" t="s">
        <v>8</v>
      </c>
      <c r="H873">
        <v>2320</v>
      </c>
      <c r="I873">
        <f t="shared" si="27"/>
        <v>84.013793103448279</v>
      </c>
      <c r="J873" t="s">
        <v>109</v>
      </c>
      <c r="K873" t="s">
        <v>110</v>
      </c>
      <c r="L873" s="4">
        <v>43040.208333333328</v>
      </c>
      <c r="M873" s="4" t="s">
        <v>57</v>
      </c>
      <c r="N873" s="4" t="s">
        <v>134</v>
      </c>
      <c r="O873" s="4">
        <v>43058.25</v>
      </c>
      <c r="P873" t="b">
        <v>0</v>
      </c>
      <c r="Q873" t="b">
        <v>1</v>
      </c>
      <c r="R873" t="s">
        <v>124</v>
      </c>
      <c r="S873" t="str" cm="1">
        <f t="array" ref="S873:T873">_xlfn.TEXTSPLIT(R873, "/", , FALSE)</f>
        <v>theater</v>
      </c>
      <c r="T873" t="str">
        <v>plays</v>
      </c>
    </row>
    <row r="874" spans="1:20" ht="17" x14ac:dyDescent="0.2">
      <c r="A874">
        <v>872</v>
      </c>
      <c r="B874" t="s">
        <v>1872</v>
      </c>
      <c r="C874" s="3" t="s">
        <v>1873</v>
      </c>
      <c r="D874">
        <v>4700</v>
      </c>
      <c r="E874">
        <v>7992</v>
      </c>
      <c r="F874" s="5">
        <f t="shared" si="26"/>
        <v>1.7004255319148935</v>
      </c>
      <c r="G874" t="s">
        <v>8</v>
      </c>
      <c r="H874">
        <v>81</v>
      </c>
      <c r="I874">
        <f t="shared" si="27"/>
        <v>98.666666666666671</v>
      </c>
      <c r="J874" t="s">
        <v>115</v>
      </c>
      <c r="K874" t="s">
        <v>116</v>
      </c>
      <c r="L874" s="4">
        <v>43346.208333333328</v>
      </c>
      <c r="M874" s="4" t="s">
        <v>55</v>
      </c>
      <c r="N874" s="4" t="s">
        <v>169</v>
      </c>
      <c r="O874" s="4">
        <v>43351.208333333328</v>
      </c>
      <c r="P874" t="b">
        <v>0</v>
      </c>
      <c r="Q874" t="b">
        <v>0</v>
      </c>
      <c r="R874" t="s">
        <v>569</v>
      </c>
      <c r="S874" t="str" cm="1">
        <f t="array" ref="S874:T874">_xlfn.TEXTSPLIT(R874, "/", , FALSE)</f>
        <v>film &amp; video</v>
      </c>
      <c r="T874" t="str">
        <v>science fiction</v>
      </c>
    </row>
    <row r="875" spans="1:20" ht="17" x14ac:dyDescent="0.2">
      <c r="A875">
        <v>873</v>
      </c>
      <c r="B875" t="s">
        <v>1874</v>
      </c>
      <c r="C875" s="3" t="s">
        <v>1875</v>
      </c>
      <c r="D875">
        <v>42100</v>
      </c>
      <c r="E875">
        <v>79268</v>
      </c>
      <c r="F875" s="5">
        <f t="shared" si="26"/>
        <v>1.8828503562945369</v>
      </c>
      <c r="G875" t="s">
        <v>8</v>
      </c>
      <c r="H875">
        <v>1887</v>
      </c>
      <c r="I875">
        <f t="shared" si="27"/>
        <v>42.007419183889773</v>
      </c>
      <c r="J875" t="s">
        <v>109</v>
      </c>
      <c r="K875" t="s">
        <v>110</v>
      </c>
      <c r="L875" s="4">
        <v>41647.25</v>
      </c>
      <c r="M875" s="4" t="s">
        <v>47</v>
      </c>
      <c r="N875" s="4" t="s">
        <v>111</v>
      </c>
      <c r="O875" s="4">
        <v>41652.25</v>
      </c>
      <c r="P875" t="b">
        <v>0</v>
      </c>
      <c r="Q875" t="b">
        <v>0</v>
      </c>
      <c r="R875" t="s">
        <v>217</v>
      </c>
      <c r="S875" t="str" cm="1">
        <f t="array" ref="S875:T875">_xlfn.TEXTSPLIT(R875, "/", , FALSE)</f>
        <v>photography</v>
      </c>
      <c r="T875" t="str">
        <v>photography books</v>
      </c>
    </row>
    <row r="876" spans="1:20" ht="17" x14ac:dyDescent="0.2">
      <c r="A876">
        <v>874</v>
      </c>
      <c r="B876" t="s">
        <v>1876</v>
      </c>
      <c r="C876" s="3" t="s">
        <v>1877</v>
      </c>
      <c r="D876">
        <v>40200</v>
      </c>
      <c r="E876">
        <v>139468</v>
      </c>
      <c r="F876" s="5">
        <f t="shared" si="26"/>
        <v>3.4693532338308457</v>
      </c>
      <c r="G876" t="s">
        <v>8</v>
      </c>
      <c r="H876">
        <v>4358</v>
      </c>
      <c r="I876">
        <f t="shared" si="27"/>
        <v>32.002753556677376</v>
      </c>
      <c r="J876" t="s">
        <v>109</v>
      </c>
      <c r="K876" t="s">
        <v>110</v>
      </c>
      <c r="L876" s="4">
        <v>40291.208333333336</v>
      </c>
      <c r="M876" s="4" t="s">
        <v>50</v>
      </c>
      <c r="N876" s="4" t="s">
        <v>140</v>
      </c>
      <c r="O876" s="4">
        <v>40329.208333333336</v>
      </c>
      <c r="P876" t="b">
        <v>0</v>
      </c>
      <c r="Q876" t="b">
        <v>1</v>
      </c>
      <c r="R876" t="s">
        <v>217</v>
      </c>
      <c r="S876" t="str" cm="1">
        <f t="array" ref="S876:T876">_xlfn.TEXTSPLIT(R876, "/", , FALSE)</f>
        <v>photography</v>
      </c>
      <c r="T876" t="str">
        <v>photography books</v>
      </c>
    </row>
    <row r="877" spans="1:20" ht="17" x14ac:dyDescent="0.2">
      <c r="A877">
        <v>875</v>
      </c>
      <c r="B877" t="s">
        <v>1878</v>
      </c>
      <c r="C877" s="3" t="s">
        <v>1879</v>
      </c>
      <c r="D877">
        <v>7900</v>
      </c>
      <c r="E877">
        <v>5465</v>
      </c>
      <c r="F877" s="5">
        <f t="shared" si="26"/>
        <v>0.6917721518987342</v>
      </c>
      <c r="G877" t="s">
        <v>6</v>
      </c>
      <c r="H877">
        <v>67</v>
      </c>
      <c r="I877">
        <f t="shared" si="27"/>
        <v>81.567164179104481</v>
      </c>
      <c r="J877" t="s">
        <v>109</v>
      </c>
      <c r="K877" t="s">
        <v>110</v>
      </c>
      <c r="L877" s="4">
        <v>40556.25</v>
      </c>
      <c r="M877" s="4" t="s">
        <v>47</v>
      </c>
      <c r="N877" s="4" t="s">
        <v>165</v>
      </c>
      <c r="O877" s="4">
        <v>40557.25</v>
      </c>
      <c r="P877" t="b">
        <v>0</v>
      </c>
      <c r="Q877" t="b">
        <v>0</v>
      </c>
      <c r="R877" t="s">
        <v>112</v>
      </c>
      <c r="S877" t="str" cm="1">
        <f t="array" ref="S877:T877">_xlfn.TEXTSPLIT(R877, "/", , FALSE)</f>
        <v>music</v>
      </c>
      <c r="T877" t="str">
        <v>rock</v>
      </c>
    </row>
    <row r="878" spans="1:20" ht="34" x14ac:dyDescent="0.2">
      <c r="A878">
        <v>876</v>
      </c>
      <c r="B878" t="s">
        <v>1880</v>
      </c>
      <c r="C878" s="3" t="s">
        <v>1881</v>
      </c>
      <c r="D878">
        <v>8300</v>
      </c>
      <c r="E878">
        <v>2111</v>
      </c>
      <c r="F878" s="5">
        <f t="shared" si="26"/>
        <v>0.25433734939759034</v>
      </c>
      <c r="G878" t="s">
        <v>6</v>
      </c>
      <c r="H878">
        <v>57</v>
      </c>
      <c r="I878">
        <f t="shared" si="27"/>
        <v>37.035087719298247</v>
      </c>
      <c r="J878" t="s">
        <v>103</v>
      </c>
      <c r="K878" t="s">
        <v>104</v>
      </c>
      <c r="L878" s="4">
        <v>43624.208333333328</v>
      </c>
      <c r="M878" s="4" t="s">
        <v>52</v>
      </c>
      <c r="N878" s="4" t="s">
        <v>121</v>
      </c>
      <c r="O878" s="4">
        <v>43648.208333333328</v>
      </c>
      <c r="P878" t="b">
        <v>0</v>
      </c>
      <c r="Q878" t="b">
        <v>0</v>
      </c>
      <c r="R878" t="s">
        <v>217</v>
      </c>
      <c r="S878" t="str" cm="1">
        <f t="array" ref="S878:T878">_xlfn.TEXTSPLIT(R878, "/", , FALSE)</f>
        <v>photography</v>
      </c>
      <c r="T878" t="str">
        <v>photography books</v>
      </c>
    </row>
    <row r="879" spans="1:20" ht="17" x14ac:dyDescent="0.2">
      <c r="A879">
        <v>877</v>
      </c>
      <c r="B879" t="s">
        <v>1882</v>
      </c>
      <c r="C879" s="3" t="s">
        <v>1883</v>
      </c>
      <c r="D879">
        <v>163600</v>
      </c>
      <c r="E879">
        <v>126628</v>
      </c>
      <c r="F879" s="5">
        <f t="shared" si="26"/>
        <v>0.77400977995110021</v>
      </c>
      <c r="G879" t="s">
        <v>6</v>
      </c>
      <c r="H879">
        <v>1229</v>
      </c>
      <c r="I879">
        <f t="shared" si="27"/>
        <v>103.033360455655</v>
      </c>
      <c r="J879" t="s">
        <v>109</v>
      </c>
      <c r="K879" t="s">
        <v>110</v>
      </c>
      <c r="L879" s="4">
        <v>42577.208333333328</v>
      </c>
      <c r="M879" s="4" t="s">
        <v>53</v>
      </c>
      <c r="N879" s="4" t="s">
        <v>153</v>
      </c>
      <c r="O879" s="4">
        <v>42578.208333333328</v>
      </c>
      <c r="P879" t="b">
        <v>0</v>
      </c>
      <c r="Q879" t="b">
        <v>0</v>
      </c>
      <c r="R879" t="s">
        <v>106</v>
      </c>
      <c r="S879" t="str" cm="1">
        <f t="array" ref="S879:T879">_xlfn.TEXTSPLIT(R879, "/", , FALSE)</f>
        <v>food</v>
      </c>
      <c r="T879" t="str">
        <v>food trucks</v>
      </c>
    </row>
    <row r="880" spans="1:20" ht="17" x14ac:dyDescent="0.2">
      <c r="A880">
        <v>878</v>
      </c>
      <c r="B880" t="s">
        <v>1884</v>
      </c>
      <c r="C880" s="3" t="s">
        <v>1885</v>
      </c>
      <c r="D880">
        <v>2700</v>
      </c>
      <c r="E880">
        <v>1012</v>
      </c>
      <c r="F880" s="5">
        <f t="shared" si="26"/>
        <v>0.37481481481481482</v>
      </c>
      <c r="G880" t="s">
        <v>6</v>
      </c>
      <c r="H880">
        <v>12</v>
      </c>
      <c r="I880">
        <f t="shared" si="27"/>
        <v>84.333333333333329</v>
      </c>
      <c r="J880" t="s">
        <v>202</v>
      </c>
      <c r="K880" t="s">
        <v>203</v>
      </c>
      <c r="L880" s="4">
        <v>43845.25</v>
      </c>
      <c r="M880" s="4" t="s">
        <v>47</v>
      </c>
      <c r="N880" s="4" t="s">
        <v>1389</v>
      </c>
      <c r="O880" s="4">
        <v>43869.25</v>
      </c>
      <c r="P880" t="b">
        <v>0</v>
      </c>
      <c r="Q880" t="b">
        <v>0</v>
      </c>
      <c r="R880" t="s">
        <v>243</v>
      </c>
      <c r="S880" t="str" cm="1">
        <f t="array" ref="S880:T880">_xlfn.TEXTSPLIT(R880, "/", , FALSE)</f>
        <v>music</v>
      </c>
      <c r="T880" t="str">
        <v>metal</v>
      </c>
    </row>
    <row r="881" spans="1:20" ht="17" x14ac:dyDescent="0.2">
      <c r="A881">
        <v>879</v>
      </c>
      <c r="B881" t="s">
        <v>1886</v>
      </c>
      <c r="C881" s="3" t="s">
        <v>1887</v>
      </c>
      <c r="D881">
        <v>1000</v>
      </c>
      <c r="E881">
        <v>5438</v>
      </c>
      <c r="F881" s="5">
        <f t="shared" si="26"/>
        <v>5.4379999999999997</v>
      </c>
      <c r="G881" t="s">
        <v>8</v>
      </c>
      <c r="H881">
        <v>53</v>
      </c>
      <c r="I881">
        <f t="shared" si="27"/>
        <v>102.60377358490567</v>
      </c>
      <c r="J881" t="s">
        <v>109</v>
      </c>
      <c r="K881" t="s">
        <v>110</v>
      </c>
      <c r="L881" s="4">
        <v>42788.25</v>
      </c>
      <c r="M881" s="4" t="s">
        <v>48</v>
      </c>
      <c r="N881" s="4" t="s">
        <v>134</v>
      </c>
      <c r="O881" s="4">
        <v>42797.25</v>
      </c>
      <c r="P881" t="b">
        <v>0</v>
      </c>
      <c r="Q881" t="b">
        <v>0</v>
      </c>
      <c r="R881" t="s">
        <v>162</v>
      </c>
      <c r="S881" t="str" cm="1">
        <f t="array" ref="S881:T881">_xlfn.TEXTSPLIT(R881, "/", , FALSE)</f>
        <v>publishing</v>
      </c>
      <c r="T881" t="str">
        <v>nonfiction</v>
      </c>
    </row>
    <row r="882" spans="1:20" ht="17" x14ac:dyDescent="0.2">
      <c r="A882">
        <v>880</v>
      </c>
      <c r="B882" t="s">
        <v>1888</v>
      </c>
      <c r="C882" s="3" t="s">
        <v>1889</v>
      </c>
      <c r="D882">
        <v>84500</v>
      </c>
      <c r="E882">
        <v>193101</v>
      </c>
      <c r="F882" s="5">
        <f t="shared" si="26"/>
        <v>2.2852189349112426</v>
      </c>
      <c r="G882" t="s">
        <v>8</v>
      </c>
      <c r="H882">
        <v>2414</v>
      </c>
      <c r="I882">
        <f t="shared" si="27"/>
        <v>79.992129246064621</v>
      </c>
      <c r="J882" t="s">
        <v>109</v>
      </c>
      <c r="K882" t="s">
        <v>110</v>
      </c>
      <c r="L882" s="4">
        <v>43667.208333333328</v>
      </c>
      <c r="M882" s="4" t="s">
        <v>53</v>
      </c>
      <c r="N882" s="4" t="s">
        <v>121</v>
      </c>
      <c r="O882" s="4">
        <v>43669.208333333328</v>
      </c>
      <c r="P882" t="b">
        <v>0</v>
      </c>
      <c r="Q882" t="b">
        <v>0</v>
      </c>
      <c r="R882" t="s">
        <v>143</v>
      </c>
      <c r="S882" t="str" cm="1">
        <f t="array" ref="S882:T882">_xlfn.TEXTSPLIT(R882, "/", , FALSE)</f>
        <v>music</v>
      </c>
      <c r="T882" t="str">
        <v>electric music</v>
      </c>
    </row>
    <row r="883" spans="1:20" ht="17" x14ac:dyDescent="0.2">
      <c r="A883">
        <v>881</v>
      </c>
      <c r="B883" t="s">
        <v>1890</v>
      </c>
      <c r="C883" s="3" t="s">
        <v>1891</v>
      </c>
      <c r="D883">
        <v>81300</v>
      </c>
      <c r="E883">
        <v>31665</v>
      </c>
      <c r="F883" s="5">
        <f t="shared" si="26"/>
        <v>0.38948339483394834</v>
      </c>
      <c r="G883" t="s">
        <v>6</v>
      </c>
      <c r="H883">
        <v>452</v>
      </c>
      <c r="I883">
        <f t="shared" si="27"/>
        <v>70.055309734513273</v>
      </c>
      <c r="J883" t="s">
        <v>109</v>
      </c>
      <c r="K883" t="s">
        <v>110</v>
      </c>
      <c r="L883" s="4">
        <v>42194.208333333328</v>
      </c>
      <c r="M883" s="4" t="s">
        <v>53</v>
      </c>
      <c r="N883" s="4" t="s">
        <v>105</v>
      </c>
      <c r="O883" s="4">
        <v>42223.208333333328</v>
      </c>
      <c r="P883" t="b">
        <v>0</v>
      </c>
      <c r="Q883" t="b">
        <v>1</v>
      </c>
      <c r="R883" t="s">
        <v>124</v>
      </c>
      <c r="S883" t="str" cm="1">
        <f t="array" ref="S883:T883">_xlfn.TEXTSPLIT(R883, "/", , FALSE)</f>
        <v>theater</v>
      </c>
      <c r="T883" t="str">
        <v>plays</v>
      </c>
    </row>
    <row r="884" spans="1:20" ht="17" x14ac:dyDescent="0.2">
      <c r="A884">
        <v>882</v>
      </c>
      <c r="B884" t="s">
        <v>1892</v>
      </c>
      <c r="C884" s="3" t="s">
        <v>1893</v>
      </c>
      <c r="D884">
        <v>800</v>
      </c>
      <c r="E884">
        <v>2960</v>
      </c>
      <c r="F884" s="5">
        <f t="shared" si="26"/>
        <v>3.7</v>
      </c>
      <c r="G884" t="s">
        <v>8</v>
      </c>
      <c r="H884">
        <v>80</v>
      </c>
      <c r="I884">
        <f t="shared" si="27"/>
        <v>37</v>
      </c>
      <c r="J884" t="s">
        <v>109</v>
      </c>
      <c r="K884" t="s">
        <v>110</v>
      </c>
      <c r="L884" s="4">
        <v>42025.25</v>
      </c>
      <c r="M884" s="4" t="s">
        <v>47</v>
      </c>
      <c r="N884" s="4" t="s">
        <v>105</v>
      </c>
      <c r="O884" s="4">
        <v>42029.25</v>
      </c>
      <c r="P884" t="b">
        <v>0</v>
      </c>
      <c r="Q884" t="b">
        <v>0</v>
      </c>
      <c r="R884" t="s">
        <v>124</v>
      </c>
      <c r="S884" t="str" cm="1">
        <f t="array" ref="S884:T884">_xlfn.TEXTSPLIT(R884, "/", , FALSE)</f>
        <v>theater</v>
      </c>
      <c r="T884" t="str">
        <v>plays</v>
      </c>
    </row>
    <row r="885" spans="1:20" ht="34" x14ac:dyDescent="0.2">
      <c r="A885">
        <v>883</v>
      </c>
      <c r="B885" t="s">
        <v>1894</v>
      </c>
      <c r="C885" s="3" t="s">
        <v>1895</v>
      </c>
      <c r="D885">
        <v>3400</v>
      </c>
      <c r="E885">
        <v>8089</v>
      </c>
      <c r="F885" s="5">
        <f t="shared" si="26"/>
        <v>2.3791176470588233</v>
      </c>
      <c r="G885" t="s">
        <v>8</v>
      </c>
      <c r="H885">
        <v>193</v>
      </c>
      <c r="I885">
        <f t="shared" si="27"/>
        <v>41.911917098445599</v>
      </c>
      <c r="J885" t="s">
        <v>109</v>
      </c>
      <c r="K885" t="s">
        <v>110</v>
      </c>
      <c r="L885" s="4">
        <v>40323.208333333336</v>
      </c>
      <c r="M885" s="4" t="s">
        <v>51</v>
      </c>
      <c r="N885" s="4" t="s">
        <v>140</v>
      </c>
      <c r="O885" s="4">
        <v>40359.208333333336</v>
      </c>
      <c r="P885" t="b">
        <v>0</v>
      </c>
      <c r="Q885" t="b">
        <v>0</v>
      </c>
      <c r="R885" t="s">
        <v>195</v>
      </c>
      <c r="S885" t="str" cm="1">
        <f t="array" ref="S885:T885">_xlfn.TEXTSPLIT(R885, "/", , FALSE)</f>
        <v>film &amp; video</v>
      </c>
      <c r="T885" t="str">
        <v>shorts</v>
      </c>
    </row>
    <row r="886" spans="1:20" ht="17" x14ac:dyDescent="0.2">
      <c r="A886">
        <v>884</v>
      </c>
      <c r="B886" t="s">
        <v>1896</v>
      </c>
      <c r="C886" s="3" t="s">
        <v>1897</v>
      </c>
      <c r="D886">
        <v>170800</v>
      </c>
      <c r="E886">
        <v>109374</v>
      </c>
      <c r="F886" s="5">
        <f t="shared" si="26"/>
        <v>0.64036299765807958</v>
      </c>
      <c r="G886" t="s">
        <v>6</v>
      </c>
      <c r="H886">
        <v>1886</v>
      </c>
      <c r="I886">
        <f t="shared" si="27"/>
        <v>57.992576882290564</v>
      </c>
      <c r="J886" t="s">
        <v>109</v>
      </c>
      <c r="K886" t="s">
        <v>110</v>
      </c>
      <c r="L886" s="4">
        <v>41763.208333333336</v>
      </c>
      <c r="M886" s="4" t="s">
        <v>51</v>
      </c>
      <c r="N886" s="4" t="s">
        <v>111</v>
      </c>
      <c r="O886" s="4">
        <v>41765.208333333336</v>
      </c>
      <c r="P886" t="b">
        <v>0</v>
      </c>
      <c r="Q886" t="b">
        <v>1</v>
      </c>
      <c r="R886" t="s">
        <v>124</v>
      </c>
      <c r="S886" t="str" cm="1">
        <f t="array" ref="S886:T886">_xlfn.TEXTSPLIT(R886, "/", , FALSE)</f>
        <v>theater</v>
      </c>
      <c r="T886" t="str">
        <v>plays</v>
      </c>
    </row>
    <row r="887" spans="1:20" ht="17" x14ac:dyDescent="0.2">
      <c r="A887">
        <v>885</v>
      </c>
      <c r="B887" t="s">
        <v>1898</v>
      </c>
      <c r="C887" s="3" t="s">
        <v>1899</v>
      </c>
      <c r="D887">
        <v>1800</v>
      </c>
      <c r="E887">
        <v>2129</v>
      </c>
      <c r="F887" s="5">
        <f t="shared" si="26"/>
        <v>1.1827777777777777</v>
      </c>
      <c r="G887" t="s">
        <v>8</v>
      </c>
      <c r="H887">
        <v>52</v>
      </c>
      <c r="I887">
        <f t="shared" si="27"/>
        <v>40.942307692307693</v>
      </c>
      <c r="J887" t="s">
        <v>109</v>
      </c>
      <c r="K887" t="s">
        <v>110</v>
      </c>
      <c r="L887" s="4">
        <v>40335.208333333336</v>
      </c>
      <c r="M887" s="4" t="s">
        <v>52</v>
      </c>
      <c r="N887" s="4" t="s">
        <v>140</v>
      </c>
      <c r="O887" s="4">
        <v>40373.208333333336</v>
      </c>
      <c r="P887" t="b">
        <v>0</v>
      </c>
      <c r="Q887" t="b">
        <v>0</v>
      </c>
      <c r="R887" t="s">
        <v>124</v>
      </c>
      <c r="S887" t="str" cm="1">
        <f t="array" ref="S887:T887">_xlfn.TEXTSPLIT(R887, "/", , FALSE)</f>
        <v>theater</v>
      </c>
      <c r="T887" t="str">
        <v>plays</v>
      </c>
    </row>
    <row r="888" spans="1:20" ht="17" x14ac:dyDescent="0.2">
      <c r="A888">
        <v>886</v>
      </c>
      <c r="B888" t="s">
        <v>1900</v>
      </c>
      <c r="C888" s="3" t="s">
        <v>1901</v>
      </c>
      <c r="D888">
        <v>150600</v>
      </c>
      <c r="E888">
        <v>127745</v>
      </c>
      <c r="F888" s="5">
        <f t="shared" si="26"/>
        <v>0.84824037184594958</v>
      </c>
      <c r="G888" t="s">
        <v>6</v>
      </c>
      <c r="H888">
        <v>1825</v>
      </c>
      <c r="I888">
        <f t="shared" si="27"/>
        <v>69.9972602739726</v>
      </c>
      <c r="J888" t="s">
        <v>109</v>
      </c>
      <c r="K888" t="s">
        <v>110</v>
      </c>
      <c r="L888" s="4">
        <v>40416.208333333336</v>
      </c>
      <c r="M888" s="4" t="s">
        <v>54</v>
      </c>
      <c r="N888" s="4" t="s">
        <v>140</v>
      </c>
      <c r="O888" s="4">
        <v>40434.208333333336</v>
      </c>
      <c r="P888" t="b">
        <v>0</v>
      </c>
      <c r="Q888" t="b">
        <v>0</v>
      </c>
      <c r="R888" t="s">
        <v>154</v>
      </c>
      <c r="S888" t="str" cm="1">
        <f t="array" ref="S888:T888">_xlfn.TEXTSPLIT(R888, "/", , FALSE)</f>
        <v>music</v>
      </c>
      <c r="T888" t="str">
        <v>indie rock</v>
      </c>
    </row>
    <row r="889" spans="1:20" ht="34" x14ac:dyDescent="0.2">
      <c r="A889">
        <v>887</v>
      </c>
      <c r="B889" t="s">
        <v>1902</v>
      </c>
      <c r="C889" s="3" t="s">
        <v>1903</v>
      </c>
      <c r="D889">
        <v>7800</v>
      </c>
      <c r="E889">
        <v>2289</v>
      </c>
      <c r="F889" s="5">
        <f t="shared" si="26"/>
        <v>0.29346153846153844</v>
      </c>
      <c r="G889" t="s">
        <v>6</v>
      </c>
      <c r="H889">
        <v>31</v>
      </c>
      <c r="I889">
        <f t="shared" si="27"/>
        <v>73.838709677419359</v>
      </c>
      <c r="J889" t="s">
        <v>109</v>
      </c>
      <c r="K889" t="s">
        <v>110</v>
      </c>
      <c r="L889" s="4">
        <v>42202.208333333328</v>
      </c>
      <c r="M889" s="4" t="s">
        <v>53</v>
      </c>
      <c r="N889" s="4" t="s">
        <v>105</v>
      </c>
      <c r="O889" s="4">
        <v>42249.208333333328</v>
      </c>
      <c r="P889" t="b">
        <v>0</v>
      </c>
      <c r="Q889" t="b">
        <v>1</v>
      </c>
      <c r="R889" t="s">
        <v>124</v>
      </c>
      <c r="S889" t="str" cm="1">
        <f t="array" ref="S889:T889">_xlfn.TEXTSPLIT(R889, "/", , FALSE)</f>
        <v>theater</v>
      </c>
      <c r="T889" t="str">
        <v>plays</v>
      </c>
    </row>
    <row r="890" spans="1:20" ht="34" x14ac:dyDescent="0.2">
      <c r="A890">
        <v>888</v>
      </c>
      <c r="B890" t="s">
        <v>1904</v>
      </c>
      <c r="C890" s="3" t="s">
        <v>1905</v>
      </c>
      <c r="D890">
        <v>5800</v>
      </c>
      <c r="E890">
        <v>12174</v>
      </c>
      <c r="F890" s="5">
        <f t="shared" si="26"/>
        <v>2.0989655172413793</v>
      </c>
      <c r="G890" t="s">
        <v>8</v>
      </c>
      <c r="H890">
        <v>290</v>
      </c>
      <c r="I890">
        <f t="shared" si="27"/>
        <v>41.979310344827589</v>
      </c>
      <c r="J890" t="s">
        <v>109</v>
      </c>
      <c r="K890" t="s">
        <v>110</v>
      </c>
      <c r="L890" s="4">
        <v>42836.208333333328</v>
      </c>
      <c r="M890" s="4" t="s">
        <v>50</v>
      </c>
      <c r="N890" s="4" t="s">
        <v>134</v>
      </c>
      <c r="O890" s="4">
        <v>42855.208333333328</v>
      </c>
      <c r="P890" t="b">
        <v>0</v>
      </c>
      <c r="Q890" t="b">
        <v>0</v>
      </c>
      <c r="R890" t="s">
        <v>124</v>
      </c>
      <c r="S890" t="str" cm="1">
        <f t="array" ref="S890:T890">_xlfn.TEXTSPLIT(R890, "/", , FALSE)</f>
        <v>theater</v>
      </c>
      <c r="T890" t="str">
        <v>plays</v>
      </c>
    </row>
    <row r="891" spans="1:20" ht="17" x14ac:dyDescent="0.2">
      <c r="A891">
        <v>889</v>
      </c>
      <c r="B891" t="s">
        <v>1906</v>
      </c>
      <c r="C891" s="3" t="s">
        <v>1907</v>
      </c>
      <c r="D891">
        <v>5600</v>
      </c>
      <c r="E891">
        <v>9508</v>
      </c>
      <c r="F891" s="5">
        <f t="shared" si="26"/>
        <v>1.697857142857143</v>
      </c>
      <c r="G891" t="s">
        <v>8</v>
      </c>
      <c r="H891">
        <v>122</v>
      </c>
      <c r="I891">
        <f t="shared" si="27"/>
        <v>77.93442622950819</v>
      </c>
      <c r="J891" t="s">
        <v>109</v>
      </c>
      <c r="K891" t="s">
        <v>110</v>
      </c>
      <c r="L891" s="4">
        <v>41710.208333333336</v>
      </c>
      <c r="M891" s="4" t="s">
        <v>49</v>
      </c>
      <c r="N891" s="4" t="s">
        <v>111</v>
      </c>
      <c r="O891" s="4">
        <v>41717.208333333336</v>
      </c>
      <c r="P891" t="b">
        <v>0</v>
      </c>
      <c r="Q891" t="b">
        <v>1</v>
      </c>
      <c r="R891" t="s">
        <v>143</v>
      </c>
      <c r="S891" t="str" cm="1">
        <f t="array" ref="S891:T891">_xlfn.TEXTSPLIT(R891, "/", , FALSE)</f>
        <v>music</v>
      </c>
      <c r="T891" t="str">
        <v>electric music</v>
      </c>
    </row>
    <row r="892" spans="1:20" ht="17" x14ac:dyDescent="0.2">
      <c r="A892">
        <v>890</v>
      </c>
      <c r="B892" t="s">
        <v>1908</v>
      </c>
      <c r="C892" s="3" t="s">
        <v>1909</v>
      </c>
      <c r="D892">
        <v>134400</v>
      </c>
      <c r="E892">
        <v>155849</v>
      </c>
      <c r="F892" s="5">
        <f t="shared" si="26"/>
        <v>1.1595907738095239</v>
      </c>
      <c r="G892" t="s">
        <v>8</v>
      </c>
      <c r="H892">
        <v>1470</v>
      </c>
      <c r="I892">
        <f t="shared" si="27"/>
        <v>106.01972789115646</v>
      </c>
      <c r="J892" t="s">
        <v>109</v>
      </c>
      <c r="K892" t="s">
        <v>110</v>
      </c>
      <c r="L892" s="4">
        <v>43640.208333333328</v>
      </c>
      <c r="M892" s="4" t="s">
        <v>52</v>
      </c>
      <c r="N892" s="4" t="s">
        <v>121</v>
      </c>
      <c r="O892" s="4">
        <v>43641.208333333328</v>
      </c>
      <c r="P892" t="b">
        <v>0</v>
      </c>
      <c r="Q892" t="b">
        <v>0</v>
      </c>
      <c r="R892" t="s">
        <v>154</v>
      </c>
      <c r="S892" t="str" cm="1">
        <f t="array" ref="S892:T892">_xlfn.TEXTSPLIT(R892, "/", , FALSE)</f>
        <v>music</v>
      </c>
      <c r="T892" t="str">
        <v>indie rock</v>
      </c>
    </row>
    <row r="893" spans="1:20" ht="34" x14ac:dyDescent="0.2">
      <c r="A893">
        <v>891</v>
      </c>
      <c r="B893" t="s">
        <v>1910</v>
      </c>
      <c r="C893" s="3" t="s">
        <v>1911</v>
      </c>
      <c r="D893">
        <v>3000</v>
      </c>
      <c r="E893">
        <v>7758</v>
      </c>
      <c r="F893" s="5">
        <f t="shared" si="26"/>
        <v>2.5859999999999999</v>
      </c>
      <c r="G893" t="s">
        <v>8</v>
      </c>
      <c r="H893">
        <v>165</v>
      </c>
      <c r="I893">
        <f t="shared" si="27"/>
        <v>47.018181818181816</v>
      </c>
      <c r="J893" t="s">
        <v>103</v>
      </c>
      <c r="K893" t="s">
        <v>104</v>
      </c>
      <c r="L893" s="4">
        <v>40880.25</v>
      </c>
      <c r="M893" s="4" t="s">
        <v>58</v>
      </c>
      <c r="N893" s="4" t="s">
        <v>165</v>
      </c>
      <c r="O893" s="4">
        <v>40924.25</v>
      </c>
      <c r="P893" t="b">
        <v>0</v>
      </c>
      <c r="Q893" t="b">
        <v>0</v>
      </c>
      <c r="R893" t="s">
        <v>135</v>
      </c>
      <c r="S893" t="str" cm="1">
        <f t="array" ref="S893:T893">_xlfn.TEXTSPLIT(R893, "/", , FALSE)</f>
        <v>film &amp; video</v>
      </c>
      <c r="T893" t="str">
        <v>documentary</v>
      </c>
    </row>
    <row r="894" spans="1:20" ht="17" x14ac:dyDescent="0.2">
      <c r="A894">
        <v>892</v>
      </c>
      <c r="B894" t="s">
        <v>1912</v>
      </c>
      <c r="C894" s="3" t="s">
        <v>1913</v>
      </c>
      <c r="D894">
        <v>6000</v>
      </c>
      <c r="E894">
        <v>13835</v>
      </c>
      <c r="F894" s="5">
        <f t="shared" si="26"/>
        <v>2.3058333333333332</v>
      </c>
      <c r="G894" t="s">
        <v>8</v>
      </c>
      <c r="H894">
        <v>182</v>
      </c>
      <c r="I894">
        <f t="shared" si="27"/>
        <v>76.016483516483518</v>
      </c>
      <c r="J894" t="s">
        <v>109</v>
      </c>
      <c r="K894" t="s">
        <v>110</v>
      </c>
      <c r="L894" s="4">
        <v>40319.208333333336</v>
      </c>
      <c r="M894" s="4" t="s">
        <v>51</v>
      </c>
      <c r="N894" s="4" t="s">
        <v>140</v>
      </c>
      <c r="O894" s="4">
        <v>40360.208333333336</v>
      </c>
      <c r="P894" t="b">
        <v>0</v>
      </c>
      <c r="Q894" t="b">
        <v>0</v>
      </c>
      <c r="R894" t="s">
        <v>301</v>
      </c>
      <c r="S894" t="str" cm="1">
        <f t="array" ref="S894:T894">_xlfn.TEXTSPLIT(R894, "/", , FALSE)</f>
        <v>publishing</v>
      </c>
      <c r="T894" t="str">
        <v>translations</v>
      </c>
    </row>
    <row r="895" spans="1:20" ht="17" x14ac:dyDescent="0.2">
      <c r="A895">
        <v>893</v>
      </c>
      <c r="B895" t="s">
        <v>1914</v>
      </c>
      <c r="C895" s="3" t="s">
        <v>1915</v>
      </c>
      <c r="D895">
        <v>8400</v>
      </c>
      <c r="E895">
        <v>10770</v>
      </c>
      <c r="F895" s="5">
        <f t="shared" si="26"/>
        <v>1.2821428571428573</v>
      </c>
      <c r="G895" t="s">
        <v>8</v>
      </c>
      <c r="H895">
        <v>199</v>
      </c>
      <c r="I895">
        <f t="shared" si="27"/>
        <v>54.120603015075375</v>
      </c>
      <c r="J895" t="s">
        <v>202</v>
      </c>
      <c r="K895" t="s">
        <v>203</v>
      </c>
      <c r="L895" s="4">
        <v>42170.208333333328</v>
      </c>
      <c r="M895" s="4" t="s">
        <v>52</v>
      </c>
      <c r="N895" s="4" t="s">
        <v>105</v>
      </c>
      <c r="O895" s="4">
        <v>42174.208333333328</v>
      </c>
      <c r="P895" t="b">
        <v>0</v>
      </c>
      <c r="Q895" t="b">
        <v>1</v>
      </c>
      <c r="R895" t="s">
        <v>135</v>
      </c>
      <c r="S895" t="str" cm="1">
        <f t="array" ref="S895:T895">_xlfn.TEXTSPLIT(R895, "/", , FALSE)</f>
        <v>film &amp; video</v>
      </c>
      <c r="T895" t="str">
        <v>documentary</v>
      </c>
    </row>
    <row r="896" spans="1:20" ht="17" x14ac:dyDescent="0.2">
      <c r="A896">
        <v>894</v>
      </c>
      <c r="B896" t="s">
        <v>1916</v>
      </c>
      <c r="C896" s="3" t="s">
        <v>1917</v>
      </c>
      <c r="D896">
        <v>1700</v>
      </c>
      <c r="E896">
        <v>3208</v>
      </c>
      <c r="F896" s="5">
        <f t="shared" si="26"/>
        <v>1.8870588235294117</v>
      </c>
      <c r="G896" t="s">
        <v>8</v>
      </c>
      <c r="H896">
        <v>56</v>
      </c>
      <c r="I896">
        <f t="shared" si="27"/>
        <v>57.285714285714285</v>
      </c>
      <c r="J896" t="s">
        <v>132</v>
      </c>
      <c r="K896" t="s">
        <v>133</v>
      </c>
      <c r="L896" s="4">
        <v>41466.208333333336</v>
      </c>
      <c r="M896" s="4" t="s">
        <v>53</v>
      </c>
      <c r="N896" s="4" t="s">
        <v>117</v>
      </c>
      <c r="O896" s="4">
        <v>41496.208333333336</v>
      </c>
      <c r="P896" t="b">
        <v>0</v>
      </c>
      <c r="Q896" t="b">
        <v>1</v>
      </c>
      <c r="R896" t="s">
        <v>364</v>
      </c>
      <c r="S896" t="str" cm="1">
        <f t="array" ref="S896:T896">_xlfn.TEXTSPLIT(R896, "/", , FALSE)</f>
        <v>film &amp; video</v>
      </c>
      <c r="T896" t="str">
        <v>television</v>
      </c>
    </row>
    <row r="897" spans="1:20" ht="34" x14ac:dyDescent="0.2">
      <c r="A897">
        <v>895</v>
      </c>
      <c r="B897" t="s">
        <v>1918</v>
      </c>
      <c r="C897" s="3" t="s">
        <v>1919</v>
      </c>
      <c r="D897">
        <v>159800</v>
      </c>
      <c r="E897">
        <v>11108</v>
      </c>
      <c r="F897" s="5">
        <f t="shared" si="26"/>
        <v>6.9511889862327911E-2</v>
      </c>
      <c r="G897" t="s">
        <v>6</v>
      </c>
      <c r="H897">
        <v>107</v>
      </c>
      <c r="I897">
        <f t="shared" si="27"/>
        <v>103.81308411214954</v>
      </c>
      <c r="J897" t="s">
        <v>109</v>
      </c>
      <c r="K897" t="s">
        <v>110</v>
      </c>
      <c r="L897" s="4">
        <v>43134.25</v>
      </c>
      <c r="M897" s="4" t="s">
        <v>48</v>
      </c>
      <c r="N897" s="4" t="s">
        <v>169</v>
      </c>
      <c r="O897" s="4">
        <v>43143.25</v>
      </c>
      <c r="P897" t="b">
        <v>0</v>
      </c>
      <c r="Q897" t="b">
        <v>0</v>
      </c>
      <c r="R897" t="s">
        <v>124</v>
      </c>
      <c r="S897" t="str" cm="1">
        <f t="array" ref="S897:T897">_xlfn.TEXTSPLIT(R897, "/", , FALSE)</f>
        <v>theater</v>
      </c>
      <c r="T897" t="str">
        <v>plays</v>
      </c>
    </row>
    <row r="898" spans="1:20" ht="34" x14ac:dyDescent="0.2">
      <c r="A898">
        <v>896</v>
      </c>
      <c r="B898" t="s">
        <v>1920</v>
      </c>
      <c r="C898" s="3" t="s">
        <v>1921</v>
      </c>
      <c r="D898">
        <v>19800</v>
      </c>
      <c r="E898">
        <v>153338</v>
      </c>
      <c r="F898" s="5">
        <f t="shared" si="26"/>
        <v>7.7443434343434348</v>
      </c>
      <c r="G898" t="s">
        <v>8</v>
      </c>
      <c r="H898">
        <v>1460</v>
      </c>
      <c r="I898">
        <f t="shared" si="27"/>
        <v>105.02602739726028</v>
      </c>
      <c r="J898" t="s">
        <v>115</v>
      </c>
      <c r="K898" t="s">
        <v>116</v>
      </c>
      <c r="L898" s="4">
        <v>40738.208333333336</v>
      </c>
      <c r="M898" s="4" t="s">
        <v>53</v>
      </c>
      <c r="N898" s="4" t="s">
        <v>165</v>
      </c>
      <c r="O898" s="4">
        <v>40741.208333333336</v>
      </c>
      <c r="P898" t="b">
        <v>0</v>
      </c>
      <c r="Q898" t="b">
        <v>1</v>
      </c>
      <c r="R898" t="s">
        <v>106</v>
      </c>
      <c r="S898" t="str" cm="1">
        <f t="array" ref="S898:T898">_xlfn.TEXTSPLIT(R898, "/", , FALSE)</f>
        <v>food</v>
      </c>
      <c r="T898" t="str">
        <v>food trucks</v>
      </c>
    </row>
    <row r="899" spans="1:20" ht="17" x14ac:dyDescent="0.2">
      <c r="A899">
        <v>897</v>
      </c>
      <c r="B899" t="s">
        <v>1922</v>
      </c>
      <c r="C899" s="3" t="s">
        <v>1923</v>
      </c>
      <c r="D899">
        <v>8800</v>
      </c>
      <c r="E899">
        <v>2437</v>
      </c>
      <c r="F899" s="5">
        <f t="shared" ref="F899:F962" si="28">E899/D899</f>
        <v>0.27693181818181817</v>
      </c>
      <c r="G899" t="s">
        <v>6</v>
      </c>
      <c r="H899">
        <v>27</v>
      </c>
      <c r="I899">
        <f t="shared" ref="I899:I962" si="29">E899/H899</f>
        <v>90.259259259259252</v>
      </c>
      <c r="J899" t="s">
        <v>109</v>
      </c>
      <c r="K899" t="s">
        <v>110</v>
      </c>
      <c r="L899" s="4">
        <v>43583.208333333328</v>
      </c>
      <c r="M899" s="4" t="s">
        <v>50</v>
      </c>
      <c r="N899" s="4" t="s">
        <v>121</v>
      </c>
      <c r="O899" s="4">
        <v>43585.208333333328</v>
      </c>
      <c r="P899" t="b">
        <v>0</v>
      </c>
      <c r="Q899" t="b">
        <v>0</v>
      </c>
      <c r="R899" t="s">
        <v>124</v>
      </c>
      <c r="S899" t="str" cm="1">
        <f t="array" ref="S899:T899">_xlfn.TEXTSPLIT(R899, "/", , FALSE)</f>
        <v>theater</v>
      </c>
      <c r="T899" t="str">
        <v>plays</v>
      </c>
    </row>
    <row r="900" spans="1:20" ht="17" x14ac:dyDescent="0.2">
      <c r="A900">
        <v>898</v>
      </c>
      <c r="B900" t="s">
        <v>1924</v>
      </c>
      <c r="C900" s="3" t="s">
        <v>1925</v>
      </c>
      <c r="D900">
        <v>179100</v>
      </c>
      <c r="E900">
        <v>93991</v>
      </c>
      <c r="F900" s="5">
        <f t="shared" si="28"/>
        <v>0.52479620323841425</v>
      </c>
      <c r="G900" t="s">
        <v>6</v>
      </c>
      <c r="H900">
        <v>1221</v>
      </c>
      <c r="I900">
        <f t="shared" si="29"/>
        <v>76.978705978705975</v>
      </c>
      <c r="J900" t="s">
        <v>109</v>
      </c>
      <c r="K900" t="s">
        <v>110</v>
      </c>
      <c r="L900" s="4">
        <v>43815.25</v>
      </c>
      <c r="M900" s="4" t="s">
        <v>58</v>
      </c>
      <c r="N900" s="4" t="s">
        <v>121</v>
      </c>
      <c r="O900" s="4">
        <v>43821.25</v>
      </c>
      <c r="P900" t="b">
        <v>0</v>
      </c>
      <c r="Q900" t="b">
        <v>0</v>
      </c>
      <c r="R900" t="s">
        <v>135</v>
      </c>
      <c r="S900" t="str" cm="1">
        <f t="array" ref="S900:T900">_xlfn.TEXTSPLIT(R900, "/", , FALSE)</f>
        <v>film &amp; video</v>
      </c>
      <c r="T900" t="str">
        <v>documentary</v>
      </c>
    </row>
    <row r="901" spans="1:20" ht="17" x14ac:dyDescent="0.2">
      <c r="A901">
        <v>899</v>
      </c>
      <c r="B901" t="s">
        <v>1926</v>
      </c>
      <c r="C901" s="3" t="s">
        <v>1927</v>
      </c>
      <c r="D901">
        <v>3100</v>
      </c>
      <c r="E901">
        <v>12620</v>
      </c>
      <c r="F901" s="5">
        <f t="shared" si="28"/>
        <v>4.0709677419354842</v>
      </c>
      <c r="G901" t="s">
        <v>8</v>
      </c>
      <c r="H901">
        <v>123</v>
      </c>
      <c r="I901">
        <f t="shared" si="29"/>
        <v>102.60162601626017</v>
      </c>
      <c r="J901" t="s">
        <v>193</v>
      </c>
      <c r="K901" t="s">
        <v>194</v>
      </c>
      <c r="L901" s="4">
        <v>41554.208333333336</v>
      </c>
      <c r="M901" s="4" t="s">
        <v>56</v>
      </c>
      <c r="N901" s="4" t="s">
        <v>117</v>
      </c>
      <c r="O901" s="4">
        <v>41572.208333333336</v>
      </c>
      <c r="P901" t="b">
        <v>0</v>
      </c>
      <c r="Q901" t="b">
        <v>0</v>
      </c>
      <c r="R901" t="s">
        <v>254</v>
      </c>
      <c r="S901" t="str" cm="1">
        <f t="array" ref="S901:T901">_xlfn.TEXTSPLIT(R901, "/", , FALSE)</f>
        <v>music</v>
      </c>
      <c r="T901" t="str">
        <v>jazz</v>
      </c>
    </row>
    <row r="902" spans="1:20" ht="17" x14ac:dyDescent="0.2">
      <c r="A902">
        <v>900</v>
      </c>
      <c r="B902" t="s">
        <v>1928</v>
      </c>
      <c r="C902" s="3" t="s">
        <v>1929</v>
      </c>
      <c r="D902">
        <v>100</v>
      </c>
      <c r="E902">
        <v>2</v>
      </c>
      <c r="F902" s="5">
        <f t="shared" si="28"/>
        <v>0.02</v>
      </c>
      <c r="G902" t="s">
        <v>6</v>
      </c>
      <c r="H902">
        <v>1</v>
      </c>
      <c r="I902">
        <f t="shared" si="29"/>
        <v>2</v>
      </c>
      <c r="J902" t="s">
        <v>109</v>
      </c>
      <c r="K902" t="s">
        <v>110</v>
      </c>
      <c r="L902" s="4">
        <v>41901.208333333336</v>
      </c>
      <c r="M902" s="4" t="s">
        <v>55</v>
      </c>
      <c r="N902" s="4" t="s">
        <v>111</v>
      </c>
      <c r="O902" s="4">
        <v>41902.208333333336</v>
      </c>
      <c r="P902" t="b">
        <v>0</v>
      </c>
      <c r="Q902" t="b">
        <v>1</v>
      </c>
      <c r="R902" t="s">
        <v>118</v>
      </c>
      <c r="S902" t="str" cm="1">
        <f t="array" ref="S902:T902">_xlfn.TEXTSPLIT(R902, "/", , FALSE)</f>
        <v>technology</v>
      </c>
      <c r="T902" t="str">
        <v>web</v>
      </c>
    </row>
    <row r="903" spans="1:20" ht="17" x14ac:dyDescent="0.2">
      <c r="A903">
        <v>901</v>
      </c>
      <c r="B903" t="s">
        <v>1930</v>
      </c>
      <c r="C903" s="3" t="s">
        <v>1931</v>
      </c>
      <c r="D903">
        <v>5600</v>
      </c>
      <c r="E903">
        <v>8746</v>
      </c>
      <c r="F903" s="5">
        <f t="shared" si="28"/>
        <v>1.5617857142857143</v>
      </c>
      <c r="G903" t="s">
        <v>8</v>
      </c>
      <c r="H903">
        <v>159</v>
      </c>
      <c r="I903">
        <f t="shared" si="29"/>
        <v>55.0062893081761</v>
      </c>
      <c r="J903" t="s">
        <v>109</v>
      </c>
      <c r="K903" t="s">
        <v>110</v>
      </c>
      <c r="L903" s="4">
        <v>43298.208333333328</v>
      </c>
      <c r="M903" s="4" t="s">
        <v>53</v>
      </c>
      <c r="N903" s="4" t="s">
        <v>169</v>
      </c>
      <c r="O903" s="4">
        <v>43331.208333333328</v>
      </c>
      <c r="P903" t="b">
        <v>0</v>
      </c>
      <c r="Q903" t="b">
        <v>1</v>
      </c>
      <c r="R903" t="s">
        <v>112</v>
      </c>
      <c r="S903" t="str" cm="1">
        <f t="array" ref="S903:T903">_xlfn.TEXTSPLIT(R903, "/", , FALSE)</f>
        <v>music</v>
      </c>
      <c r="T903" t="str">
        <v>rock</v>
      </c>
    </row>
    <row r="904" spans="1:20" ht="17" x14ac:dyDescent="0.2">
      <c r="A904">
        <v>902</v>
      </c>
      <c r="B904" t="s">
        <v>1932</v>
      </c>
      <c r="C904" s="3" t="s">
        <v>1933</v>
      </c>
      <c r="D904">
        <v>1400</v>
      </c>
      <c r="E904">
        <v>3534</v>
      </c>
      <c r="F904" s="5">
        <f t="shared" si="28"/>
        <v>2.5242857142857145</v>
      </c>
      <c r="G904" t="s">
        <v>8</v>
      </c>
      <c r="H904">
        <v>110</v>
      </c>
      <c r="I904">
        <f t="shared" si="29"/>
        <v>32.127272727272725</v>
      </c>
      <c r="J904" t="s">
        <v>109</v>
      </c>
      <c r="K904" t="s">
        <v>110</v>
      </c>
      <c r="L904" s="4">
        <v>42399.25</v>
      </c>
      <c r="M904" s="4" t="s">
        <v>47</v>
      </c>
      <c r="N904" s="4" t="s">
        <v>153</v>
      </c>
      <c r="O904" s="4">
        <v>42441.25</v>
      </c>
      <c r="P904" t="b">
        <v>0</v>
      </c>
      <c r="Q904" t="b">
        <v>0</v>
      </c>
      <c r="R904" t="s">
        <v>118</v>
      </c>
      <c r="S904" t="str" cm="1">
        <f t="array" ref="S904:T904">_xlfn.TEXTSPLIT(R904, "/", , FALSE)</f>
        <v>technology</v>
      </c>
      <c r="T904" t="str">
        <v>web</v>
      </c>
    </row>
    <row r="905" spans="1:20" ht="34" x14ac:dyDescent="0.2">
      <c r="A905">
        <v>903</v>
      </c>
      <c r="B905" t="s">
        <v>1934</v>
      </c>
      <c r="C905" s="3" t="s">
        <v>1935</v>
      </c>
      <c r="D905">
        <v>41000</v>
      </c>
      <c r="E905">
        <v>709</v>
      </c>
      <c r="F905" s="5">
        <f t="shared" si="28"/>
        <v>1.729268292682927E-2</v>
      </c>
      <c r="G905" t="s">
        <v>7</v>
      </c>
      <c r="H905">
        <v>14</v>
      </c>
      <c r="I905">
        <f t="shared" si="29"/>
        <v>50.642857142857146</v>
      </c>
      <c r="J905" t="s">
        <v>109</v>
      </c>
      <c r="K905" t="s">
        <v>110</v>
      </c>
      <c r="L905" s="4">
        <v>41034.208333333336</v>
      </c>
      <c r="M905" s="4" t="s">
        <v>51</v>
      </c>
      <c r="N905" s="4" t="s">
        <v>129</v>
      </c>
      <c r="O905" s="4">
        <v>41049.208333333336</v>
      </c>
      <c r="P905" t="b">
        <v>0</v>
      </c>
      <c r="Q905" t="b">
        <v>1</v>
      </c>
      <c r="R905" t="s">
        <v>162</v>
      </c>
      <c r="S905" t="str" cm="1">
        <f t="array" ref="S905:T905">_xlfn.TEXTSPLIT(R905, "/", , FALSE)</f>
        <v>publishing</v>
      </c>
      <c r="T905" t="str">
        <v>nonfiction</v>
      </c>
    </row>
    <row r="906" spans="1:20" ht="17" x14ac:dyDescent="0.2">
      <c r="A906">
        <v>904</v>
      </c>
      <c r="B906" t="s">
        <v>1936</v>
      </c>
      <c r="C906" s="3" t="s">
        <v>1937</v>
      </c>
      <c r="D906">
        <v>6500</v>
      </c>
      <c r="E906">
        <v>795</v>
      </c>
      <c r="F906" s="5">
        <f t="shared" si="28"/>
        <v>0.12230769230769231</v>
      </c>
      <c r="G906" t="s">
        <v>6</v>
      </c>
      <c r="H906">
        <v>16</v>
      </c>
      <c r="I906">
        <f t="shared" si="29"/>
        <v>49.6875</v>
      </c>
      <c r="J906" t="s">
        <v>109</v>
      </c>
      <c r="K906" t="s">
        <v>110</v>
      </c>
      <c r="L906" s="4">
        <v>41186.208333333336</v>
      </c>
      <c r="M906" s="4" t="s">
        <v>56</v>
      </c>
      <c r="N906" s="4" t="s">
        <v>129</v>
      </c>
      <c r="O906" s="4">
        <v>41190.208333333336</v>
      </c>
      <c r="P906" t="b">
        <v>0</v>
      </c>
      <c r="Q906" t="b">
        <v>0</v>
      </c>
      <c r="R906" t="s">
        <v>228</v>
      </c>
      <c r="S906" t="str" cm="1">
        <f t="array" ref="S906:T906">_xlfn.TEXTSPLIT(R906, "/", , FALSE)</f>
        <v>publishing</v>
      </c>
      <c r="T906" t="str">
        <v>radio &amp; podcasts</v>
      </c>
    </row>
    <row r="907" spans="1:20" ht="17" x14ac:dyDescent="0.2">
      <c r="A907">
        <v>905</v>
      </c>
      <c r="B907" t="s">
        <v>1938</v>
      </c>
      <c r="C907" s="3" t="s">
        <v>1939</v>
      </c>
      <c r="D907">
        <v>7900</v>
      </c>
      <c r="E907">
        <v>12955</v>
      </c>
      <c r="F907" s="5">
        <f t="shared" si="28"/>
        <v>1.6398734177215191</v>
      </c>
      <c r="G907" t="s">
        <v>8</v>
      </c>
      <c r="H907">
        <v>236</v>
      </c>
      <c r="I907">
        <f t="shared" si="29"/>
        <v>54.894067796610166</v>
      </c>
      <c r="J907" t="s">
        <v>109</v>
      </c>
      <c r="K907" t="s">
        <v>110</v>
      </c>
      <c r="L907" s="4">
        <v>41536.208333333336</v>
      </c>
      <c r="M907" s="4" t="s">
        <v>55</v>
      </c>
      <c r="N907" s="4" t="s">
        <v>117</v>
      </c>
      <c r="O907" s="4">
        <v>41539.208333333336</v>
      </c>
      <c r="P907" t="b">
        <v>0</v>
      </c>
      <c r="Q907" t="b">
        <v>0</v>
      </c>
      <c r="R907" t="s">
        <v>124</v>
      </c>
      <c r="S907" t="str" cm="1">
        <f t="array" ref="S907:T907">_xlfn.TEXTSPLIT(R907, "/", , FALSE)</f>
        <v>theater</v>
      </c>
      <c r="T907" t="str">
        <v>plays</v>
      </c>
    </row>
    <row r="908" spans="1:20" ht="34" x14ac:dyDescent="0.2">
      <c r="A908">
        <v>906</v>
      </c>
      <c r="B908" t="s">
        <v>1940</v>
      </c>
      <c r="C908" s="3" t="s">
        <v>1941</v>
      </c>
      <c r="D908">
        <v>5500</v>
      </c>
      <c r="E908">
        <v>8964</v>
      </c>
      <c r="F908" s="5">
        <f t="shared" si="28"/>
        <v>1.6298181818181818</v>
      </c>
      <c r="G908" t="s">
        <v>8</v>
      </c>
      <c r="H908">
        <v>191</v>
      </c>
      <c r="I908">
        <f t="shared" si="29"/>
        <v>46.931937172774866</v>
      </c>
      <c r="J908" t="s">
        <v>109</v>
      </c>
      <c r="K908" t="s">
        <v>110</v>
      </c>
      <c r="L908" s="4">
        <v>42868.208333333328</v>
      </c>
      <c r="M908" s="4" t="s">
        <v>51</v>
      </c>
      <c r="N908" s="4" t="s">
        <v>134</v>
      </c>
      <c r="O908" s="4">
        <v>42904.208333333328</v>
      </c>
      <c r="P908" t="b">
        <v>1</v>
      </c>
      <c r="Q908" t="b">
        <v>1</v>
      </c>
      <c r="R908" t="s">
        <v>135</v>
      </c>
      <c r="S908" t="str" cm="1">
        <f t="array" ref="S908:T908">_xlfn.TEXTSPLIT(R908, "/", , FALSE)</f>
        <v>film &amp; video</v>
      </c>
      <c r="T908" t="str">
        <v>documentary</v>
      </c>
    </row>
    <row r="909" spans="1:20" ht="17" x14ac:dyDescent="0.2">
      <c r="A909">
        <v>907</v>
      </c>
      <c r="B909" t="s">
        <v>1942</v>
      </c>
      <c r="C909" s="3" t="s">
        <v>1943</v>
      </c>
      <c r="D909">
        <v>9100</v>
      </c>
      <c r="E909">
        <v>1843</v>
      </c>
      <c r="F909" s="5">
        <f t="shared" si="28"/>
        <v>0.20252747252747252</v>
      </c>
      <c r="G909" t="s">
        <v>6</v>
      </c>
      <c r="H909">
        <v>41</v>
      </c>
      <c r="I909">
        <f t="shared" si="29"/>
        <v>44.951219512195124</v>
      </c>
      <c r="J909" t="s">
        <v>109</v>
      </c>
      <c r="K909" t="s">
        <v>110</v>
      </c>
      <c r="L909" s="4">
        <v>40660.208333333336</v>
      </c>
      <c r="M909" s="4" t="s">
        <v>50</v>
      </c>
      <c r="N909" s="4" t="s">
        <v>165</v>
      </c>
      <c r="O909" s="4">
        <v>40667.208333333336</v>
      </c>
      <c r="P909" t="b">
        <v>0</v>
      </c>
      <c r="Q909" t="b">
        <v>0</v>
      </c>
      <c r="R909" t="s">
        <v>124</v>
      </c>
      <c r="S909" t="str" cm="1">
        <f t="array" ref="S909:T909">_xlfn.TEXTSPLIT(R909, "/", , FALSE)</f>
        <v>theater</v>
      </c>
      <c r="T909" t="str">
        <v>plays</v>
      </c>
    </row>
    <row r="910" spans="1:20" ht="17" x14ac:dyDescent="0.2">
      <c r="A910">
        <v>908</v>
      </c>
      <c r="B910" t="s">
        <v>1944</v>
      </c>
      <c r="C910" s="3" t="s">
        <v>1945</v>
      </c>
      <c r="D910">
        <v>38200</v>
      </c>
      <c r="E910">
        <v>121950</v>
      </c>
      <c r="F910" s="5">
        <f t="shared" si="28"/>
        <v>3.1924083769633507</v>
      </c>
      <c r="G910" t="s">
        <v>8</v>
      </c>
      <c r="H910">
        <v>3934</v>
      </c>
      <c r="I910">
        <f t="shared" si="29"/>
        <v>30.99898322318251</v>
      </c>
      <c r="J910" t="s">
        <v>109</v>
      </c>
      <c r="K910" t="s">
        <v>110</v>
      </c>
      <c r="L910" s="4">
        <v>41031.208333333336</v>
      </c>
      <c r="M910" s="4" t="s">
        <v>51</v>
      </c>
      <c r="N910" s="4" t="s">
        <v>129</v>
      </c>
      <c r="O910" s="4">
        <v>41042.208333333336</v>
      </c>
      <c r="P910" t="b">
        <v>0</v>
      </c>
      <c r="Q910" t="b">
        <v>0</v>
      </c>
      <c r="R910" t="s">
        <v>184</v>
      </c>
      <c r="S910" t="str" cm="1">
        <f t="array" ref="S910:T910">_xlfn.TEXTSPLIT(R910, "/", , FALSE)</f>
        <v>games</v>
      </c>
      <c r="T910" t="str">
        <v>video games</v>
      </c>
    </row>
    <row r="911" spans="1:20" ht="17" x14ac:dyDescent="0.2">
      <c r="A911">
        <v>909</v>
      </c>
      <c r="B911" t="s">
        <v>1946</v>
      </c>
      <c r="C911" s="3" t="s">
        <v>1947</v>
      </c>
      <c r="D911">
        <v>1800</v>
      </c>
      <c r="E911">
        <v>8621</v>
      </c>
      <c r="F911" s="5">
        <f t="shared" si="28"/>
        <v>4.7894444444444444</v>
      </c>
      <c r="G911" t="s">
        <v>8</v>
      </c>
      <c r="H911">
        <v>80</v>
      </c>
      <c r="I911">
        <f t="shared" si="29"/>
        <v>107.7625</v>
      </c>
      <c r="J911" t="s">
        <v>103</v>
      </c>
      <c r="K911" t="s">
        <v>104</v>
      </c>
      <c r="L911" s="4">
        <v>43255.208333333328</v>
      </c>
      <c r="M911" s="4" t="s">
        <v>52</v>
      </c>
      <c r="N911" s="4" t="s">
        <v>169</v>
      </c>
      <c r="O911" s="4">
        <v>43282.208333333328</v>
      </c>
      <c r="P911" t="b">
        <v>0</v>
      </c>
      <c r="Q911" t="b">
        <v>1</v>
      </c>
      <c r="R911" t="s">
        <v>124</v>
      </c>
      <c r="S911" t="str" cm="1">
        <f t="array" ref="S911:T911">_xlfn.TEXTSPLIT(R911, "/", , FALSE)</f>
        <v>theater</v>
      </c>
      <c r="T911" t="str">
        <v>plays</v>
      </c>
    </row>
    <row r="912" spans="1:20" ht="17" x14ac:dyDescent="0.2">
      <c r="A912">
        <v>910</v>
      </c>
      <c r="B912" t="s">
        <v>1948</v>
      </c>
      <c r="C912" s="3" t="s">
        <v>1949</v>
      </c>
      <c r="D912">
        <v>154500</v>
      </c>
      <c r="E912">
        <v>30215</v>
      </c>
      <c r="F912" s="5">
        <f t="shared" si="28"/>
        <v>0.19556634304207121</v>
      </c>
      <c r="G912" t="s">
        <v>5</v>
      </c>
      <c r="H912">
        <v>296</v>
      </c>
      <c r="I912">
        <f t="shared" si="29"/>
        <v>102.07770270270271</v>
      </c>
      <c r="J912" t="s">
        <v>109</v>
      </c>
      <c r="K912" t="s">
        <v>110</v>
      </c>
      <c r="L912" s="4">
        <v>42026.25</v>
      </c>
      <c r="M912" s="4" t="s">
        <v>47</v>
      </c>
      <c r="N912" s="4" t="s">
        <v>105</v>
      </c>
      <c r="O912" s="4">
        <v>42027.25</v>
      </c>
      <c r="P912" t="b">
        <v>0</v>
      </c>
      <c r="Q912" t="b">
        <v>0</v>
      </c>
      <c r="R912" t="s">
        <v>124</v>
      </c>
      <c r="S912" t="str" cm="1">
        <f t="array" ref="S912:T912">_xlfn.TEXTSPLIT(R912, "/", , FALSE)</f>
        <v>theater</v>
      </c>
      <c r="T912" t="str">
        <v>plays</v>
      </c>
    </row>
    <row r="913" spans="1:20" ht="17" x14ac:dyDescent="0.2">
      <c r="A913">
        <v>911</v>
      </c>
      <c r="B913" t="s">
        <v>1950</v>
      </c>
      <c r="C913" s="3" t="s">
        <v>1951</v>
      </c>
      <c r="D913">
        <v>5800</v>
      </c>
      <c r="E913">
        <v>11539</v>
      </c>
      <c r="F913" s="5">
        <f t="shared" si="28"/>
        <v>1.9894827586206896</v>
      </c>
      <c r="G913" t="s">
        <v>8</v>
      </c>
      <c r="H913">
        <v>462</v>
      </c>
      <c r="I913">
        <f t="shared" si="29"/>
        <v>24.976190476190474</v>
      </c>
      <c r="J913" t="s">
        <v>109</v>
      </c>
      <c r="K913" t="s">
        <v>110</v>
      </c>
      <c r="L913" s="4">
        <v>43717.208333333328</v>
      </c>
      <c r="M913" s="4" t="s">
        <v>55</v>
      </c>
      <c r="N913" s="4" t="s">
        <v>121</v>
      </c>
      <c r="O913" s="4">
        <v>43719.208333333328</v>
      </c>
      <c r="P913" t="b">
        <v>1</v>
      </c>
      <c r="Q913" t="b">
        <v>0</v>
      </c>
      <c r="R913" t="s">
        <v>118</v>
      </c>
      <c r="S913" t="str" cm="1">
        <f t="array" ref="S913:T913">_xlfn.TEXTSPLIT(R913, "/", , FALSE)</f>
        <v>technology</v>
      </c>
      <c r="T913" t="str">
        <v>web</v>
      </c>
    </row>
    <row r="914" spans="1:20" ht="17" x14ac:dyDescent="0.2">
      <c r="A914">
        <v>912</v>
      </c>
      <c r="B914" t="s">
        <v>1952</v>
      </c>
      <c r="C914" s="3" t="s">
        <v>1953</v>
      </c>
      <c r="D914">
        <v>1800</v>
      </c>
      <c r="E914">
        <v>14310</v>
      </c>
      <c r="F914" s="5">
        <f t="shared" si="28"/>
        <v>7.95</v>
      </c>
      <c r="G914" t="s">
        <v>8</v>
      </c>
      <c r="H914">
        <v>179</v>
      </c>
      <c r="I914">
        <f t="shared" si="29"/>
        <v>79.944134078212286</v>
      </c>
      <c r="J914" t="s">
        <v>109</v>
      </c>
      <c r="K914" t="s">
        <v>110</v>
      </c>
      <c r="L914" s="4">
        <v>41157.208333333336</v>
      </c>
      <c r="M914" s="4" t="s">
        <v>55</v>
      </c>
      <c r="N914" s="4" t="s">
        <v>129</v>
      </c>
      <c r="O914" s="4">
        <v>41170.208333333336</v>
      </c>
      <c r="P914" t="b">
        <v>1</v>
      </c>
      <c r="Q914" t="b">
        <v>0</v>
      </c>
      <c r="R914" t="s">
        <v>146</v>
      </c>
      <c r="S914" t="str" cm="1">
        <f t="array" ref="S914:T914">_xlfn.TEXTSPLIT(R914, "/", , FALSE)</f>
        <v>film &amp; video</v>
      </c>
      <c r="T914" t="str">
        <v>drama</v>
      </c>
    </row>
    <row r="915" spans="1:20" ht="17" x14ac:dyDescent="0.2">
      <c r="A915">
        <v>913</v>
      </c>
      <c r="B915" t="s">
        <v>1954</v>
      </c>
      <c r="C915" s="3" t="s">
        <v>1955</v>
      </c>
      <c r="D915">
        <v>70200</v>
      </c>
      <c r="E915">
        <v>35536</v>
      </c>
      <c r="F915" s="5">
        <f t="shared" si="28"/>
        <v>0.50621082621082625</v>
      </c>
      <c r="G915" t="s">
        <v>6</v>
      </c>
      <c r="H915">
        <v>523</v>
      </c>
      <c r="I915">
        <f t="shared" si="29"/>
        <v>67.946462715105156</v>
      </c>
      <c r="J915" t="s">
        <v>115</v>
      </c>
      <c r="K915" t="s">
        <v>116</v>
      </c>
      <c r="L915" s="4">
        <v>43597.208333333328</v>
      </c>
      <c r="M915" s="4" t="s">
        <v>51</v>
      </c>
      <c r="N915" s="4" t="s">
        <v>121</v>
      </c>
      <c r="O915" s="4">
        <v>43610.208333333328</v>
      </c>
      <c r="P915" t="b">
        <v>0</v>
      </c>
      <c r="Q915" t="b">
        <v>0</v>
      </c>
      <c r="R915" t="s">
        <v>146</v>
      </c>
      <c r="S915" t="str" cm="1">
        <f t="array" ref="S915:T915">_xlfn.TEXTSPLIT(R915, "/", , FALSE)</f>
        <v>film &amp; video</v>
      </c>
      <c r="T915" t="str">
        <v>drama</v>
      </c>
    </row>
    <row r="916" spans="1:20" ht="17" x14ac:dyDescent="0.2">
      <c r="A916">
        <v>914</v>
      </c>
      <c r="B916" t="s">
        <v>1956</v>
      </c>
      <c r="C916" s="3" t="s">
        <v>1957</v>
      </c>
      <c r="D916">
        <v>6400</v>
      </c>
      <c r="E916">
        <v>3676</v>
      </c>
      <c r="F916" s="5">
        <f t="shared" si="28"/>
        <v>0.57437499999999997</v>
      </c>
      <c r="G916" t="s">
        <v>6</v>
      </c>
      <c r="H916">
        <v>141</v>
      </c>
      <c r="I916">
        <f t="shared" si="29"/>
        <v>26.070921985815602</v>
      </c>
      <c r="J916" t="s">
        <v>132</v>
      </c>
      <c r="K916" t="s">
        <v>133</v>
      </c>
      <c r="L916" s="4">
        <v>41490.208333333336</v>
      </c>
      <c r="M916" s="4" t="s">
        <v>54</v>
      </c>
      <c r="N916" s="4" t="s">
        <v>117</v>
      </c>
      <c r="O916" s="4">
        <v>41502.208333333336</v>
      </c>
      <c r="P916" t="b">
        <v>0</v>
      </c>
      <c r="Q916" t="b">
        <v>0</v>
      </c>
      <c r="R916" t="s">
        <v>124</v>
      </c>
      <c r="S916" t="str" cm="1">
        <f t="array" ref="S916:T916">_xlfn.TEXTSPLIT(R916, "/", , FALSE)</f>
        <v>theater</v>
      </c>
      <c r="T916" t="str">
        <v>plays</v>
      </c>
    </row>
    <row r="917" spans="1:20" ht="17" x14ac:dyDescent="0.2">
      <c r="A917">
        <v>915</v>
      </c>
      <c r="B917" t="s">
        <v>1958</v>
      </c>
      <c r="C917" s="3" t="s">
        <v>1959</v>
      </c>
      <c r="D917">
        <v>125900</v>
      </c>
      <c r="E917">
        <v>195936</v>
      </c>
      <c r="F917" s="5">
        <f t="shared" si="28"/>
        <v>1.5562827640984909</v>
      </c>
      <c r="G917" t="s">
        <v>8</v>
      </c>
      <c r="H917">
        <v>1866</v>
      </c>
      <c r="I917">
        <f t="shared" si="29"/>
        <v>105.0032154340836</v>
      </c>
      <c r="J917" t="s">
        <v>132</v>
      </c>
      <c r="K917" t="s">
        <v>133</v>
      </c>
      <c r="L917" s="4">
        <v>42976.208333333328</v>
      </c>
      <c r="M917" s="4" t="s">
        <v>54</v>
      </c>
      <c r="N917" s="4" t="s">
        <v>134</v>
      </c>
      <c r="O917" s="4">
        <v>42985.208333333328</v>
      </c>
      <c r="P917" t="b">
        <v>0</v>
      </c>
      <c r="Q917" t="b">
        <v>0</v>
      </c>
      <c r="R917" t="s">
        <v>364</v>
      </c>
      <c r="S917" t="str" cm="1">
        <f t="array" ref="S917:T917">_xlfn.TEXTSPLIT(R917, "/", , FALSE)</f>
        <v>film &amp; video</v>
      </c>
      <c r="T917" t="str">
        <v>television</v>
      </c>
    </row>
    <row r="918" spans="1:20" ht="34" x14ac:dyDescent="0.2">
      <c r="A918">
        <v>916</v>
      </c>
      <c r="B918" t="s">
        <v>1960</v>
      </c>
      <c r="C918" s="3" t="s">
        <v>1961</v>
      </c>
      <c r="D918">
        <v>3700</v>
      </c>
      <c r="E918">
        <v>1343</v>
      </c>
      <c r="F918" s="5">
        <f t="shared" si="28"/>
        <v>0.36297297297297298</v>
      </c>
      <c r="G918" t="s">
        <v>6</v>
      </c>
      <c r="H918">
        <v>52</v>
      </c>
      <c r="I918">
        <f t="shared" si="29"/>
        <v>25.826923076923077</v>
      </c>
      <c r="J918" t="s">
        <v>109</v>
      </c>
      <c r="K918" t="s">
        <v>110</v>
      </c>
      <c r="L918" s="4">
        <v>41991.25</v>
      </c>
      <c r="M918" s="4" t="s">
        <v>58</v>
      </c>
      <c r="N918" s="4" t="s">
        <v>111</v>
      </c>
      <c r="O918" s="4">
        <v>42000.25</v>
      </c>
      <c r="P918" t="b">
        <v>0</v>
      </c>
      <c r="Q918" t="b">
        <v>0</v>
      </c>
      <c r="R918" t="s">
        <v>217</v>
      </c>
      <c r="S918" t="str" cm="1">
        <f t="array" ref="S918:T918">_xlfn.TEXTSPLIT(R918, "/", , FALSE)</f>
        <v>photography</v>
      </c>
      <c r="T918" t="str">
        <v>photography books</v>
      </c>
    </row>
    <row r="919" spans="1:20" ht="17" x14ac:dyDescent="0.2">
      <c r="A919">
        <v>917</v>
      </c>
      <c r="B919" t="s">
        <v>1962</v>
      </c>
      <c r="C919" s="3" t="s">
        <v>1963</v>
      </c>
      <c r="D919">
        <v>3600</v>
      </c>
      <c r="E919">
        <v>2097</v>
      </c>
      <c r="F919" s="5">
        <f t="shared" si="28"/>
        <v>0.58250000000000002</v>
      </c>
      <c r="G919" t="s">
        <v>7</v>
      </c>
      <c r="H919">
        <v>27</v>
      </c>
      <c r="I919">
        <f t="shared" si="29"/>
        <v>77.666666666666671</v>
      </c>
      <c r="J919" t="s">
        <v>132</v>
      </c>
      <c r="K919" t="s">
        <v>133</v>
      </c>
      <c r="L919" s="4">
        <v>40722.208333333336</v>
      </c>
      <c r="M919" s="4" t="s">
        <v>52</v>
      </c>
      <c r="N919" s="4" t="s">
        <v>165</v>
      </c>
      <c r="O919" s="4">
        <v>40746.208333333336</v>
      </c>
      <c r="P919" t="b">
        <v>0</v>
      </c>
      <c r="Q919" t="b">
        <v>1</v>
      </c>
      <c r="R919" t="s">
        <v>195</v>
      </c>
      <c r="S919" t="str" cm="1">
        <f t="array" ref="S919:T919">_xlfn.TEXTSPLIT(R919, "/", , FALSE)</f>
        <v>film &amp; video</v>
      </c>
      <c r="T919" t="str">
        <v>shorts</v>
      </c>
    </row>
    <row r="920" spans="1:20" ht="17" x14ac:dyDescent="0.2">
      <c r="A920">
        <v>918</v>
      </c>
      <c r="B920" t="s">
        <v>1964</v>
      </c>
      <c r="C920" s="3" t="s">
        <v>1965</v>
      </c>
      <c r="D920">
        <v>3800</v>
      </c>
      <c r="E920">
        <v>9021</v>
      </c>
      <c r="F920" s="5">
        <f t="shared" si="28"/>
        <v>2.3739473684210526</v>
      </c>
      <c r="G920" t="s">
        <v>8</v>
      </c>
      <c r="H920">
        <v>156</v>
      </c>
      <c r="I920">
        <f t="shared" si="29"/>
        <v>57.82692307692308</v>
      </c>
      <c r="J920" t="s">
        <v>193</v>
      </c>
      <c r="K920" t="s">
        <v>194</v>
      </c>
      <c r="L920" s="4">
        <v>41117.208333333336</v>
      </c>
      <c r="M920" s="4" t="s">
        <v>53</v>
      </c>
      <c r="N920" s="4" t="s">
        <v>129</v>
      </c>
      <c r="O920" s="4">
        <v>41128.208333333336</v>
      </c>
      <c r="P920" t="b">
        <v>0</v>
      </c>
      <c r="Q920" t="b">
        <v>0</v>
      </c>
      <c r="R920" t="s">
        <v>228</v>
      </c>
      <c r="S920" t="str" cm="1">
        <f t="array" ref="S920:T920">_xlfn.TEXTSPLIT(R920, "/", , FALSE)</f>
        <v>publishing</v>
      </c>
      <c r="T920" t="str">
        <v>radio &amp; podcasts</v>
      </c>
    </row>
    <row r="921" spans="1:20" ht="17" x14ac:dyDescent="0.2">
      <c r="A921">
        <v>919</v>
      </c>
      <c r="B921" t="s">
        <v>1966</v>
      </c>
      <c r="C921" s="3" t="s">
        <v>1967</v>
      </c>
      <c r="D921">
        <v>35600</v>
      </c>
      <c r="E921">
        <v>20915</v>
      </c>
      <c r="F921" s="5">
        <f t="shared" si="28"/>
        <v>0.58750000000000002</v>
      </c>
      <c r="G921" t="s">
        <v>6</v>
      </c>
      <c r="H921">
        <v>225</v>
      </c>
      <c r="I921">
        <f t="shared" si="29"/>
        <v>92.955555555555549</v>
      </c>
      <c r="J921" t="s">
        <v>115</v>
      </c>
      <c r="K921" t="s">
        <v>116</v>
      </c>
      <c r="L921" s="4">
        <v>43022.208333333328</v>
      </c>
      <c r="M921" s="4" t="s">
        <v>56</v>
      </c>
      <c r="N921" s="4" t="s">
        <v>134</v>
      </c>
      <c r="O921" s="4">
        <v>43054.25</v>
      </c>
      <c r="P921" t="b">
        <v>0</v>
      </c>
      <c r="Q921" t="b">
        <v>1</v>
      </c>
      <c r="R921" t="s">
        <v>124</v>
      </c>
      <c r="S921" t="str" cm="1">
        <f t="array" ref="S921:T921">_xlfn.TEXTSPLIT(R921, "/", , FALSE)</f>
        <v>theater</v>
      </c>
      <c r="T921" t="str">
        <v>plays</v>
      </c>
    </row>
    <row r="922" spans="1:20" ht="17" x14ac:dyDescent="0.2">
      <c r="A922">
        <v>920</v>
      </c>
      <c r="B922" t="s">
        <v>1968</v>
      </c>
      <c r="C922" s="3" t="s">
        <v>1969</v>
      </c>
      <c r="D922">
        <v>5300</v>
      </c>
      <c r="E922">
        <v>9676</v>
      </c>
      <c r="F922" s="5">
        <f t="shared" si="28"/>
        <v>1.8256603773584905</v>
      </c>
      <c r="G922" t="s">
        <v>8</v>
      </c>
      <c r="H922">
        <v>255</v>
      </c>
      <c r="I922">
        <f t="shared" si="29"/>
        <v>37.945098039215686</v>
      </c>
      <c r="J922" t="s">
        <v>109</v>
      </c>
      <c r="K922" t="s">
        <v>110</v>
      </c>
      <c r="L922" s="4">
        <v>43503.25</v>
      </c>
      <c r="M922" s="4" t="s">
        <v>48</v>
      </c>
      <c r="N922" s="4" t="s">
        <v>121</v>
      </c>
      <c r="O922" s="4">
        <v>43523.25</v>
      </c>
      <c r="P922" t="b">
        <v>1</v>
      </c>
      <c r="Q922" t="b">
        <v>0</v>
      </c>
      <c r="R922" t="s">
        <v>166</v>
      </c>
      <c r="S922" t="str" cm="1">
        <f t="array" ref="S922:T922">_xlfn.TEXTSPLIT(R922, "/", , FALSE)</f>
        <v>film &amp; video</v>
      </c>
      <c r="T922" t="str">
        <v>animation</v>
      </c>
    </row>
    <row r="923" spans="1:20" ht="17" x14ac:dyDescent="0.2">
      <c r="A923">
        <v>921</v>
      </c>
      <c r="B923" t="s">
        <v>1970</v>
      </c>
      <c r="C923" s="3" t="s">
        <v>1971</v>
      </c>
      <c r="D923">
        <v>160400</v>
      </c>
      <c r="E923">
        <v>1210</v>
      </c>
      <c r="F923" s="5">
        <f t="shared" si="28"/>
        <v>7.5436408977556111E-3</v>
      </c>
      <c r="G923" t="s">
        <v>6</v>
      </c>
      <c r="H923">
        <v>38</v>
      </c>
      <c r="I923">
        <f t="shared" si="29"/>
        <v>31.842105263157894</v>
      </c>
      <c r="J923" t="s">
        <v>109</v>
      </c>
      <c r="K923" t="s">
        <v>110</v>
      </c>
      <c r="L923" s="4">
        <v>40951.25</v>
      </c>
      <c r="M923" s="4" t="s">
        <v>48</v>
      </c>
      <c r="N923" s="4" t="s">
        <v>129</v>
      </c>
      <c r="O923" s="4">
        <v>40965.25</v>
      </c>
      <c r="P923" t="b">
        <v>0</v>
      </c>
      <c r="Q923" t="b">
        <v>0</v>
      </c>
      <c r="R923" t="s">
        <v>118</v>
      </c>
      <c r="S923" t="str" cm="1">
        <f t="array" ref="S923:T923">_xlfn.TEXTSPLIT(R923, "/", , FALSE)</f>
        <v>technology</v>
      </c>
      <c r="T923" t="str">
        <v>web</v>
      </c>
    </row>
    <row r="924" spans="1:20" ht="17" x14ac:dyDescent="0.2">
      <c r="A924">
        <v>922</v>
      </c>
      <c r="B924" t="s">
        <v>1972</v>
      </c>
      <c r="C924" s="3" t="s">
        <v>1973</v>
      </c>
      <c r="D924">
        <v>51400</v>
      </c>
      <c r="E924">
        <v>90440</v>
      </c>
      <c r="F924" s="5">
        <f t="shared" si="28"/>
        <v>1.7595330739299611</v>
      </c>
      <c r="G924" t="s">
        <v>8</v>
      </c>
      <c r="H924">
        <v>2261</v>
      </c>
      <c r="I924">
        <f t="shared" si="29"/>
        <v>40</v>
      </c>
      <c r="J924" t="s">
        <v>109</v>
      </c>
      <c r="K924" t="s">
        <v>110</v>
      </c>
      <c r="L924" s="4">
        <v>43443.25</v>
      </c>
      <c r="M924" s="4" t="s">
        <v>58</v>
      </c>
      <c r="N924" s="4" t="s">
        <v>169</v>
      </c>
      <c r="O924" s="4">
        <v>43452.25</v>
      </c>
      <c r="P924" t="b">
        <v>0</v>
      </c>
      <c r="Q924" t="b">
        <v>1</v>
      </c>
      <c r="R924" t="s">
        <v>414</v>
      </c>
      <c r="S924" t="str" cm="1">
        <f t="array" ref="S924:T924">_xlfn.TEXTSPLIT(R924, "/", , FALSE)</f>
        <v>music</v>
      </c>
      <c r="T924" t="str">
        <v>world music</v>
      </c>
    </row>
    <row r="925" spans="1:20" ht="17" x14ac:dyDescent="0.2">
      <c r="A925">
        <v>923</v>
      </c>
      <c r="B925" t="s">
        <v>1974</v>
      </c>
      <c r="C925" s="3" t="s">
        <v>1975</v>
      </c>
      <c r="D925">
        <v>1700</v>
      </c>
      <c r="E925">
        <v>4044</v>
      </c>
      <c r="F925" s="5">
        <f t="shared" si="28"/>
        <v>2.3788235294117648</v>
      </c>
      <c r="G925" t="s">
        <v>8</v>
      </c>
      <c r="H925">
        <v>40</v>
      </c>
      <c r="I925">
        <f t="shared" si="29"/>
        <v>101.1</v>
      </c>
      <c r="J925" t="s">
        <v>109</v>
      </c>
      <c r="K925" t="s">
        <v>110</v>
      </c>
      <c r="L925" s="4">
        <v>40373.208333333336</v>
      </c>
      <c r="M925" s="4" t="s">
        <v>53</v>
      </c>
      <c r="N925" s="4" t="s">
        <v>140</v>
      </c>
      <c r="O925" s="4">
        <v>40374.208333333336</v>
      </c>
      <c r="P925" t="b">
        <v>0</v>
      </c>
      <c r="Q925" t="b">
        <v>0</v>
      </c>
      <c r="R925" t="s">
        <v>124</v>
      </c>
      <c r="S925" t="str" cm="1">
        <f t="array" ref="S925:T925">_xlfn.TEXTSPLIT(R925, "/", , FALSE)</f>
        <v>theater</v>
      </c>
      <c r="T925" t="str">
        <v>plays</v>
      </c>
    </row>
    <row r="926" spans="1:20" ht="17" x14ac:dyDescent="0.2">
      <c r="A926">
        <v>924</v>
      </c>
      <c r="B926" t="s">
        <v>1976</v>
      </c>
      <c r="C926" s="3" t="s">
        <v>1977</v>
      </c>
      <c r="D926">
        <v>39400</v>
      </c>
      <c r="E926">
        <v>192292</v>
      </c>
      <c r="F926" s="5">
        <f t="shared" si="28"/>
        <v>4.8805076142131982</v>
      </c>
      <c r="G926" t="s">
        <v>8</v>
      </c>
      <c r="H926">
        <v>2289</v>
      </c>
      <c r="I926">
        <f t="shared" si="29"/>
        <v>84.006989951944078</v>
      </c>
      <c r="J926" t="s">
        <v>202</v>
      </c>
      <c r="K926" t="s">
        <v>203</v>
      </c>
      <c r="L926" s="4">
        <v>43769.208333333328</v>
      </c>
      <c r="M926" s="4" t="s">
        <v>56</v>
      </c>
      <c r="N926" s="4" t="s">
        <v>121</v>
      </c>
      <c r="O926" s="4">
        <v>43780.25</v>
      </c>
      <c r="P926" t="b">
        <v>0</v>
      </c>
      <c r="Q926" t="b">
        <v>0</v>
      </c>
      <c r="R926" t="s">
        <v>124</v>
      </c>
      <c r="S926" t="str" cm="1">
        <f t="array" ref="S926:T926">_xlfn.TEXTSPLIT(R926, "/", , FALSE)</f>
        <v>theater</v>
      </c>
      <c r="T926" t="str">
        <v>plays</v>
      </c>
    </row>
    <row r="927" spans="1:20" ht="34" x14ac:dyDescent="0.2">
      <c r="A927">
        <v>925</v>
      </c>
      <c r="B927" t="s">
        <v>1978</v>
      </c>
      <c r="C927" s="3" t="s">
        <v>1979</v>
      </c>
      <c r="D927">
        <v>3000</v>
      </c>
      <c r="E927">
        <v>6722</v>
      </c>
      <c r="F927" s="5">
        <f t="shared" si="28"/>
        <v>2.2406666666666668</v>
      </c>
      <c r="G927" t="s">
        <v>8</v>
      </c>
      <c r="H927">
        <v>65</v>
      </c>
      <c r="I927">
        <f t="shared" si="29"/>
        <v>103.41538461538461</v>
      </c>
      <c r="J927" t="s">
        <v>109</v>
      </c>
      <c r="K927" t="s">
        <v>110</v>
      </c>
      <c r="L927" s="4">
        <v>43000.208333333328</v>
      </c>
      <c r="M927" s="4" t="s">
        <v>55</v>
      </c>
      <c r="N927" s="4" t="s">
        <v>134</v>
      </c>
      <c r="O927" s="4">
        <v>43012.208333333328</v>
      </c>
      <c r="P927" t="b">
        <v>0</v>
      </c>
      <c r="Q927" t="b">
        <v>0</v>
      </c>
      <c r="R927" t="s">
        <v>124</v>
      </c>
      <c r="S927" t="str" cm="1">
        <f t="array" ref="S927:T927">_xlfn.TEXTSPLIT(R927, "/", , FALSE)</f>
        <v>theater</v>
      </c>
      <c r="T927" t="str">
        <v>plays</v>
      </c>
    </row>
    <row r="928" spans="1:20" ht="17" x14ac:dyDescent="0.2">
      <c r="A928">
        <v>926</v>
      </c>
      <c r="B928" t="s">
        <v>1980</v>
      </c>
      <c r="C928" s="3" t="s">
        <v>1981</v>
      </c>
      <c r="D928">
        <v>8700</v>
      </c>
      <c r="E928">
        <v>1577</v>
      </c>
      <c r="F928" s="5">
        <f t="shared" si="28"/>
        <v>0.18126436781609195</v>
      </c>
      <c r="G928" t="s">
        <v>6</v>
      </c>
      <c r="H928">
        <v>15</v>
      </c>
      <c r="I928">
        <f t="shared" si="29"/>
        <v>105.13333333333334</v>
      </c>
      <c r="J928" t="s">
        <v>109</v>
      </c>
      <c r="K928" t="s">
        <v>110</v>
      </c>
      <c r="L928" s="4">
        <v>42502.208333333328</v>
      </c>
      <c r="M928" s="4" t="s">
        <v>51</v>
      </c>
      <c r="N928" s="4" t="s">
        <v>153</v>
      </c>
      <c r="O928" s="4">
        <v>42506.208333333328</v>
      </c>
      <c r="P928" t="b">
        <v>0</v>
      </c>
      <c r="Q928" t="b">
        <v>0</v>
      </c>
      <c r="R928" t="s">
        <v>106</v>
      </c>
      <c r="S928" t="str" cm="1">
        <f t="array" ref="S928:T928">_xlfn.TEXTSPLIT(R928, "/", , FALSE)</f>
        <v>food</v>
      </c>
      <c r="T928" t="str">
        <v>food trucks</v>
      </c>
    </row>
    <row r="929" spans="1:20" ht="17" x14ac:dyDescent="0.2">
      <c r="A929">
        <v>927</v>
      </c>
      <c r="B929" t="s">
        <v>1982</v>
      </c>
      <c r="C929" s="3" t="s">
        <v>1983</v>
      </c>
      <c r="D929">
        <v>7200</v>
      </c>
      <c r="E929">
        <v>3301</v>
      </c>
      <c r="F929" s="5">
        <f t="shared" si="28"/>
        <v>0.45847222222222223</v>
      </c>
      <c r="G929" t="s">
        <v>6</v>
      </c>
      <c r="H929">
        <v>37</v>
      </c>
      <c r="I929">
        <f t="shared" si="29"/>
        <v>89.21621621621621</v>
      </c>
      <c r="J929" t="s">
        <v>109</v>
      </c>
      <c r="K929" t="s">
        <v>110</v>
      </c>
      <c r="L929" s="4">
        <v>41102.208333333336</v>
      </c>
      <c r="M929" s="4" t="s">
        <v>53</v>
      </c>
      <c r="N929" s="4" t="s">
        <v>129</v>
      </c>
      <c r="O929" s="4">
        <v>41131.208333333336</v>
      </c>
      <c r="P929" t="b">
        <v>0</v>
      </c>
      <c r="Q929" t="b">
        <v>0</v>
      </c>
      <c r="R929" t="s">
        <v>124</v>
      </c>
      <c r="S929" t="str" cm="1">
        <f t="array" ref="S929:T929">_xlfn.TEXTSPLIT(R929, "/", , FALSE)</f>
        <v>theater</v>
      </c>
      <c r="T929" t="str">
        <v>plays</v>
      </c>
    </row>
    <row r="930" spans="1:20" ht="17" x14ac:dyDescent="0.2">
      <c r="A930">
        <v>928</v>
      </c>
      <c r="B930" t="s">
        <v>1984</v>
      </c>
      <c r="C930" s="3" t="s">
        <v>1985</v>
      </c>
      <c r="D930">
        <v>167400</v>
      </c>
      <c r="E930">
        <v>196386</v>
      </c>
      <c r="F930" s="5">
        <f t="shared" si="28"/>
        <v>1.1731541218637993</v>
      </c>
      <c r="G930" t="s">
        <v>8</v>
      </c>
      <c r="H930">
        <v>3777</v>
      </c>
      <c r="I930">
        <f t="shared" si="29"/>
        <v>51.995234312946785</v>
      </c>
      <c r="J930" t="s">
        <v>202</v>
      </c>
      <c r="K930" t="s">
        <v>203</v>
      </c>
      <c r="L930" s="4">
        <v>41637.25</v>
      </c>
      <c r="M930" s="4" t="s">
        <v>58</v>
      </c>
      <c r="N930" s="4" t="s">
        <v>117</v>
      </c>
      <c r="O930" s="4">
        <v>41646.25</v>
      </c>
      <c r="P930" t="b">
        <v>0</v>
      </c>
      <c r="Q930" t="b">
        <v>0</v>
      </c>
      <c r="R930" t="s">
        <v>118</v>
      </c>
      <c r="S930" t="str" cm="1">
        <f t="array" ref="S930:T930">_xlfn.TEXTSPLIT(R930, "/", , FALSE)</f>
        <v>technology</v>
      </c>
      <c r="T930" t="str">
        <v>web</v>
      </c>
    </row>
    <row r="931" spans="1:20" ht="17" x14ac:dyDescent="0.2">
      <c r="A931">
        <v>929</v>
      </c>
      <c r="B931" t="s">
        <v>1986</v>
      </c>
      <c r="C931" s="3" t="s">
        <v>1987</v>
      </c>
      <c r="D931">
        <v>5500</v>
      </c>
      <c r="E931">
        <v>11952</v>
      </c>
      <c r="F931" s="5">
        <f t="shared" si="28"/>
        <v>2.173090909090909</v>
      </c>
      <c r="G931" t="s">
        <v>8</v>
      </c>
      <c r="H931">
        <v>184</v>
      </c>
      <c r="I931">
        <f t="shared" si="29"/>
        <v>64.956521739130437</v>
      </c>
      <c r="J931" t="s">
        <v>132</v>
      </c>
      <c r="K931" t="s">
        <v>133</v>
      </c>
      <c r="L931" s="4">
        <v>42858.208333333328</v>
      </c>
      <c r="M931" s="4" t="s">
        <v>51</v>
      </c>
      <c r="N931" s="4" t="s">
        <v>134</v>
      </c>
      <c r="O931" s="4">
        <v>42872.208333333328</v>
      </c>
      <c r="P931" t="b">
        <v>0</v>
      </c>
      <c r="Q931" t="b">
        <v>0</v>
      </c>
      <c r="R931" t="s">
        <v>124</v>
      </c>
      <c r="S931" t="str" cm="1">
        <f t="array" ref="S931:T931">_xlfn.TEXTSPLIT(R931, "/", , FALSE)</f>
        <v>theater</v>
      </c>
      <c r="T931" t="str">
        <v>plays</v>
      </c>
    </row>
    <row r="932" spans="1:20" ht="17" x14ac:dyDescent="0.2">
      <c r="A932">
        <v>930</v>
      </c>
      <c r="B932" t="s">
        <v>1988</v>
      </c>
      <c r="C932" s="3" t="s">
        <v>1989</v>
      </c>
      <c r="D932">
        <v>3500</v>
      </c>
      <c r="E932">
        <v>3930</v>
      </c>
      <c r="F932" s="5">
        <f t="shared" si="28"/>
        <v>1.1228571428571428</v>
      </c>
      <c r="G932" t="s">
        <v>8</v>
      </c>
      <c r="H932">
        <v>85</v>
      </c>
      <c r="I932">
        <f t="shared" si="29"/>
        <v>46.235294117647058</v>
      </c>
      <c r="J932" t="s">
        <v>109</v>
      </c>
      <c r="K932" t="s">
        <v>110</v>
      </c>
      <c r="L932" s="4">
        <v>42060.25</v>
      </c>
      <c r="M932" s="4" t="s">
        <v>48</v>
      </c>
      <c r="N932" s="4" t="s">
        <v>105</v>
      </c>
      <c r="O932" s="4">
        <v>42067.25</v>
      </c>
      <c r="P932" t="b">
        <v>0</v>
      </c>
      <c r="Q932" t="b">
        <v>1</v>
      </c>
      <c r="R932" t="s">
        <v>124</v>
      </c>
      <c r="S932" t="str" cm="1">
        <f t="array" ref="S932:T932">_xlfn.TEXTSPLIT(R932, "/", , FALSE)</f>
        <v>theater</v>
      </c>
      <c r="T932" t="str">
        <v>plays</v>
      </c>
    </row>
    <row r="933" spans="1:20" ht="17" x14ac:dyDescent="0.2">
      <c r="A933">
        <v>931</v>
      </c>
      <c r="B933" t="s">
        <v>1990</v>
      </c>
      <c r="C933" s="3" t="s">
        <v>1991</v>
      </c>
      <c r="D933">
        <v>7900</v>
      </c>
      <c r="E933">
        <v>5729</v>
      </c>
      <c r="F933" s="5">
        <f t="shared" si="28"/>
        <v>0.72518987341772156</v>
      </c>
      <c r="G933" t="s">
        <v>6</v>
      </c>
      <c r="H933">
        <v>112</v>
      </c>
      <c r="I933">
        <f t="shared" si="29"/>
        <v>51.151785714285715</v>
      </c>
      <c r="J933" t="s">
        <v>109</v>
      </c>
      <c r="K933" t="s">
        <v>110</v>
      </c>
      <c r="L933" s="4">
        <v>41818.208333333336</v>
      </c>
      <c r="M933" s="4" t="s">
        <v>52</v>
      </c>
      <c r="N933" s="4" t="s">
        <v>111</v>
      </c>
      <c r="O933" s="4">
        <v>41820.208333333336</v>
      </c>
      <c r="P933" t="b">
        <v>0</v>
      </c>
      <c r="Q933" t="b">
        <v>1</v>
      </c>
      <c r="R933" t="s">
        <v>124</v>
      </c>
      <c r="S933" t="str" cm="1">
        <f t="array" ref="S933:T933">_xlfn.TEXTSPLIT(R933, "/", , FALSE)</f>
        <v>theater</v>
      </c>
      <c r="T933" t="str">
        <v>plays</v>
      </c>
    </row>
    <row r="934" spans="1:20" ht="17" x14ac:dyDescent="0.2">
      <c r="A934">
        <v>932</v>
      </c>
      <c r="B934" t="s">
        <v>1992</v>
      </c>
      <c r="C934" s="3" t="s">
        <v>1993</v>
      </c>
      <c r="D934">
        <v>2300</v>
      </c>
      <c r="E934">
        <v>4883</v>
      </c>
      <c r="F934" s="5">
        <f t="shared" si="28"/>
        <v>2.1230434782608696</v>
      </c>
      <c r="G934" t="s">
        <v>8</v>
      </c>
      <c r="H934">
        <v>144</v>
      </c>
      <c r="I934">
        <f t="shared" si="29"/>
        <v>33.909722222222221</v>
      </c>
      <c r="J934" t="s">
        <v>109</v>
      </c>
      <c r="K934" t="s">
        <v>110</v>
      </c>
      <c r="L934" s="4">
        <v>41709.208333333336</v>
      </c>
      <c r="M934" s="4" t="s">
        <v>49</v>
      </c>
      <c r="N934" s="4" t="s">
        <v>111</v>
      </c>
      <c r="O934" s="4">
        <v>41712.208333333336</v>
      </c>
      <c r="P934" t="b">
        <v>0</v>
      </c>
      <c r="Q934" t="b">
        <v>0</v>
      </c>
      <c r="R934" t="s">
        <v>112</v>
      </c>
      <c r="S934" t="str" cm="1">
        <f t="array" ref="S934:T934">_xlfn.TEXTSPLIT(R934, "/", , FALSE)</f>
        <v>music</v>
      </c>
      <c r="T934" t="str">
        <v>rock</v>
      </c>
    </row>
    <row r="935" spans="1:20" ht="17" x14ac:dyDescent="0.2">
      <c r="A935">
        <v>933</v>
      </c>
      <c r="B935" t="s">
        <v>1994</v>
      </c>
      <c r="C935" s="3" t="s">
        <v>1995</v>
      </c>
      <c r="D935">
        <v>73000</v>
      </c>
      <c r="E935">
        <v>175015</v>
      </c>
      <c r="F935" s="5">
        <f t="shared" si="28"/>
        <v>2.3974657534246577</v>
      </c>
      <c r="G935" t="s">
        <v>8</v>
      </c>
      <c r="H935">
        <v>1902</v>
      </c>
      <c r="I935">
        <f t="shared" si="29"/>
        <v>92.016298633017882</v>
      </c>
      <c r="J935" t="s">
        <v>109</v>
      </c>
      <c r="K935" t="s">
        <v>110</v>
      </c>
      <c r="L935" s="4">
        <v>41372.208333333336</v>
      </c>
      <c r="M935" s="4" t="s">
        <v>50</v>
      </c>
      <c r="N935" s="4" t="s">
        <v>117</v>
      </c>
      <c r="O935" s="4">
        <v>41385.208333333336</v>
      </c>
      <c r="P935" t="b">
        <v>0</v>
      </c>
      <c r="Q935" t="b">
        <v>0</v>
      </c>
      <c r="R935" t="s">
        <v>124</v>
      </c>
      <c r="S935" t="str" cm="1">
        <f t="array" ref="S935:T935">_xlfn.TEXTSPLIT(R935, "/", , FALSE)</f>
        <v>theater</v>
      </c>
      <c r="T935" t="str">
        <v>plays</v>
      </c>
    </row>
    <row r="936" spans="1:20" ht="17" x14ac:dyDescent="0.2">
      <c r="A936">
        <v>934</v>
      </c>
      <c r="B936" t="s">
        <v>1996</v>
      </c>
      <c r="C936" s="3" t="s">
        <v>1997</v>
      </c>
      <c r="D936">
        <v>6200</v>
      </c>
      <c r="E936">
        <v>11280</v>
      </c>
      <c r="F936" s="5">
        <f t="shared" si="28"/>
        <v>1.8193548387096774</v>
      </c>
      <c r="G936" t="s">
        <v>8</v>
      </c>
      <c r="H936">
        <v>105</v>
      </c>
      <c r="I936">
        <f t="shared" si="29"/>
        <v>107.42857142857143</v>
      </c>
      <c r="J936" t="s">
        <v>109</v>
      </c>
      <c r="K936" t="s">
        <v>110</v>
      </c>
      <c r="L936" s="4">
        <v>42422.25</v>
      </c>
      <c r="M936" s="4" t="s">
        <v>48</v>
      </c>
      <c r="N936" s="4" t="s">
        <v>153</v>
      </c>
      <c r="O936" s="4">
        <v>42428.25</v>
      </c>
      <c r="P936" t="b">
        <v>0</v>
      </c>
      <c r="Q936" t="b">
        <v>0</v>
      </c>
      <c r="R936" t="s">
        <v>124</v>
      </c>
      <c r="S936" t="str" cm="1">
        <f t="array" ref="S936:T936">_xlfn.TEXTSPLIT(R936, "/", , FALSE)</f>
        <v>theater</v>
      </c>
      <c r="T936" t="str">
        <v>plays</v>
      </c>
    </row>
    <row r="937" spans="1:20" ht="34" x14ac:dyDescent="0.2">
      <c r="A937">
        <v>935</v>
      </c>
      <c r="B937" t="s">
        <v>1998</v>
      </c>
      <c r="C937" s="3" t="s">
        <v>1999</v>
      </c>
      <c r="D937">
        <v>6100</v>
      </c>
      <c r="E937">
        <v>10012</v>
      </c>
      <c r="F937" s="5">
        <f t="shared" si="28"/>
        <v>1.6413114754098361</v>
      </c>
      <c r="G937" t="s">
        <v>8</v>
      </c>
      <c r="H937">
        <v>132</v>
      </c>
      <c r="I937">
        <f t="shared" si="29"/>
        <v>75.848484848484844</v>
      </c>
      <c r="J937" t="s">
        <v>109</v>
      </c>
      <c r="K937" t="s">
        <v>110</v>
      </c>
      <c r="L937" s="4">
        <v>42209.208333333328</v>
      </c>
      <c r="M937" s="4" t="s">
        <v>53</v>
      </c>
      <c r="N937" s="4" t="s">
        <v>105</v>
      </c>
      <c r="O937" s="4">
        <v>42216.208333333328</v>
      </c>
      <c r="P937" t="b">
        <v>0</v>
      </c>
      <c r="Q937" t="b">
        <v>0</v>
      </c>
      <c r="R937" t="s">
        <v>124</v>
      </c>
      <c r="S937" t="str" cm="1">
        <f t="array" ref="S937:T937">_xlfn.TEXTSPLIT(R937, "/", , FALSE)</f>
        <v>theater</v>
      </c>
      <c r="T937" t="str">
        <v>plays</v>
      </c>
    </row>
    <row r="938" spans="1:20" ht="17" x14ac:dyDescent="0.2">
      <c r="A938">
        <v>936</v>
      </c>
      <c r="B938" t="s">
        <v>1341</v>
      </c>
      <c r="C938" s="3" t="s">
        <v>2000</v>
      </c>
      <c r="D938">
        <v>103200</v>
      </c>
      <c r="E938">
        <v>1690</v>
      </c>
      <c r="F938" s="5">
        <f t="shared" si="28"/>
        <v>1.6375968992248063E-2</v>
      </c>
      <c r="G938" t="s">
        <v>6</v>
      </c>
      <c r="H938">
        <v>21</v>
      </c>
      <c r="I938">
        <f t="shared" si="29"/>
        <v>80.476190476190482</v>
      </c>
      <c r="J938" t="s">
        <v>109</v>
      </c>
      <c r="K938" t="s">
        <v>110</v>
      </c>
      <c r="L938" s="4">
        <v>43668.208333333328</v>
      </c>
      <c r="M938" s="4" t="s">
        <v>53</v>
      </c>
      <c r="N938" s="4" t="s">
        <v>121</v>
      </c>
      <c r="O938" s="4">
        <v>43671.208333333328</v>
      </c>
      <c r="P938" t="b">
        <v>1</v>
      </c>
      <c r="Q938" t="b">
        <v>0</v>
      </c>
      <c r="R938" t="s">
        <v>124</v>
      </c>
      <c r="S938" t="str" cm="1">
        <f t="array" ref="S938:T938">_xlfn.TEXTSPLIT(R938, "/", , FALSE)</f>
        <v>theater</v>
      </c>
      <c r="T938" t="str">
        <v>plays</v>
      </c>
    </row>
    <row r="939" spans="1:20" ht="17" x14ac:dyDescent="0.2">
      <c r="A939">
        <v>937</v>
      </c>
      <c r="B939" t="s">
        <v>2001</v>
      </c>
      <c r="C939" s="3" t="s">
        <v>2002</v>
      </c>
      <c r="D939">
        <v>171000</v>
      </c>
      <c r="E939">
        <v>84891</v>
      </c>
      <c r="F939" s="5">
        <f t="shared" si="28"/>
        <v>0.49643859649122807</v>
      </c>
      <c r="G939" t="s">
        <v>5</v>
      </c>
      <c r="H939">
        <v>976</v>
      </c>
      <c r="I939">
        <f t="shared" si="29"/>
        <v>86.978483606557376</v>
      </c>
      <c r="J939" t="s">
        <v>109</v>
      </c>
      <c r="K939" t="s">
        <v>110</v>
      </c>
      <c r="L939" s="4">
        <v>42334.25</v>
      </c>
      <c r="M939" s="4" t="s">
        <v>57</v>
      </c>
      <c r="N939" s="4" t="s">
        <v>105</v>
      </c>
      <c r="O939" s="4">
        <v>42343.25</v>
      </c>
      <c r="P939" t="b">
        <v>0</v>
      </c>
      <c r="Q939" t="b">
        <v>0</v>
      </c>
      <c r="R939" t="s">
        <v>135</v>
      </c>
      <c r="S939" t="str" cm="1">
        <f t="array" ref="S939:T939">_xlfn.TEXTSPLIT(R939, "/", , FALSE)</f>
        <v>film &amp; video</v>
      </c>
      <c r="T939" t="str">
        <v>documentary</v>
      </c>
    </row>
    <row r="940" spans="1:20" ht="17" x14ac:dyDescent="0.2">
      <c r="A940">
        <v>938</v>
      </c>
      <c r="B940" t="s">
        <v>2003</v>
      </c>
      <c r="C940" s="3" t="s">
        <v>2004</v>
      </c>
      <c r="D940">
        <v>9200</v>
      </c>
      <c r="E940">
        <v>10093</v>
      </c>
      <c r="F940" s="5">
        <f t="shared" si="28"/>
        <v>1.0970652173913042</v>
      </c>
      <c r="G940" t="s">
        <v>8</v>
      </c>
      <c r="H940">
        <v>96</v>
      </c>
      <c r="I940">
        <f t="shared" si="29"/>
        <v>105.13541666666667</v>
      </c>
      <c r="J940" t="s">
        <v>109</v>
      </c>
      <c r="K940" t="s">
        <v>110</v>
      </c>
      <c r="L940" s="4">
        <v>43263.208333333328</v>
      </c>
      <c r="M940" s="4" t="s">
        <v>52</v>
      </c>
      <c r="N940" s="4" t="s">
        <v>169</v>
      </c>
      <c r="O940" s="4">
        <v>43299.208333333328</v>
      </c>
      <c r="P940" t="b">
        <v>0</v>
      </c>
      <c r="Q940" t="b">
        <v>1</v>
      </c>
      <c r="R940" t="s">
        <v>214</v>
      </c>
      <c r="S940" t="str" cm="1">
        <f t="array" ref="S940:T940">_xlfn.TEXTSPLIT(R940, "/", , FALSE)</f>
        <v>publishing</v>
      </c>
      <c r="T940" t="str">
        <v>fiction</v>
      </c>
    </row>
    <row r="941" spans="1:20" ht="34" x14ac:dyDescent="0.2">
      <c r="A941">
        <v>939</v>
      </c>
      <c r="B941" t="s">
        <v>2005</v>
      </c>
      <c r="C941" s="3" t="s">
        <v>2006</v>
      </c>
      <c r="D941">
        <v>7800</v>
      </c>
      <c r="E941">
        <v>3839</v>
      </c>
      <c r="F941" s="5">
        <f t="shared" si="28"/>
        <v>0.49217948717948717</v>
      </c>
      <c r="G941" t="s">
        <v>6</v>
      </c>
      <c r="H941">
        <v>67</v>
      </c>
      <c r="I941">
        <f t="shared" si="29"/>
        <v>57.298507462686565</v>
      </c>
      <c r="J941" t="s">
        <v>109</v>
      </c>
      <c r="K941" t="s">
        <v>110</v>
      </c>
      <c r="L941" s="4">
        <v>40670.208333333336</v>
      </c>
      <c r="M941" s="4" t="s">
        <v>51</v>
      </c>
      <c r="N941" s="4" t="s">
        <v>165</v>
      </c>
      <c r="O941" s="4">
        <v>40687.208333333336</v>
      </c>
      <c r="P941" t="b">
        <v>0</v>
      </c>
      <c r="Q941" t="b">
        <v>1</v>
      </c>
      <c r="R941" t="s">
        <v>184</v>
      </c>
      <c r="S941" t="str" cm="1">
        <f t="array" ref="S941:T941">_xlfn.TEXTSPLIT(R941, "/", , FALSE)</f>
        <v>games</v>
      </c>
      <c r="T941" t="str">
        <v>video games</v>
      </c>
    </row>
    <row r="942" spans="1:20" ht="17" x14ac:dyDescent="0.2">
      <c r="A942">
        <v>940</v>
      </c>
      <c r="B942" t="s">
        <v>2007</v>
      </c>
      <c r="C942" s="3" t="s">
        <v>2008</v>
      </c>
      <c r="D942">
        <v>9900</v>
      </c>
      <c r="E942">
        <v>6161</v>
      </c>
      <c r="F942" s="5">
        <f t="shared" si="28"/>
        <v>0.62232323232323228</v>
      </c>
      <c r="G942" t="s">
        <v>7</v>
      </c>
      <c r="H942">
        <v>66</v>
      </c>
      <c r="I942">
        <f t="shared" si="29"/>
        <v>93.348484848484844</v>
      </c>
      <c r="J942" t="s">
        <v>103</v>
      </c>
      <c r="K942" t="s">
        <v>104</v>
      </c>
      <c r="L942" s="4">
        <v>41244.25</v>
      </c>
      <c r="M942" s="4" t="s">
        <v>58</v>
      </c>
      <c r="N942" s="4" t="s">
        <v>129</v>
      </c>
      <c r="O942" s="4">
        <v>41266.25</v>
      </c>
      <c r="P942" t="b">
        <v>0</v>
      </c>
      <c r="Q942" t="b">
        <v>0</v>
      </c>
      <c r="R942" t="s">
        <v>118</v>
      </c>
      <c r="S942" t="str" cm="1">
        <f t="array" ref="S942:T942">_xlfn.TEXTSPLIT(R942, "/", , FALSE)</f>
        <v>technology</v>
      </c>
      <c r="T942" t="str">
        <v>web</v>
      </c>
    </row>
    <row r="943" spans="1:20" ht="17" x14ac:dyDescent="0.2">
      <c r="A943">
        <v>941</v>
      </c>
      <c r="B943" t="s">
        <v>2009</v>
      </c>
      <c r="C943" s="3" t="s">
        <v>2010</v>
      </c>
      <c r="D943">
        <v>43000</v>
      </c>
      <c r="E943">
        <v>5615</v>
      </c>
      <c r="F943" s="5">
        <f t="shared" si="28"/>
        <v>0.1305813953488372</v>
      </c>
      <c r="G943" t="s">
        <v>6</v>
      </c>
      <c r="H943">
        <v>78</v>
      </c>
      <c r="I943">
        <f t="shared" si="29"/>
        <v>71.987179487179489</v>
      </c>
      <c r="J943" t="s">
        <v>109</v>
      </c>
      <c r="K943" t="s">
        <v>110</v>
      </c>
      <c r="L943" s="4">
        <v>40552.25</v>
      </c>
      <c r="M943" s="4" t="s">
        <v>47</v>
      </c>
      <c r="N943" s="4" t="s">
        <v>165</v>
      </c>
      <c r="O943" s="4">
        <v>40587.25</v>
      </c>
      <c r="P943" t="b">
        <v>1</v>
      </c>
      <c r="Q943" t="b">
        <v>0</v>
      </c>
      <c r="R943" t="s">
        <v>124</v>
      </c>
      <c r="S943" t="str" cm="1">
        <f t="array" ref="S943:T943">_xlfn.TEXTSPLIT(R943, "/", , FALSE)</f>
        <v>theater</v>
      </c>
      <c r="T943" t="str">
        <v>plays</v>
      </c>
    </row>
    <row r="944" spans="1:20" ht="17" x14ac:dyDescent="0.2">
      <c r="A944">
        <v>942</v>
      </c>
      <c r="B944" t="s">
        <v>2003</v>
      </c>
      <c r="C944" s="3" t="s">
        <v>2011</v>
      </c>
      <c r="D944">
        <v>9600</v>
      </c>
      <c r="E944">
        <v>6205</v>
      </c>
      <c r="F944" s="5">
        <f t="shared" si="28"/>
        <v>0.64635416666666667</v>
      </c>
      <c r="G944" t="s">
        <v>6</v>
      </c>
      <c r="H944">
        <v>67</v>
      </c>
      <c r="I944">
        <f t="shared" si="29"/>
        <v>92.611940298507463</v>
      </c>
      <c r="J944" t="s">
        <v>115</v>
      </c>
      <c r="K944" t="s">
        <v>116</v>
      </c>
      <c r="L944" s="4">
        <v>40568.25</v>
      </c>
      <c r="M944" s="4" t="s">
        <v>47</v>
      </c>
      <c r="N944" s="4" t="s">
        <v>165</v>
      </c>
      <c r="O944" s="4">
        <v>40571.25</v>
      </c>
      <c r="P944" t="b">
        <v>0</v>
      </c>
      <c r="Q944" t="b">
        <v>0</v>
      </c>
      <c r="R944" t="s">
        <v>124</v>
      </c>
      <c r="S944" t="str" cm="1">
        <f t="array" ref="S944:T944">_xlfn.TEXTSPLIT(R944, "/", , FALSE)</f>
        <v>theater</v>
      </c>
      <c r="T944" t="str">
        <v>plays</v>
      </c>
    </row>
    <row r="945" spans="1:20" ht="17" x14ac:dyDescent="0.2">
      <c r="A945">
        <v>943</v>
      </c>
      <c r="B945" t="s">
        <v>2012</v>
      </c>
      <c r="C945" s="3" t="s">
        <v>2013</v>
      </c>
      <c r="D945">
        <v>7500</v>
      </c>
      <c r="E945">
        <v>11969</v>
      </c>
      <c r="F945" s="5">
        <f t="shared" si="28"/>
        <v>1.5958666666666668</v>
      </c>
      <c r="G945" t="s">
        <v>8</v>
      </c>
      <c r="H945">
        <v>114</v>
      </c>
      <c r="I945">
        <f t="shared" si="29"/>
        <v>104.99122807017544</v>
      </c>
      <c r="J945" t="s">
        <v>109</v>
      </c>
      <c r="K945" t="s">
        <v>110</v>
      </c>
      <c r="L945" s="4">
        <v>41906.208333333336</v>
      </c>
      <c r="M945" s="4" t="s">
        <v>55</v>
      </c>
      <c r="N945" s="4" t="s">
        <v>111</v>
      </c>
      <c r="O945" s="4">
        <v>41941.208333333336</v>
      </c>
      <c r="P945" t="b">
        <v>0</v>
      </c>
      <c r="Q945" t="b">
        <v>0</v>
      </c>
      <c r="R945" t="s">
        <v>106</v>
      </c>
      <c r="S945" t="str" cm="1">
        <f t="array" ref="S945:T945">_xlfn.TEXTSPLIT(R945, "/", , FALSE)</f>
        <v>food</v>
      </c>
      <c r="T945" t="str">
        <v>food trucks</v>
      </c>
    </row>
    <row r="946" spans="1:20" ht="17" x14ac:dyDescent="0.2">
      <c r="A946">
        <v>944</v>
      </c>
      <c r="B946" t="s">
        <v>2014</v>
      </c>
      <c r="C946" s="3" t="s">
        <v>2015</v>
      </c>
      <c r="D946">
        <v>10000</v>
      </c>
      <c r="E946">
        <v>8142</v>
      </c>
      <c r="F946" s="5">
        <f t="shared" si="28"/>
        <v>0.81420000000000003</v>
      </c>
      <c r="G946" t="s">
        <v>6</v>
      </c>
      <c r="H946">
        <v>263</v>
      </c>
      <c r="I946">
        <f t="shared" si="29"/>
        <v>30.958174904942965</v>
      </c>
      <c r="J946" t="s">
        <v>115</v>
      </c>
      <c r="K946" t="s">
        <v>116</v>
      </c>
      <c r="L946" s="4">
        <v>42776.25</v>
      </c>
      <c r="M946" s="4" t="s">
        <v>48</v>
      </c>
      <c r="N946" s="4" t="s">
        <v>134</v>
      </c>
      <c r="O946" s="4">
        <v>42795.25</v>
      </c>
      <c r="P946" t="b">
        <v>0</v>
      </c>
      <c r="Q946" t="b">
        <v>0</v>
      </c>
      <c r="R946" t="s">
        <v>217</v>
      </c>
      <c r="S946" t="str" cm="1">
        <f t="array" ref="S946:T946">_xlfn.TEXTSPLIT(R946, "/", , FALSE)</f>
        <v>photography</v>
      </c>
      <c r="T946" t="str">
        <v>photography books</v>
      </c>
    </row>
    <row r="947" spans="1:20" ht="17" x14ac:dyDescent="0.2">
      <c r="A947">
        <v>945</v>
      </c>
      <c r="B947" t="s">
        <v>2016</v>
      </c>
      <c r="C947" s="3" t="s">
        <v>2017</v>
      </c>
      <c r="D947">
        <v>172000</v>
      </c>
      <c r="E947">
        <v>55805</v>
      </c>
      <c r="F947" s="5">
        <f t="shared" si="28"/>
        <v>0.32444767441860467</v>
      </c>
      <c r="G947" t="s">
        <v>6</v>
      </c>
      <c r="H947">
        <v>1691</v>
      </c>
      <c r="I947">
        <f t="shared" si="29"/>
        <v>33.001182732111175</v>
      </c>
      <c r="J947" t="s">
        <v>109</v>
      </c>
      <c r="K947" t="s">
        <v>110</v>
      </c>
      <c r="L947" s="4">
        <v>41004.208333333336</v>
      </c>
      <c r="M947" s="4" t="s">
        <v>50</v>
      </c>
      <c r="N947" s="4" t="s">
        <v>129</v>
      </c>
      <c r="O947" s="4">
        <v>41019.208333333336</v>
      </c>
      <c r="P947" t="b">
        <v>1</v>
      </c>
      <c r="Q947" t="b">
        <v>0</v>
      </c>
      <c r="R947" t="s">
        <v>217</v>
      </c>
      <c r="S947" t="str" cm="1">
        <f t="array" ref="S947:T947">_xlfn.TEXTSPLIT(R947, "/", , FALSE)</f>
        <v>photography</v>
      </c>
      <c r="T947" t="str">
        <v>photography books</v>
      </c>
    </row>
    <row r="948" spans="1:20" ht="34" x14ac:dyDescent="0.2">
      <c r="A948">
        <v>946</v>
      </c>
      <c r="B948" t="s">
        <v>2018</v>
      </c>
      <c r="C948" s="3" t="s">
        <v>2019</v>
      </c>
      <c r="D948">
        <v>153700</v>
      </c>
      <c r="E948">
        <v>15238</v>
      </c>
      <c r="F948" s="5">
        <f t="shared" si="28"/>
        <v>9.9141184124918666E-2</v>
      </c>
      <c r="G948" t="s">
        <v>6</v>
      </c>
      <c r="H948">
        <v>181</v>
      </c>
      <c r="I948">
        <f t="shared" si="29"/>
        <v>84.187845303867405</v>
      </c>
      <c r="J948" t="s">
        <v>109</v>
      </c>
      <c r="K948" t="s">
        <v>110</v>
      </c>
      <c r="L948" s="4">
        <v>40710.208333333336</v>
      </c>
      <c r="M948" s="4" t="s">
        <v>52</v>
      </c>
      <c r="N948" s="4" t="s">
        <v>165</v>
      </c>
      <c r="O948" s="4">
        <v>40712.208333333336</v>
      </c>
      <c r="P948" t="b">
        <v>0</v>
      </c>
      <c r="Q948" t="b">
        <v>0</v>
      </c>
      <c r="R948" t="s">
        <v>124</v>
      </c>
      <c r="S948" t="str" cm="1">
        <f t="array" ref="S948:T948">_xlfn.TEXTSPLIT(R948, "/", , FALSE)</f>
        <v>theater</v>
      </c>
      <c r="T948" t="str">
        <v>plays</v>
      </c>
    </row>
    <row r="949" spans="1:20" ht="17" x14ac:dyDescent="0.2">
      <c r="A949">
        <v>947</v>
      </c>
      <c r="B949" t="s">
        <v>2020</v>
      </c>
      <c r="C949" s="3" t="s">
        <v>2021</v>
      </c>
      <c r="D949">
        <v>3600</v>
      </c>
      <c r="E949">
        <v>961</v>
      </c>
      <c r="F949" s="5">
        <f t="shared" si="28"/>
        <v>0.26694444444444443</v>
      </c>
      <c r="G949" t="s">
        <v>6</v>
      </c>
      <c r="H949">
        <v>13</v>
      </c>
      <c r="I949">
        <f t="shared" si="29"/>
        <v>73.92307692307692</v>
      </c>
      <c r="J949" t="s">
        <v>109</v>
      </c>
      <c r="K949" t="s">
        <v>110</v>
      </c>
      <c r="L949" s="4">
        <v>41908.208333333336</v>
      </c>
      <c r="M949" s="4" t="s">
        <v>55</v>
      </c>
      <c r="N949" s="4" t="s">
        <v>111</v>
      </c>
      <c r="O949" s="4">
        <v>41915.208333333336</v>
      </c>
      <c r="P949" t="b">
        <v>0</v>
      </c>
      <c r="Q949" t="b">
        <v>0</v>
      </c>
      <c r="R949" t="s">
        <v>124</v>
      </c>
      <c r="S949" t="str" cm="1">
        <f t="array" ref="S949:T949">_xlfn.TEXTSPLIT(R949, "/", , FALSE)</f>
        <v>theater</v>
      </c>
      <c r="T949" t="str">
        <v>plays</v>
      </c>
    </row>
    <row r="950" spans="1:20" ht="17" x14ac:dyDescent="0.2">
      <c r="A950">
        <v>948</v>
      </c>
      <c r="B950" t="s">
        <v>2022</v>
      </c>
      <c r="C950" s="3" t="s">
        <v>2023</v>
      </c>
      <c r="D950">
        <v>9400</v>
      </c>
      <c r="E950">
        <v>5918</v>
      </c>
      <c r="F950" s="5">
        <f t="shared" si="28"/>
        <v>0.62957446808510642</v>
      </c>
      <c r="G950" t="s">
        <v>5</v>
      </c>
      <c r="H950">
        <v>160</v>
      </c>
      <c r="I950">
        <f t="shared" si="29"/>
        <v>36.987499999999997</v>
      </c>
      <c r="J950" t="s">
        <v>109</v>
      </c>
      <c r="K950" t="s">
        <v>110</v>
      </c>
      <c r="L950" s="4">
        <v>41985.25</v>
      </c>
      <c r="M950" s="4" t="s">
        <v>58</v>
      </c>
      <c r="N950" s="4" t="s">
        <v>111</v>
      </c>
      <c r="O950" s="4">
        <v>41995.25</v>
      </c>
      <c r="P950" t="b">
        <v>1</v>
      </c>
      <c r="Q950" t="b">
        <v>1</v>
      </c>
      <c r="R950" t="s">
        <v>135</v>
      </c>
      <c r="S950" t="str" cm="1">
        <f t="array" ref="S950:T950">_xlfn.TEXTSPLIT(R950, "/", , FALSE)</f>
        <v>film &amp; video</v>
      </c>
      <c r="T950" t="str">
        <v>documentary</v>
      </c>
    </row>
    <row r="951" spans="1:20" ht="34" x14ac:dyDescent="0.2">
      <c r="A951">
        <v>949</v>
      </c>
      <c r="B951" t="s">
        <v>2024</v>
      </c>
      <c r="C951" s="3" t="s">
        <v>2025</v>
      </c>
      <c r="D951">
        <v>5900</v>
      </c>
      <c r="E951">
        <v>9520</v>
      </c>
      <c r="F951" s="5">
        <f t="shared" si="28"/>
        <v>1.6135593220338984</v>
      </c>
      <c r="G951" t="s">
        <v>8</v>
      </c>
      <c r="H951">
        <v>203</v>
      </c>
      <c r="I951">
        <f t="shared" si="29"/>
        <v>46.896551724137929</v>
      </c>
      <c r="J951" t="s">
        <v>109</v>
      </c>
      <c r="K951" t="s">
        <v>110</v>
      </c>
      <c r="L951" s="4">
        <v>42112.208333333328</v>
      </c>
      <c r="M951" s="4" t="s">
        <v>50</v>
      </c>
      <c r="N951" s="4" t="s">
        <v>105</v>
      </c>
      <c r="O951" s="4">
        <v>42131.208333333328</v>
      </c>
      <c r="P951" t="b">
        <v>0</v>
      </c>
      <c r="Q951" t="b">
        <v>0</v>
      </c>
      <c r="R951" t="s">
        <v>118</v>
      </c>
      <c r="S951" t="str" cm="1">
        <f t="array" ref="S951:T951">_xlfn.TEXTSPLIT(R951, "/", , FALSE)</f>
        <v>technology</v>
      </c>
      <c r="T951" t="str">
        <v>web</v>
      </c>
    </row>
    <row r="952" spans="1:20" ht="17" x14ac:dyDescent="0.2">
      <c r="A952">
        <v>950</v>
      </c>
      <c r="B952" t="s">
        <v>2026</v>
      </c>
      <c r="C952" s="3" t="s">
        <v>2027</v>
      </c>
      <c r="D952">
        <v>100</v>
      </c>
      <c r="E952">
        <v>5</v>
      </c>
      <c r="F952" s="5">
        <f t="shared" si="28"/>
        <v>0.05</v>
      </c>
      <c r="G952" t="s">
        <v>6</v>
      </c>
      <c r="H952">
        <v>1</v>
      </c>
      <c r="I952">
        <f t="shared" si="29"/>
        <v>5</v>
      </c>
      <c r="J952" t="s">
        <v>109</v>
      </c>
      <c r="K952" t="s">
        <v>110</v>
      </c>
      <c r="L952" s="4">
        <v>43571.208333333328</v>
      </c>
      <c r="M952" s="4" t="s">
        <v>50</v>
      </c>
      <c r="N952" s="4" t="s">
        <v>121</v>
      </c>
      <c r="O952" s="4">
        <v>43576.208333333328</v>
      </c>
      <c r="P952" t="b">
        <v>0</v>
      </c>
      <c r="Q952" t="b">
        <v>1</v>
      </c>
      <c r="R952" t="s">
        <v>124</v>
      </c>
      <c r="S952" t="str" cm="1">
        <f t="array" ref="S952:T952">_xlfn.TEXTSPLIT(R952, "/", , FALSE)</f>
        <v>theater</v>
      </c>
      <c r="T952" t="str">
        <v>plays</v>
      </c>
    </row>
    <row r="953" spans="1:20" ht="17" x14ac:dyDescent="0.2">
      <c r="A953">
        <v>951</v>
      </c>
      <c r="B953" t="s">
        <v>2028</v>
      </c>
      <c r="C953" s="3" t="s">
        <v>2029</v>
      </c>
      <c r="D953">
        <v>14500</v>
      </c>
      <c r="E953">
        <v>159056</v>
      </c>
      <c r="F953" s="5">
        <f t="shared" si="28"/>
        <v>10.969379310344827</v>
      </c>
      <c r="G953" t="s">
        <v>8</v>
      </c>
      <c r="H953">
        <v>1559</v>
      </c>
      <c r="I953">
        <f t="shared" si="29"/>
        <v>102.02437459910199</v>
      </c>
      <c r="J953" t="s">
        <v>109</v>
      </c>
      <c r="K953" t="s">
        <v>110</v>
      </c>
      <c r="L953" s="4">
        <v>42730.25</v>
      </c>
      <c r="M953" s="4" t="s">
        <v>58</v>
      </c>
      <c r="N953" s="4" t="s">
        <v>153</v>
      </c>
      <c r="O953" s="4">
        <v>42731.25</v>
      </c>
      <c r="P953" t="b">
        <v>0</v>
      </c>
      <c r="Q953" t="b">
        <v>1</v>
      </c>
      <c r="R953" t="s">
        <v>112</v>
      </c>
      <c r="S953" t="str" cm="1">
        <f t="array" ref="S953:T953">_xlfn.TEXTSPLIT(R953, "/", , FALSE)</f>
        <v>music</v>
      </c>
      <c r="T953" t="str">
        <v>rock</v>
      </c>
    </row>
    <row r="954" spans="1:20" ht="17" x14ac:dyDescent="0.2">
      <c r="A954">
        <v>952</v>
      </c>
      <c r="B954" t="s">
        <v>2030</v>
      </c>
      <c r="C954" s="3" t="s">
        <v>2031</v>
      </c>
      <c r="D954">
        <v>145500</v>
      </c>
      <c r="E954">
        <v>101987</v>
      </c>
      <c r="F954" s="5">
        <f t="shared" si="28"/>
        <v>0.70094158075601376</v>
      </c>
      <c r="G954" t="s">
        <v>5</v>
      </c>
      <c r="H954">
        <v>2266</v>
      </c>
      <c r="I954">
        <f t="shared" si="29"/>
        <v>45.007502206531335</v>
      </c>
      <c r="J954" t="s">
        <v>109</v>
      </c>
      <c r="K954" t="s">
        <v>110</v>
      </c>
      <c r="L954" s="4">
        <v>42591.208333333328</v>
      </c>
      <c r="M954" s="4" t="s">
        <v>54</v>
      </c>
      <c r="N954" s="4" t="s">
        <v>153</v>
      </c>
      <c r="O954" s="4">
        <v>42605.208333333328</v>
      </c>
      <c r="P954" t="b">
        <v>0</v>
      </c>
      <c r="Q954" t="b">
        <v>0</v>
      </c>
      <c r="R954" t="s">
        <v>135</v>
      </c>
      <c r="S954" t="str" cm="1">
        <f t="array" ref="S954:T954">_xlfn.TEXTSPLIT(R954, "/", , FALSE)</f>
        <v>film &amp; video</v>
      </c>
      <c r="T954" t="str">
        <v>documentary</v>
      </c>
    </row>
    <row r="955" spans="1:20" ht="34" x14ac:dyDescent="0.2">
      <c r="A955">
        <v>953</v>
      </c>
      <c r="B955" t="s">
        <v>2032</v>
      </c>
      <c r="C955" s="3" t="s">
        <v>2033</v>
      </c>
      <c r="D955">
        <v>3300</v>
      </c>
      <c r="E955">
        <v>1980</v>
      </c>
      <c r="F955" s="5">
        <f t="shared" si="28"/>
        <v>0.6</v>
      </c>
      <c r="G955" t="s">
        <v>6</v>
      </c>
      <c r="H955">
        <v>21</v>
      </c>
      <c r="I955">
        <f t="shared" si="29"/>
        <v>94.285714285714292</v>
      </c>
      <c r="J955" t="s">
        <v>109</v>
      </c>
      <c r="K955" t="s">
        <v>110</v>
      </c>
      <c r="L955" s="4">
        <v>42358.25</v>
      </c>
      <c r="M955" s="4" t="s">
        <v>58</v>
      </c>
      <c r="N955" s="4" t="s">
        <v>105</v>
      </c>
      <c r="O955" s="4">
        <v>42394.25</v>
      </c>
      <c r="P955" t="b">
        <v>0</v>
      </c>
      <c r="Q955" t="b">
        <v>1</v>
      </c>
      <c r="R955" t="s">
        <v>569</v>
      </c>
      <c r="S955" t="str" cm="1">
        <f t="array" ref="S955:T955">_xlfn.TEXTSPLIT(R955, "/", , FALSE)</f>
        <v>film &amp; video</v>
      </c>
      <c r="T955" t="str">
        <v>science fiction</v>
      </c>
    </row>
    <row r="956" spans="1:20" ht="17" x14ac:dyDescent="0.2">
      <c r="A956">
        <v>954</v>
      </c>
      <c r="B956" t="s">
        <v>2034</v>
      </c>
      <c r="C956" s="3" t="s">
        <v>2035</v>
      </c>
      <c r="D956">
        <v>42600</v>
      </c>
      <c r="E956">
        <v>156384</v>
      </c>
      <c r="F956" s="5">
        <f t="shared" si="28"/>
        <v>3.6709859154929578</v>
      </c>
      <c r="G956" t="s">
        <v>8</v>
      </c>
      <c r="H956">
        <v>1548</v>
      </c>
      <c r="I956">
        <f t="shared" si="29"/>
        <v>101.02325581395348</v>
      </c>
      <c r="J956" t="s">
        <v>115</v>
      </c>
      <c r="K956" t="s">
        <v>116</v>
      </c>
      <c r="L956" s="4">
        <v>41174.208333333336</v>
      </c>
      <c r="M956" s="4" t="s">
        <v>55</v>
      </c>
      <c r="N956" s="4" t="s">
        <v>129</v>
      </c>
      <c r="O956" s="4">
        <v>41198.208333333336</v>
      </c>
      <c r="P956" t="b">
        <v>0</v>
      </c>
      <c r="Q956" t="b">
        <v>0</v>
      </c>
      <c r="R956" t="s">
        <v>118</v>
      </c>
      <c r="S956" t="str" cm="1">
        <f t="array" ref="S956:T956">_xlfn.TEXTSPLIT(R956, "/", , FALSE)</f>
        <v>technology</v>
      </c>
      <c r="T956" t="str">
        <v>web</v>
      </c>
    </row>
    <row r="957" spans="1:20" ht="34" x14ac:dyDescent="0.2">
      <c r="A957">
        <v>955</v>
      </c>
      <c r="B957" t="s">
        <v>2036</v>
      </c>
      <c r="C957" s="3" t="s">
        <v>2037</v>
      </c>
      <c r="D957">
        <v>700</v>
      </c>
      <c r="E957">
        <v>7763</v>
      </c>
      <c r="F957" s="5">
        <f t="shared" si="28"/>
        <v>11.09</v>
      </c>
      <c r="G957" t="s">
        <v>8</v>
      </c>
      <c r="H957">
        <v>80</v>
      </c>
      <c r="I957">
        <f t="shared" si="29"/>
        <v>97.037499999999994</v>
      </c>
      <c r="J957" t="s">
        <v>109</v>
      </c>
      <c r="K957" t="s">
        <v>110</v>
      </c>
      <c r="L957" s="4">
        <v>41238.25</v>
      </c>
      <c r="M957" s="4" t="s">
        <v>57</v>
      </c>
      <c r="N957" s="4" t="s">
        <v>129</v>
      </c>
      <c r="O957" s="4">
        <v>41240.25</v>
      </c>
      <c r="P957" t="b">
        <v>0</v>
      </c>
      <c r="Q957" t="b">
        <v>0</v>
      </c>
      <c r="R957" t="s">
        <v>124</v>
      </c>
      <c r="S957" t="str" cm="1">
        <f t="array" ref="S957:T957">_xlfn.TEXTSPLIT(R957, "/", , FALSE)</f>
        <v>theater</v>
      </c>
      <c r="T957" t="str">
        <v>plays</v>
      </c>
    </row>
    <row r="958" spans="1:20" ht="17" x14ac:dyDescent="0.2">
      <c r="A958">
        <v>956</v>
      </c>
      <c r="B958" t="s">
        <v>2038</v>
      </c>
      <c r="C958" s="3" t="s">
        <v>2039</v>
      </c>
      <c r="D958">
        <v>187600</v>
      </c>
      <c r="E958">
        <v>35698</v>
      </c>
      <c r="F958" s="5">
        <f t="shared" si="28"/>
        <v>0.19028784648187633</v>
      </c>
      <c r="G958" t="s">
        <v>6</v>
      </c>
      <c r="H958">
        <v>830</v>
      </c>
      <c r="I958">
        <f t="shared" si="29"/>
        <v>43.00963855421687</v>
      </c>
      <c r="J958" t="s">
        <v>109</v>
      </c>
      <c r="K958" t="s">
        <v>110</v>
      </c>
      <c r="L958" s="4">
        <v>42360.25</v>
      </c>
      <c r="M958" s="4" t="s">
        <v>58</v>
      </c>
      <c r="N958" s="4" t="s">
        <v>105</v>
      </c>
      <c r="O958" s="4">
        <v>42364.25</v>
      </c>
      <c r="P958" t="b">
        <v>0</v>
      </c>
      <c r="Q958" t="b">
        <v>0</v>
      </c>
      <c r="R958" t="s">
        <v>569</v>
      </c>
      <c r="S958" t="str" cm="1">
        <f t="array" ref="S958:T958">_xlfn.TEXTSPLIT(R958, "/", , FALSE)</f>
        <v>film &amp; video</v>
      </c>
      <c r="T958" t="str">
        <v>science fiction</v>
      </c>
    </row>
    <row r="959" spans="1:20" ht="17" x14ac:dyDescent="0.2">
      <c r="A959">
        <v>957</v>
      </c>
      <c r="B959" t="s">
        <v>2040</v>
      </c>
      <c r="C959" s="3" t="s">
        <v>2041</v>
      </c>
      <c r="D959">
        <v>9800</v>
      </c>
      <c r="E959">
        <v>12434</v>
      </c>
      <c r="F959" s="5">
        <f t="shared" si="28"/>
        <v>1.2687755102040816</v>
      </c>
      <c r="G959" t="s">
        <v>8</v>
      </c>
      <c r="H959">
        <v>131</v>
      </c>
      <c r="I959">
        <f t="shared" si="29"/>
        <v>94.916030534351151</v>
      </c>
      <c r="J959" t="s">
        <v>109</v>
      </c>
      <c r="K959" t="s">
        <v>110</v>
      </c>
      <c r="L959" s="4">
        <v>40955.25</v>
      </c>
      <c r="M959" s="4" t="s">
        <v>48</v>
      </c>
      <c r="N959" s="4" t="s">
        <v>129</v>
      </c>
      <c r="O959" s="4">
        <v>40958.25</v>
      </c>
      <c r="P959" t="b">
        <v>0</v>
      </c>
      <c r="Q959" t="b">
        <v>0</v>
      </c>
      <c r="R959" t="s">
        <v>124</v>
      </c>
      <c r="S959" t="str" cm="1">
        <f t="array" ref="S959:T959">_xlfn.TEXTSPLIT(R959, "/", , FALSE)</f>
        <v>theater</v>
      </c>
      <c r="T959" t="str">
        <v>plays</v>
      </c>
    </row>
    <row r="960" spans="1:20" ht="34" x14ac:dyDescent="0.2">
      <c r="A960">
        <v>958</v>
      </c>
      <c r="B960" t="s">
        <v>2042</v>
      </c>
      <c r="C960" s="3" t="s">
        <v>2043</v>
      </c>
      <c r="D960">
        <v>1100</v>
      </c>
      <c r="E960">
        <v>8081</v>
      </c>
      <c r="F960" s="5">
        <f t="shared" si="28"/>
        <v>7.3463636363636367</v>
      </c>
      <c r="G960" t="s">
        <v>8</v>
      </c>
      <c r="H960">
        <v>112</v>
      </c>
      <c r="I960">
        <f t="shared" si="29"/>
        <v>72.151785714285708</v>
      </c>
      <c r="J960" t="s">
        <v>109</v>
      </c>
      <c r="K960" t="s">
        <v>110</v>
      </c>
      <c r="L960" s="4">
        <v>40350.208333333336</v>
      </c>
      <c r="M960" s="4" t="s">
        <v>52</v>
      </c>
      <c r="N960" s="4" t="s">
        <v>140</v>
      </c>
      <c r="O960" s="4">
        <v>40372.208333333336</v>
      </c>
      <c r="P960" t="b">
        <v>0</v>
      </c>
      <c r="Q960" t="b">
        <v>0</v>
      </c>
      <c r="R960" t="s">
        <v>166</v>
      </c>
      <c r="S960" t="str" cm="1">
        <f t="array" ref="S960:T960">_xlfn.TEXTSPLIT(R960, "/", , FALSE)</f>
        <v>film &amp; video</v>
      </c>
      <c r="T960" t="str">
        <v>animation</v>
      </c>
    </row>
    <row r="961" spans="1:20" ht="17" x14ac:dyDescent="0.2">
      <c r="A961">
        <v>959</v>
      </c>
      <c r="B961" t="s">
        <v>2044</v>
      </c>
      <c r="C961" s="3" t="s">
        <v>2045</v>
      </c>
      <c r="D961">
        <v>145000</v>
      </c>
      <c r="E961">
        <v>6631</v>
      </c>
      <c r="F961" s="5">
        <f t="shared" si="28"/>
        <v>4.5731034482758622E-2</v>
      </c>
      <c r="G961" t="s">
        <v>6</v>
      </c>
      <c r="H961">
        <v>130</v>
      </c>
      <c r="I961">
        <f t="shared" si="29"/>
        <v>51.007692307692309</v>
      </c>
      <c r="J961" t="s">
        <v>109</v>
      </c>
      <c r="K961" t="s">
        <v>110</v>
      </c>
      <c r="L961" s="4">
        <v>40357.208333333336</v>
      </c>
      <c r="M961" s="4" t="s">
        <v>52</v>
      </c>
      <c r="N961" s="4" t="s">
        <v>140</v>
      </c>
      <c r="O961" s="4">
        <v>40385.208333333336</v>
      </c>
      <c r="P961" t="b">
        <v>0</v>
      </c>
      <c r="Q961" t="b">
        <v>0</v>
      </c>
      <c r="R961" t="s">
        <v>301</v>
      </c>
      <c r="S961" t="str" cm="1">
        <f t="array" ref="S961:T961">_xlfn.TEXTSPLIT(R961, "/", , FALSE)</f>
        <v>publishing</v>
      </c>
      <c r="T961" t="str">
        <v>translations</v>
      </c>
    </row>
    <row r="962" spans="1:20" ht="17" x14ac:dyDescent="0.2">
      <c r="A962">
        <v>960</v>
      </c>
      <c r="B962" t="s">
        <v>2046</v>
      </c>
      <c r="C962" s="3" t="s">
        <v>2047</v>
      </c>
      <c r="D962">
        <v>5500</v>
      </c>
      <c r="E962">
        <v>4678</v>
      </c>
      <c r="F962" s="5">
        <f t="shared" si="28"/>
        <v>0.85054545454545449</v>
      </c>
      <c r="G962" t="s">
        <v>6</v>
      </c>
      <c r="H962">
        <v>55</v>
      </c>
      <c r="I962">
        <f t="shared" si="29"/>
        <v>85.054545454545448</v>
      </c>
      <c r="J962" t="s">
        <v>109</v>
      </c>
      <c r="K962" t="s">
        <v>110</v>
      </c>
      <c r="L962" s="4">
        <v>42408.25</v>
      </c>
      <c r="M962" s="4" t="s">
        <v>48</v>
      </c>
      <c r="N962" s="4" t="s">
        <v>153</v>
      </c>
      <c r="O962" s="4">
        <v>42445.208333333328</v>
      </c>
      <c r="P962" t="b">
        <v>0</v>
      </c>
      <c r="Q962" t="b">
        <v>0</v>
      </c>
      <c r="R962" t="s">
        <v>118</v>
      </c>
      <c r="S962" t="str" cm="1">
        <f t="array" ref="S962:T962">_xlfn.TEXTSPLIT(R962, "/", , FALSE)</f>
        <v>technology</v>
      </c>
      <c r="T962" t="str">
        <v>web</v>
      </c>
    </row>
    <row r="963" spans="1:20" ht="34" x14ac:dyDescent="0.2">
      <c r="A963">
        <v>961</v>
      </c>
      <c r="B963" t="s">
        <v>2048</v>
      </c>
      <c r="C963" s="3" t="s">
        <v>2049</v>
      </c>
      <c r="D963">
        <v>5700</v>
      </c>
      <c r="E963">
        <v>6800</v>
      </c>
      <c r="F963" s="5">
        <f t="shared" ref="F963:F1001" si="30">E963/D963</f>
        <v>1.1929824561403508</v>
      </c>
      <c r="G963" t="s">
        <v>8</v>
      </c>
      <c r="H963">
        <v>155</v>
      </c>
      <c r="I963">
        <f t="shared" ref="I963:I1001" si="31">E963/H963</f>
        <v>43.87096774193548</v>
      </c>
      <c r="J963" t="s">
        <v>109</v>
      </c>
      <c r="K963" t="s">
        <v>110</v>
      </c>
      <c r="L963" s="4">
        <v>40591.25</v>
      </c>
      <c r="M963" s="4" t="s">
        <v>48</v>
      </c>
      <c r="N963" s="4" t="s">
        <v>165</v>
      </c>
      <c r="O963" s="4">
        <v>40595.25</v>
      </c>
      <c r="P963" t="b">
        <v>0</v>
      </c>
      <c r="Q963" t="b">
        <v>0</v>
      </c>
      <c r="R963" t="s">
        <v>301</v>
      </c>
      <c r="S963" t="str" cm="1">
        <f t="array" ref="S963:T963">_xlfn.TEXTSPLIT(R963, "/", , FALSE)</f>
        <v>publishing</v>
      </c>
      <c r="T963" t="str">
        <v>translations</v>
      </c>
    </row>
    <row r="964" spans="1:20" ht="17" x14ac:dyDescent="0.2">
      <c r="A964">
        <v>962</v>
      </c>
      <c r="B964" t="s">
        <v>2050</v>
      </c>
      <c r="C964" s="3" t="s">
        <v>2051</v>
      </c>
      <c r="D964">
        <v>3600</v>
      </c>
      <c r="E964">
        <v>10657</v>
      </c>
      <c r="F964" s="5">
        <f t="shared" si="30"/>
        <v>2.9602777777777778</v>
      </c>
      <c r="G964" t="s">
        <v>8</v>
      </c>
      <c r="H964">
        <v>266</v>
      </c>
      <c r="I964">
        <f t="shared" si="31"/>
        <v>40.063909774436091</v>
      </c>
      <c r="J964" t="s">
        <v>109</v>
      </c>
      <c r="K964" t="s">
        <v>110</v>
      </c>
      <c r="L964" s="4">
        <v>41592.25</v>
      </c>
      <c r="M964" s="4" t="s">
        <v>57</v>
      </c>
      <c r="N964" s="4" t="s">
        <v>117</v>
      </c>
      <c r="O964" s="4">
        <v>41613.25</v>
      </c>
      <c r="P964" t="b">
        <v>0</v>
      </c>
      <c r="Q964" t="b">
        <v>0</v>
      </c>
      <c r="R964" t="s">
        <v>106</v>
      </c>
      <c r="S964" t="str" cm="1">
        <f t="array" ref="S964:T964">_xlfn.TEXTSPLIT(R964, "/", , FALSE)</f>
        <v>food</v>
      </c>
      <c r="T964" t="str">
        <v>food trucks</v>
      </c>
    </row>
    <row r="965" spans="1:20" ht="17" x14ac:dyDescent="0.2">
      <c r="A965">
        <v>963</v>
      </c>
      <c r="B965" t="s">
        <v>2052</v>
      </c>
      <c r="C965" s="3" t="s">
        <v>2053</v>
      </c>
      <c r="D965">
        <v>5900</v>
      </c>
      <c r="E965">
        <v>4997</v>
      </c>
      <c r="F965" s="5">
        <f t="shared" si="30"/>
        <v>0.84694915254237291</v>
      </c>
      <c r="G965" t="s">
        <v>6</v>
      </c>
      <c r="H965">
        <v>114</v>
      </c>
      <c r="I965">
        <f t="shared" si="31"/>
        <v>43.833333333333336</v>
      </c>
      <c r="J965" t="s">
        <v>202</v>
      </c>
      <c r="K965" t="s">
        <v>203</v>
      </c>
      <c r="L965" s="4">
        <v>40607.25</v>
      </c>
      <c r="M965" s="4" t="s">
        <v>49</v>
      </c>
      <c r="N965" s="4" t="s">
        <v>165</v>
      </c>
      <c r="O965" s="4">
        <v>40613.25</v>
      </c>
      <c r="P965" t="b">
        <v>0</v>
      </c>
      <c r="Q965" t="b">
        <v>1</v>
      </c>
      <c r="R965" t="s">
        <v>217</v>
      </c>
      <c r="S965" t="str" cm="1">
        <f t="array" ref="S965:T965">_xlfn.TEXTSPLIT(R965, "/", , FALSE)</f>
        <v>photography</v>
      </c>
      <c r="T965" t="str">
        <v>photography books</v>
      </c>
    </row>
    <row r="966" spans="1:20" ht="17" x14ac:dyDescent="0.2">
      <c r="A966">
        <v>964</v>
      </c>
      <c r="B966" t="s">
        <v>2054</v>
      </c>
      <c r="C966" s="3" t="s">
        <v>2055</v>
      </c>
      <c r="D966">
        <v>3700</v>
      </c>
      <c r="E966">
        <v>13164</v>
      </c>
      <c r="F966" s="5">
        <f t="shared" si="30"/>
        <v>3.5578378378378379</v>
      </c>
      <c r="G966" t="s">
        <v>8</v>
      </c>
      <c r="H966">
        <v>155</v>
      </c>
      <c r="I966">
        <f t="shared" si="31"/>
        <v>84.92903225806451</v>
      </c>
      <c r="J966" t="s">
        <v>109</v>
      </c>
      <c r="K966" t="s">
        <v>110</v>
      </c>
      <c r="L966" s="4">
        <v>42135.208333333328</v>
      </c>
      <c r="M966" s="4" t="s">
        <v>51</v>
      </c>
      <c r="N966" s="4" t="s">
        <v>105</v>
      </c>
      <c r="O966" s="4">
        <v>42140.208333333328</v>
      </c>
      <c r="P966" t="b">
        <v>0</v>
      </c>
      <c r="Q966" t="b">
        <v>0</v>
      </c>
      <c r="R966" t="s">
        <v>124</v>
      </c>
      <c r="S966" t="str" cm="1">
        <f t="array" ref="S966:T966">_xlfn.TEXTSPLIT(R966, "/", , FALSE)</f>
        <v>theater</v>
      </c>
      <c r="T966" t="str">
        <v>plays</v>
      </c>
    </row>
    <row r="967" spans="1:20" ht="17" x14ac:dyDescent="0.2">
      <c r="A967">
        <v>965</v>
      </c>
      <c r="B967" t="s">
        <v>2056</v>
      </c>
      <c r="C967" s="3" t="s">
        <v>2057</v>
      </c>
      <c r="D967">
        <v>2200</v>
      </c>
      <c r="E967">
        <v>8501</v>
      </c>
      <c r="F967" s="5">
        <f t="shared" si="30"/>
        <v>3.8640909090909092</v>
      </c>
      <c r="G967" t="s">
        <v>8</v>
      </c>
      <c r="H967">
        <v>207</v>
      </c>
      <c r="I967">
        <f t="shared" si="31"/>
        <v>41.067632850241544</v>
      </c>
      <c r="J967" t="s">
        <v>132</v>
      </c>
      <c r="K967" t="s">
        <v>133</v>
      </c>
      <c r="L967" s="4">
        <v>40203.25</v>
      </c>
      <c r="M967" s="4" t="s">
        <v>47</v>
      </c>
      <c r="N967" s="4" t="s">
        <v>140</v>
      </c>
      <c r="O967" s="4">
        <v>40243.25</v>
      </c>
      <c r="P967" t="b">
        <v>0</v>
      </c>
      <c r="Q967" t="b">
        <v>0</v>
      </c>
      <c r="R967" t="s">
        <v>112</v>
      </c>
      <c r="S967" t="str" cm="1">
        <f t="array" ref="S967:T967">_xlfn.TEXTSPLIT(R967, "/", , FALSE)</f>
        <v>music</v>
      </c>
      <c r="T967" t="str">
        <v>rock</v>
      </c>
    </row>
    <row r="968" spans="1:20" ht="17" x14ac:dyDescent="0.2">
      <c r="A968">
        <v>966</v>
      </c>
      <c r="B968" t="s">
        <v>973</v>
      </c>
      <c r="C968" s="3" t="s">
        <v>2058</v>
      </c>
      <c r="D968">
        <v>1700</v>
      </c>
      <c r="E968">
        <v>13468</v>
      </c>
      <c r="F968" s="5">
        <f t="shared" si="30"/>
        <v>7.9223529411764702</v>
      </c>
      <c r="G968" t="s">
        <v>8</v>
      </c>
      <c r="H968">
        <v>245</v>
      </c>
      <c r="I968">
        <f t="shared" si="31"/>
        <v>54.971428571428568</v>
      </c>
      <c r="J968" t="s">
        <v>109</v>
      </c>
      <c r="K968" t="s">
        <v>110</v>
      </c>
      <c r="L968" s="4">
        <v>42901.208333333328</v>
      </c>
      <c r="M968" s="4" t="s">
        <v>52</v>
      </c>
      <c r="N968" s="4" t="s">
        <v>134</v>
      </c>
      <c r="O968" s="4">
        <v>42903.208333333328</v>
      </c>
      <c r="P968" t="b">
        <v>0</v>
      </c>
      <c r="Q968" t="b">
        <v>0</v>
      </c>
      <c r="R968" t="s">
        <v>124</v>
      </c>
      <c r="S968" t="str" cm="1">
        <f t="array" ref="S968:T968">_xlfn.TEXTSPLIT(R968, "/", , FALSE)</f>
        <v>theater</v>
      </c>
      <c r="T968" t="str">
        <v>plays</v>
      </c>
    </row>
    <row r="969" spans="1:20" ht="17" x14ac:dyDescent="0.2">
      <c r="A969">
        <v>967</v>
      </c>
      <c r="B969" t="s">
        <v>2059</v>
      </c>
      <c r="C969" s="3" t="s">
        <v>2060</v>
      </c>
      <c r="D969">
        <v>88400</v>
      </c>
      <c r="E969">
        <v>121138</v>
      </c>
      <c r="F969" s="5">
        <f t="shared" si="30"/>
        <v>1.3703393665158372</v>
      </c>
      <c r="G969" t="s">
        <v>8</v>
      </c>
      <c r="H969">
        <v>1573</v>
      </c>
      <c r="I969">
        <f t="shared" si="31"/>
        <v>77.010807374443743</v>
      </c>
      <c r="J969" t="s">
        <v>109</v>
      </c>
      <c r="K969" t="s">
        <v>110</v>
      </c>
      <c r="L969" s="4">
        <v>41005.208333333336</v>
      </c>
      <c r="M969" s="4" t="s">
        <v>50</v>
      </c>
      <c r="N969" s="4" t="s">
        <v>129</v>
      </c>
      <c r="O969" s="4">
        <v>41042.208333333336</v>
      </c>
      <c r="P969" t="b">
        <v>0</v>
      </c>
      <c r="Q969" t="b">
        <v>0</v>
      </c>
      <c r="R969" t="s">
        <v>414</v>
      </c>
      <c r="S969" t="str" cm="1">
        <f t="array" ref="S969:T969">_xlfn.TEXTSPLIT(R969, "/", , FALSE)</f>
        <v>music</v>
      </c>
      <c r="T969" t="str">
        <v>world music</v>
      </c>
    </row>
    <row r="970" spans="1:20" ht="34" x14ac:dyDescent="0.2">
      <c r="A970">
        <v>968</v>
      </c>
      <c r="B970" t="s">
        <v>2061</v>
      </c>
      <c r="C970" s="3" t="s">
        <v>2062</v>
      </c>
      <c r="D970">
        <v>2400</v>
      </c>
      <c r="E970">
        <v>8117</v>
      </c>
      <c r="F970" s="5">
        <f t="shared" si="30"/>
        <v>3.3820833333333336</v>
      </c>
      <c r="G970" t="s">
        <v>8</v>
      </c>
      <c r="H970">
        <v>114</v>
      </c>
      <c r="I970">
        <f t="shared" si="31"/>
        <v>71.201754385964918</v>
      </c>
      <c r="J970" t="s">
        <v>109</v>
      </c>
      <c r="K970" t="s">
        <v>110</v>
      </c>
      <c r="L970" s="4">
        <v>40544.25</v>
      </c>
      <c r="M970" s="4" t="s">
        <v>47</v>
      </c>
      <c r="N970" s="4" t="s">
        <v>165</v>
      </c>
      <c r="O970" s="4">
        <v>40559.25</v>
      </c>
      <c r="P970" t="b">
        <v>0</v>
      </c>
      <c r="Q970" t="b">
        <v>0</v>
      </c>
      <c r="R970" t="s">
        <v>106</v>
      </c>
      <c r="S970" t="str" cm="1">
        <f t="array" ref="S970:T970">_xlfn.TEXTSPLIT(R970, "/", , FALSE)</f>
        <v>food</v>
      </c>
      <c r="T970" t="str">
        <v>food trucks</v>
      </c>
    </row>
    <row r="971" spans="1:20" ht="17" x14ac:dyDescent="0.2">
      <c r="A971">
        <v>969</v>
      </c>
      <c r="B971" t="s">
        <v>2063</v>
      </c>
      <c r="C971" s="3" t="s">
        <v>2064</v>
      </c>
      <c r="D971">
        <v>7900</v>
      </c>
      <c r="E971">
        <v>8550</v>
      </c>
      <c r="F971" s="5">
        <f t="shared" si="30"/>
        <v>1.0822784810126582</v>
      </c>
      <c r="G971" t="s">
        <v>8</v>
      </c>
      <c r="H971">
        <v>93</v>
      </c>
      <c r="I971">
        <f t="shared" si="31"/>
        <v>91.935483870967744</v>
      </c>
      <c r="J971" t="s">
        <v>109</v>
      </c>
      <c r="K971" t="s">
        <v>110</v>
      </c>
      <c r="L971" s="4">
        <v>43821.25</v>
      </c>
      <c r="M971" s="4" t="s">
        <v>58</v>
      </c>
      <c r="N971" s="4" t="s">
        <v>121</v>
      </c>
      <c r="O971" s="4">
        <v>43828.25</v>
      </c>
      <c r="P971" t="b">
        <v>0</v>
      </c>
      <c r="Q971" t="b">
        <v>0</v>
      </c>
      <c r="R971" t="s">
        <v>124</v>
      </c>
      <c r="S971" t="str" cm="1">
        <f t="array" ref="S971:T971">_xlfn.TEXTSPLIT(R971, "/", , FALSE)</f>
        <v>theater</v>
      </c>
      <c r="T971" t="str">
        <v>plays</v>
      </c>
    </row>
    <row r="972" spans="1:20" ht="34" x14ac:dyDescent="0.2">
      <c r="A972">
        <v>970</v>
      </c>
      <c r="B972" t="s">
        <v>2065</v>
      </c>
      <c r="C972" s="3" t="s">
        <v>2066</v>
      </c>
      <c r="D972">
        <v>94900</v>
      </c>
      <c r="E972">
        <v>57659</v>
      </c>
      <c r="F972" s="5">
        <f t="shared" si="30"/>
        <v>0.60757639620653314</v>
      </c>
      <c r="G972" t="s">
        <v>6</v>
      </c>
      <c r="H972">
        <v>594</v>
      </c>
      <c r="I972">
        <f t="shared" si="31"/>
        <v>97.069023569023571</v>
      </c>
      <c r="J972" t="s">
        <v>109</v>
      </c>
      <c r="K972" t="s">
        <v>110</v>
      </c>
      <c r="L972" s="4">
        <v>40672.208333333336</v>
      </c>
      <c r="M972" s="4" t="s">
        <v>51</v>
      </c>
      <c r="N972" s="4" t="s">
        <v>165</v>
      </c>
      <c r="O972" s="4">
        <v>40673.208333333336</v>
      </c>
      <c r="P972" t="b">
        <v>0</v>
      </c>
      <c r="Q972" t="b">
        <v>0</v>
      </c>
      <c r="R972" t="s">
        <v>124</v>
      </c>
      <c r="S972" t="str" cm="1">
        <f t="array" ref="S972:T972">_xlfn.TEXTSPLIT(R972, "/", , FALSE)</f>
        <v>theater</v>
      </c>
      <c r="T972" t="str">
        <v>plays</v>
      </c>
    </row>
    <row r="973" spans="1:20" ht="17" x14ac:dyDescent="0.2">
      <c r="A973">
        <v>971</v>
      </c>
      <c r="B973" t="s">
        <v>2067</v>
      </c>
      <c r="C973" s="3" t="s">
        <v>2068</v>
      </c>
      <c r="D973">
        <v>5100</v>
      </c>
      <c r="E973">
        <v>1414</v>
      </c>
      <c r="F973" s="5">
        <f t="shared" si="30"/>
        <v>0.27725490196078434</v>
      </c>
      <c r="G973" t="s">
        <v>6</v>
      </c>
      <c r="H973">
        <v>24</v>
      </c>
      <c r="I973">
        <f t="shared" si="31"/>
        <v>58.916666666666664</v>
      </c>
      <c r="J973" t="s">
        <v>109</v>
      </c>
      <c r="K973" t="s">
        <v>110</v>
      </c>
      <c r="L973" s="4">
        <v>41555.208333333336</v>
      </c>
      <c r="M973" s="4" t="s">
        <v>56</v>
      </c>
      <c r="N973" s="4" t="s">
        <v>117</v>
      </c>
      <c r="O973" s="4">
        <v>41561.208333333336</v>
      </c>
      <c r="P973" t="b">
        <v>0</v>
      </c>
      <c r="Q973" t="b">
        <v>0</v>
      </c>
      <c r="R973" t="s">
        <v>364</v>
      </c>
      <c r="S973" t="str" cm="1">
        <f t="array" ref="S973:T973">_xlfn.TEXTSPLIT(R973, "/", , FALSE)</f>
        <v>film &amp; video</v>
      </c>
      <c r="T973" t="str">
        <v>television</v>
      </c>
    </row>
    <row r="974" spans="1:20" ht="34" x14ac:dyDescent="0.2">
      <c r="A974">
        <v>972</v>
      </c>
      <c r="B974" t="s">
        <v>2069</v>
      </c>
      <c r="C974" s="3" t="s">
        <v>2070</v>
      </c>
      <c r="D974">
        <v>42700</v>
      </c>
      <c r="E974">
        <v>97524</v>
      </c>
      <c r="F974" s="5">
        <f t="shared" si="30"/>
        <v>2.283934426229508</v>
      </c>
      <c r="G974" t="s">
        <v>8</v>
      </c>
      <c r="H974">
        <v>1681</v>
      </c>
      <c r="I974">
        <f t="shared" si="31"/>
        <v>58.015466983938133</v>
      </c>
      <c r="J974" t="s">
        <v>109</v>
      </c>
      <c r="K974" t="s">
        <v>110</v>
      </c>
      <c r="L974" s="4">
        <v>41792.208333333336</v>
      </c>
      <c r="M974" s="4" t="s">
        <v>52</v>
      </c>
      <c r="N974" s="4" t="s">
        <v>111</v>
      </c>
      <c r="O974" s="4">
        <v>41801.208333333336</v>
      </c>
      <c r="P974" t="b">
        <v>0</v>
      </c>
      <c r="Q974" t="b">
        <v>1</v>
      </c>
      <c r="R974" t="s">
        <v>118</v>
      </c>
      <c r="S974" t="str" cm="1">
        <f t="array" ref="S974:T974">_xlfn.TEXTSPLIT(R974, "/", , FALSE)</f>
        <v>technology</v>
      </c>
      <c r="T974" t="str">
        <v>web</v>
      </c>
    </row>
    <row r="975" spans="1:20" ht="17" x14ac:dyDescent="0.2">
      <c r="A975">
        <v>973</v>
      </c>
      <c r="B975" t="s">
        <v>2071</v>
      </c>
      <c r="C975" s="3" t="s">
        <v>2072</v>
      </c>
      <c r="D975">
        <v>121100</v>
      </c>
      <c r="E975">
        <v>26176</v>
      </c>
      <c r="F975" s="5">
        <f t="shared" si="30"/>
        <v>0.21615194054500414</v>
      </c>
      <c r="G975" t="s">
        <v>6</v>
      </c>
      <c r="H975">
        <v>252</v>
      </c>
      <c r="I975">
        <f t="shared" si="31"/>
        <v>103.87301587301587</v>
      </c>
      <c r="J975" t="s">
        <v>109</v>
      </c>
      <c r="K975" t="s">
        <v>110</v>
      </c>
      <c r="L975" s="4">
        <v>40522.25</v>
      </c>
      <c r="M975" s="4" t="s">
        <v>58</v>
      </c>
      <c r="N975" s="4" t="s">
        <v>140</v>
      </c>
      <c r="O975" s="4">
        <v>40524.25</v>
      </c>
      <c r="P975" t="b">
        <v>0</v>
      </c>
      <c r="Q975" t="b">
        <v>1</v>
      </c>
      <c r="R975" t="s">
        <v>124</v>
      </c>
      <c r="S975" t="str" cm="1">
        <f t="array" ref="S975:T975">_xlfn.TEXTSPLIT(R975, "/", , FALSE)</f>
        <v>theater</v>
      </c>
      <c r="T975" t="str">
        <v>plays</v>
      </c>
    </row>
    <row r="976" spans="1:20" ht="17" x14ac:dyDescent="0.2">
      <c r="A976">
        <v>974</v>
      </c>
      <c r="B976" t="s">
        <v>2073</v>
      </c>
      <c r="C976" s="3" t="s">
        <v>2074</v>
      </c>
      <c r="D976">
        <v>800</v>
      </c>
      <c r="E976">
        <v>2991</v>
      </c>
      <c r="F976" s="5">
        <f t="shared" si="30"/>
        <v>3.73875</v>
      </c>
      <c r="G976" t="s">
        <v>8</v>
      </c>
      <c r="H976">
        <v>32</v>
      </c>
      <c r="I976">
        <f t="shared" si="31"/>
        <v>93.46875</v>
      </c>
      <c r="J976" t="s">
        <v>109</v>
      </c>
      <c r="K976" t="s">
        <v>110</v>
      </c>
      <c r="L976" s="4">
        <v>41412.208333333336</v>
      </c>
      <c r="M976" s="4" t="s">
        <v>51</v>
      </c>
      <c r="N976" s="4" t="s">
        <v>117</v>
      </c>
      <c r="O976" s="4">
        <v>41413.208333333336</v>
      </c>
      <c r="P976" t="b">
        <v>0</v>
      </c>
      <c r="Q976" t="b">
        <v>0</v>
      </c>
      <c r="R976" t="s">
        <v>154</v>
      </c>
      <c r="S976" t="str" cm="1">
        <f t="array" ref="S976:T976">_xlfn.TEXTSPLIT(R976, "/", , FALSE)</f>
        <v>music</v>
      </c>
      <c r="T976" t="str">
        <v>indie rock</v>
      </c>
    </row>
    <row r="977" spans="1:20" ht="17" x14ac:dyDescent="0.2">
      <c r="A977">
        <v>975</v>
      </c>
      <c r="B977" t="s">
        <v>2075</v>
      </c>
      <c r="C977" s="3" t="s">
        <v>2076</v>
      </c>
      <c r="D977">
        <v>5400</v>
      </c>
      <c r="E977">
        <v>8366</v>
      </c>
      <c r="F977" s="5">
        <f t="shared" si="30"/>
        <v>1.5492592592592593</v>
      </c>
      <c r="G977" t="s">
        <v>8</v>
      </c>
      <c r="H977">
        <v>135</v>
      </c>
      <c r="I977">
        <f t="shared" si="31"/>
        <v>61.970370370370368</v>
      </c>
      <c r="J977" t="s">
        <v>109</v>
      </c>
      <c r="K977" t="s">
        <v>110</v>
      </c>
      <c r="L977" s="4">
        <v>42337.25</v>
      </c>
      <c r="M977" s="4" t="s">
        <v>57</v>
      </c>
      <c r="N977" s="4" t="s">
        <v>105</v>
      </c>
      <c r="O977" s="4">
        <v>42376.25</v>
      </c>
      <c r="P977" t="b">
        <v>0</v>
      </c>
      <c r="Q977" t="b">
        <v>1</v>
      </c>
      <c r="R977" t="s">
        <v>124</v>
      </c>
      <c r="S977" t="str" cm="1">
        <f t="array" ref="S977:T977">_xlfn.TEXTSPLIT(R977, "/", , FALSE)</f>
        <v>theater</v>
      </c>
      <c r="T977" t="str">
        <v>plays</v>
      </c>
    </row>
    <row r="978" spans="1:20" ht="34" x14ac:dyDescent="0.2">
      <c r="A978">
        <v>976</v>
      </c>
      <c r="B978" t="s">
        <v>2077</v>
      </c>
      <c r="C978" s="3" t="s">
        <v>2078</v>
      </c>
      <c r="D978">
        <v>4000</v>
      </c>
      <c r="E978">
        <v>12886</v>
      </c>
      <c r="F978" s="5">
        <f t="shared" si="30"/>
        <v>3.2214999999999998</v>
      </c>
      <c r="G978" t="s">
        <v>8</v>
      </c>
      <c r="H978">
        <v>140</v>
      </c>
      <c r="I978">
        <f t="shared" si="31"/>
        <v>92.042857142857144</v>
      </c>
      <c r="J978" t="s">
        <v>109</v>
      </c>
      <c r="K978" t="s">
        <v>110</v>
      </c>
      <c r="L978" s="4">
        <v>40571.25</v>
      </c>
      <c r="M978" s="4" t="s">
        <v>47</v>
      </c>
      <c r="N978" s="4" t="s">
        <v>165</v>
      </c>
      <c r="O978" s="4">
        <v>40577.25</v>
      </c>
      <c r="P978" t="b">
        <v>0</v>
      </c>
      <c r="Q978" t="b">
        <v>1</v>
      </c>
      <c r="R978" t="s">
        <v>124</v>
      </c>
      <c r="S978" t="str" cm="1">
        <f t="array" ref="S978:T978">_xlfn.TEXTSPLIT(R978, "/", , FALSE)</f>
        <v>theater</v>
      </c>
      <c r="T978" t="str">
        <v>plays</v>
      </c>
    </row>
    <row r="979" spans="1:20" ht="17" x14ac:dyDescent="0.2">
      <c r="A979">
        <v>977</v>
      </c>
      <c r="B979" t="s">
        <v>1353</v>
      </c>
      <c r="C979" s="3" t="s">
        <v>2079</v>
      </c>
      <c r="D979">
        <v>7000</v>
      </c>
      <c r="E979">
        <v>5177</v>
      </c>
      <c r="F979" s="5">
        <f t="shared" si="30"/>
        <v>0.73957142857142855</v>
      </c>
      <c r="G979" t="s">
        <v>6</v>
      </c>
      <c r="H979">
        <v>67</v>
      </c>
      <c r="I979">
        <f t="shared" si="31"/>
        <v>77.268656716417908</v>
      </c>
      <c r="J979" t="s">
        <v>109</v>
      </c>
      <c r="K979" t="s">
        <v>110</v>
      </c>
      <c r="L979" s="4">
        <v>43138.25</v>
      </c>
      <c r="M979" s="4" t="s">
        <v>48</v>
      </c>
      <c r="N979" s="4" t="s">
        <v>169</v>
      </c>
      <c r="O979" s="4">
        <v>43170.25</v>
      </c>
      <c r="P979" t="b">
        <v>0</v>
      </c>
      <c r="Q979" t="b">
        <v>0</v>
      </c>
      <c r="R979" t="s">
        <v>106</v>
      </c>
      <c r="S979" t="str" cm="1">
        <f t="array" ref="S979:T979">_xlfn.TEXTSPLIT(R979, "/", , FALSE)</f>
        <v>food</v>
      </c>
      <c r="T979" t="str">
        <v>food trucks</v>
      </c>
    </row>
    <row r="980" spans="1:20" ht="17" x14ac:dyDescent="0.2">
      <c r="A980">
        <v>978</v>
      </c>
      <c r="B980" t="s">
        <v>2080</v>
      </c>
      <c r="C980" s="3" t="s">
        <v>2081</v>
      </c>
      <c r="D980">
        <v>1000</v>
      </c>
      <c r="E980">
        <v>8641</v>
      </c>
      <c r="F980" s="5">
        <f t="shared" si="30"/>
        <v>8.641</v>
      </c>
      <c r="G980" t="s">
        <v>8</v>
      </c>
      <c r="H980">
        <v>92</v>
      </c>
      <c r="I980">
        <f t="shared" si="31"/>
        <v>93.923913043478265</v>
      </c>
      <c r="J980" t="s">
        <v>109</v>
      </c>
      <c r="K980" t="s">
        <v>110</v>
      </c>
      <c r="L980" s="4">
        <v>42686.25</v>
      </c>
      <c r="M980" s="4" t="s">
        <v>57</v>
      </c>
      <c r="N980" s="4" t="s">
        <v>153</v>
      </c>
      <c r="O980" s="4">
        <v>42708.25</v>
      </c>
      <c r="P980" t="b">
        <v>0</v>
      </c>
      <c r="Q980" t="b">
        <v>0</v>
      </c>
      <c r="R980" t="s">
        <v>184</v>
      </c>
      <c r="S980" t="str" cm="1">
        <f t="array" ref="S980:T980">_xlfn.TEXTSPLIT(R980, "/", , FALSE)</f>
        <v>games</v>
      </c>
      <c r="T980" t="str">
        <v>video games</v>
      </c>
    </row>
    <row r="981" spans="1:20" ht="17" x14ac:dyDescent="0.2">
      <c r="A981">
        <v>979</v>
      </c>
      <c r="B981" t="s">
        <v>2082</v>
      </c>
      <c r="C981" s="3" t="s">
        <v>2083</v>
      </c>
      <c r="D981">
        <v>60200</v>
      </c>
      <c r="E981">
        <v>86244</v>
      </c>
      <c r="F981" s="5">
        <f t="shared" si="30"/>
        <v>1.432624584717608</v>
      </c>
      <c r="G981" t="s">
        <v>8</v>
      </c>
      <c r="H981">
        <v>1015</v>
      </c>
      <c r="I981">
        <f t="shared" si="31"/>
        <v>84.969458128078813</v>
      </c>
      <c r="J981" t="s">
        <v>132</v>
      </c>
      <c r="K981" t="s">
        <v>133</v>
      </c>
      <c r="L981" s="4">
        <v>42078.208333333328</v>
      </c>
      <c r="M981" s="4" t="s">
        <v>49</v>
      </c>
      <c r="N981" s="4" t="s">
        <v>105</v>
      </c>
      <c r="O981" s="4">
        <v>42084.208333333328</v>
      </c>
      <c r="P981" t="b">
        <v>0</v>
      </c>
      <c r="Q981" t="b">
        <v>0</v>
      </c>
      <c r="R981" t="s">
        <v>124</v>
      </c>
      <c r="S981" t="str" cm="1">
        <f t="array" ref="S981:T981">_xlfn.TEXTSPLIT(R981, "/", , FALSE)</f>
        <v>theater</v>
      </c>
      <c r="T981" t="str">
        <v>plays</v>
      </c>
    </row>
    <row r="982" spans="1:20" ht="17" x14ac:dyDescent="0.2">
      <c r="A982">
        <v>980</v>
      </c>
      <c r="B982" t="s">
        <v>2084</v>
      </c>
      <c r="C982" s="3" t="s">
        <v>2085</v>
      </c>
      <c r="D982">
        <v>195200</v>
      </c>
      <c r="E982">
        <v>78630</v>
      </c>
      <c r="F982" s="5">
        <f t="shared" si="30"/>
        <v>0.40281762295081969</v>
      </c>
      <c r="G982" t="s">
        <v>6</v>
      </c>
      <c r="H982">
        <v>742</v>
      </c>
      <c r="I982">
        <f t="shared" si="31"/>
        <v>105.97035040431267</v>
      </c>
      <c r="J982" t="s">
        <v>109</v>
      </c>
      <c r="K982" t="s">
        <v>110</v>
      </c>
      <c r="L982" s="4">
        <v>42307.208333333328</v>
      </c>
      <c r="M982" s="4" t="s">
        <v>56</v>
      </c>
      <c r="N982" s="4" t="s">
        <v>105</v>
      </c>
      <c r="O982" s="4">
        <v>42312.25</v>
      </c>
      <c r="P982" t="b">
        <v>1</v>
      </c>
      <c r="Q982" t="b">
        <v>0</v>
      </c>
      <c r="R982" t="s">
        <v>162</v>
      </c>
      <c r="S982" t="str" cm="1">
        <f t="array" ref="S982:T982">_xlfn.TEXTSPLIT(R982, "/", , FALSE)</f>
        <v>publishing</v>
      </c>
      <c r="T982" t="str">
        <v>nonfiction</v>
      </c>
    </row>
    <row r="983" spans="1:20" ht="17" x14ac:dyDescent="0.2">
      <c r="A983">
        <v>981</v>
      </c>
      <c r="B983" t="s">
        <v>2086</v>
      </c>
      <c r="C983" s="3" t="s">
        <v>2087</v>
      </c>
      <c r="D983">
        <v>6700</v>
      </c>
      <c r="E983">
        <v>11941</v>
      </c>
      <c r="F983" s="5">
        <f t="shared" si="30"/>
        <v>1.7822388059701493</v>
      </c>
      <c r="G983" t="s">
        <v>8</v>
      </c>
      <c r="H983">
        <v>323</v>
      </c>
      <c r="I983">
        <f t="shared" si="31"/>
        <v>36.969040247678016</v>
      </c>
      <c r="J983" t="s">
        <v>109</v>
      </c>
      <c r="K983" t="s">
        <v>110</v>
      </c>
      <c r="L983" s="4">
        <v>43094.25</v>
      </c>
      <c r="M983" s="4" t="s">
        <v>58</v>
      </c>
      <c r="N983" s="4" t="s">
        <v>134</v>
      </c>
      <c r="O983" s="4">
        <v>43127.25</v>
      </c>
      <c r="P983" t="b">
        <v>0</v>
      </c>
      <c r="Q983" t="b">
        <v>0</v>
      </c>
      <c r="R983" t="s">
        <v>118</v>
      </c>
      <c r="S983" t="str" cm="1">
        <f t="array" ref="S983:T983">_xlfn.TEXTSPLIT(R983, "/", , FALSE)</f>
        <v>technology</v>
      </c>
      <c r="T983" t="str">
        <v>web</v>
      </c>
    </row>
    <row r="984" spans="1:20" ht="17" x14ac:dyDescent="0.2">
      <c r="A984">
        <v>982</v>
      </c>
      <c r="B984" t="s">
        <v>2088</v>
      </c>
      <c r="C984" s="3" t="s">
        <v>2089</v>
      </c>
      <c r="D984">
        <v>7200</v>
      </c>
      <c r="E984">
        <v>6115</v>
      </c>
      <c r="F984" s="5">
        <f t="shared" si="30"/>
        <v>0.84930555555555554</v>
      </c>
      <c r="G984" t="s">
        <v>6</v>
      </c>
      <c r="H984">
        <v>75</v>
      </c>
      <c r="I984">
        <f t="shared" si="31"/>
        <v>81.533333333333331</v>
      </c>
      <c r="J984" t="s">
        <v>109</v>
      </c>
      <c r="K984" t="s">
        <v>110</v>
      </c>
      <c r="L984" s="4">
        <v>40743.208333333336</v>
      </c>
      <c r="M984" s="4" t="s">
        <v>53</v>
      </c>
      <c r="N984" s="4" t="s">
        <v>165</v>
      </c>
      <c r="O984" s="4">
        <v>40745.208333333336</v>
      </c>
      <c r="P984" t="b">
        <v>0</v>
      </c>
      <c r="Q984" t="b">
        <v>1</v>
      </c>
      <c r="R984" t="s">
        <v>135</v>
      </c>
      <c r="S984" t="str" cm="1">
        <f t="array" ref="S984:T984">_xlfn.TEXTSPLIT(R984, "/", , FALSE)</f>
        <v>film &amp; video</v>
      </c>
      <c r="T984" t="str">
        <v>documentary</v>
      </c>
    </row>
    <row r="985" spans="1:20" ht="17" x14ac:dyDescent="0.2">
      <c r="A985">
        <v>983</v>
      </c>
      <c r="B985" t="s">
        <v>2090</v>
      </c>
      <c r="C985" s="3" t="s">
        <v>2091</v>
      </c>
      <c r="D985">
        <v>129100</v>
      </c>
      <c r="E985">
        <v>188404</v>
      </c>
      <c r="F985" s="5">
        <f t="shared" si="30"/>
        <v>1.4593648334624323</v>
      </c>
      <c r="G985" t="s">
        <v>8</v>
      </c>
      <c r="H985">
        <v>2326</v>
      </c>
      <c r="I985">
        <f t="shared" si="31"/>
        <v>80.999140154772135</v>
      </c>
      <c r="J985" t="s">
        <v>109</v>
      </c>
      <c r="K985" t="s">
        <v>110</v>
      </c>
      <c r="L985" s="4">
        <v>43681.208333333328</v>
      </c>
      <c r="M985" s="4" t="s">
        <v>54</v>
      </c>
      <c r="N985" s="4" t="s">
        <v>121</v>
      </c>
      <c r="O985" s="4">
        <v>43696.208333333328</v>
      </c>
      <c r="P985" t="b">
        <v>0</v>
      </c>
      <c r="Q985" t="b">
        <v>0</v>
      </c>
      <c r="R985" t="s">
        <v>135</v>
      </c>
      <c r="S985" t="str" cm="1">
        <f t="array" ref="S985:T985">_xlfn.TEXTSPLIT(R985, "/", , FALSE)</f>
        <v>film &amp; video</v>
      </c>
      <c r="T985" t="str">
        <v>documentary</v>
      </c>
    </row>
    <row r="986" spans="1:20" ht="34" x14ac:dyDescent="0.2">
      <c r="A986">
        <v>984</v>
      </c>
      <c r="B986" t="s">
        <v>2092</v>
      </c>
      <c r="C986" s="3" t="s">
        <v>2093</v>
      </c>
      <c r="D986">
        <v>6500</v>
      </c>
      <c r="E986">
        <v>9910</v>
      </c>
      <c r="F986" s="5">
        <f t="shared" si="30"/>
        <v>1.5246153846153847</v>
      </c>
      <c r="G986" t="s">
        <v>8</v>
      </c>
      <c r="H986">
        <v>381</v>
      </c>
      <c r="I986">
        <f t="shared" si="31"/>
        <v>26.010498687664043</v>
      </c>
      <c r="J986" t="s">
        <v>109</v>
      </c>
      <c r="K986" t="s">
        <v>110</v>
      </c>
      <c r="L986" s="4">
        <v>43716.208333333328</v>
      </c>
      <c r="M986" s="4" t="s">
        <v>55</v>
      </c>
      <c r="N986" s="4" t="s">
        <v>121</v>
      </c>
      <c r="O986" s="4">
        <v>43742.208333333328</v>
      </c>
      <c r="P986" t="b">
        <v>0</v>
      </c>
      <c r="Q986" t="b">
        <v>0</v>
      </c>
      <c r="R986" t="s">
        <v>124</v>
      </c>
      <c r="S986" t="str" cm="1">
        <f t="array" ref="S986:T986">_xlfn.TEXTSPLIT(R986, "/", , FALSE)</f>
        <v>theater</v>
      </c>
      <c r="T986" t="str">
        <v>plays</v>
      </c>
    </row>
    <row r="987" spans="1:20" ht="17" x14ac:dyDescent="0.2">
      <c r="A987">
        <v>985</v>
      </c>
      <c r="B987" t="s">
        <v>2094</v>
      </c>
      <c r="C987" s="3" t="s">
        <v>2095</v>
      </c>
      <c r="D987">
        <v>170600</v>
      </c>
      <c r="E987">
        <v>114523</v>
      </c>
      <c r="F987" s="5">
        <f t="shared" si="30"/>
        <v>0.67129542790152408</v>
      </c>
      <c r="G987" t="s">
        <v>6</v>
      </c>
      <c r="H987">
        <v>4405</v>
      </c>
      <c r="I987">
        <f t="shared" si="31"/>
        <v>25.998410896708286</v>
      </c>
      <c r="J987" t="s">
        <v>109</v>
      </c>
      <c r="K987" t="s">
        <v>110</v>
      </c>
      <c r="L987" s="4">
        <v>41614.25</v>
      </c>
      <c r="M987" s="4" t="s">
        <v>58</v>
      </c>
      <c r="N987" s="4" t="s">
        <v>117</v>
      </c>
      <c r="O987" s="4">
        <v>41640.25</v>
      </c>
      <c r="P987" t="b">
        <v>0</v>
      </c>
      <c r="Q987" t="b">
        <v>1</v>
      </c>
      <c r="R987" t="s">
        <v>112</v>
      </c>
      <c r="S987" t="str" cm="1">
        <f t="array" ref="S987:T987">_xlfn.TEXTSPLIT(R987, "/", , FALSE)</f>
        <v>music</v>
      </c>
      <c r="T987" t="str">
        <v>rock</v>
      </c>
    </row>
    <row r="988" spans="1:20" ht="34" x14ac:dyDescent="0.2">
      <c r="A988">
        <v>986</v>
      </c>
      <c r="B988" t="s">
        <v>2096</v>
      </c>
      <c r="C988" s="3" t="s">
        <v>2097</v>
      </c>
      <c r="D988">
        <v>7800</v>
      </c>
      <c r="E988">
        <v>3144</v>
      </c>
      <c r="F988" s="5">
        <f t="shared" si="30"/>
        <v>0.40307692307692305</v>
      </c>
      <c r="G988" t="s">
        <v>6</v>
      </c>
      <c r="H988">
        <v>92</v>
      </c>
      <c r="I988">
        <f t="shared" si="31"/>
        <v>34.173913043478258</v>
      </c>
      <c r="J988" t="s">
        <v>109</v>
      </c>
      <c r="K988" t="s">
        <v>110</v>
      </c>
      <c r="L988" s="4">
        <v>40638.208333333336</v>
      </c>
      <c r="M988" s="4" t="s">
        <v>50</v>
      </c>
      <c r="N988" s="4" t="s">
        <v>165</v>
      </c>
      <c r="O988" s="4">
        <v>40652.208333333336</v>
      </c>
      <c r="P988" t="b">
        <v>0</v>
      </c>
      <c r="Q988" t="b">
        <v>0</v>
      </c>
      <c r="R988" t="s">
        <v>112</v>
      </c>
      <c r="S988" t="str" cm="1">
        <f t="array" ref="S988:T988">_xlfn.TEXTSPLIT(R988, "/", , FALSE)</f>
        <v>music</v>
      </c>
      <c r="T988" t="str">
        <v>rock</v>
      </c>
    </row>
    <row r="989" spans="1:20" ht="17" x14ac:dyDescent="0.2">
      <c r="A989">
        <v>987</v>
      </c>
      <c r="B989" t="s">
        <v>2098</v>
      </c>
      <c r="C989" s="3" t="s">
        <v>2099</v>
      </c>
      <c r="D989">
        <v>6200</v>
      </c>
      <c r="E989">
        <v>13441</v>
      </c>
      <c r="F989" s="5">
        <f t="shared" si="30"/>
        <v>2.1679032258064517</v>
      </c>
      <c r="G989" t="s">
        <v>8</v>
      </c>
      <c r="H989">
        <v>480</v>
      </c>
      <c r="I989">
        <f t="shared" si="31"/>
        <v>28.002083333333335</v>
      </c>
      <c r="J989" t="s">
        <v>109</v>
      </c>
      <c r="K989" t="s">
        <v>110</v>
      </c>
      <c r="L989" s="4">
        <v>42852.208333333328</v>
      </c>
      <c r="M989" s="4" t="s">
        <v>50</v>
      </c>
      <c r="N989" s="4" t="s">
        <v>134</v>
      </c>
      <c r="O989" s="4">
        <v>42866.208333333328</v>
      </c>
      <c r="P989" t="b">
        <v>0</v>
      </c>
      <c r="Q989" t="b">
        <v>0</v>
      </c>
      <c r="R989" t="s">
        <v>135</v>
      </c>
      <c r="S989" t="str" cm="1">
        <f t="array" ref="S989:T989">_xlfn.TEXTSPLIT(R989, "/", , FALSE)</f>
        <v>film &amp; video</v>
      </c>
      <c r="T989" t="str">
        <v>documentary</v>
      </c>
    </row>
    <row r="990" spans="1:20" ht="17" x14ac:dyDescent="0.2">
      <c r="A990">
        <v>988</v>
      </c>
      <c r="B990" t="s">
        <v>2100</v>
      </c>
      <c r="C990" s="3" t="s">
        <v>2101</v>
      </c>
      <c r="D990">
        <v>9400</v>
      </c>
      <c r="E990">
        <v>4899</v>
      </c>
      <c r="F990" s="5">
        <f t="shared" si="30"/>
        <v>0.52117021276595743</v>
      </c>
      <c r="G990" t="s">
        <v>6</v>
      </c>
      <c r="H990">
        <v>64</v>
      </c>
      <c r="I990">
        <f t="shared" si="31"/>
        <v>76.546875</v>
      </c>
      <c r="J990" t="s">
        <v>109</v>
      </c>
      <c r="K990" t="s">
        <v>110</v>
      </c>
      <c r="L990" s="4">
        <v>42686.25</v>
      </c>
      <c r="M990" s="4" t="s">
        <v>57</v>
      </c>
      <c r="N990" s="4" t="s">
        <v>153</v>
      </c>
      <c r="O990" s="4">
        <v>42707.25</v>
      </c>
      <c r="P990" t="b">
        <v>0</v>
      </c>
      <c r="Q990" t="b">
        <v>0</v>
      </c>
      <c r="R990" t="s">
        <v>228</v>
      </c>
      <c r="S990" t="str" cm="1">
        <f t="array" ref="S990:T990">_xlfn.TEXTSPLIT(R990, "/", , FALSE)</f>
        <v>publishing</v>
      </c>
      <c r="T990" t="str">
        <v>radio &amp; podcasts</v>
      </c>
    </row>
    <row r="991" spans="1:20" ht="17" x14ac:dyDescent="0.2">
      <c r="A991">
        <v>989</v>
      </c>
      <c r="B991" t="s">
        <v>2102</v>
      </c>
      <c r="C991" s="3" t="s">
        <v>2103</v>
      </c>
      <c r="D991">
        <v>2400</v>
      </c>
      <c r="E991">
        <v>11990</v>
      </c>
      <c r="F991" s="5">
        <f t="shared" si="30"/>
        <v>4.9958333333333336</v>
      </c>
      <c r="G991" t="s">
        <v>8</v>
      </c>
      <c r="H991">
        <v>226</v>
      </c>
      <c r="I991">
        <f t="shared" si="31"/>
        <v>53.053097345132741</v>
      </c>
      <c r="J991" t="s">
        <v>109</v>
      </c>
      <c r="K991" t="s">
        <v>110</v>
      </c>
      <c r="L991" s="4">
        <v>43571.208333333328</v>
      </c>
      <c r="M991" s="4" t="s">
        <v>50</v>
      </c>
      <c r="N991" s="4" t="s">
        <v>121</v>
      </c>
      <c r="O991" s="4">
        <v>43576.208333333328</v>
      </c>
      <c r="P991" t="b">
        <v>0</v>
      </c>
      <c r="Q991" t="b">
        <v>0</v>
      </c>
      <c r="R991" t="s">
        <v>301</v>
      </c>
      <c r="S991" t="str" cm="1">
        <f t="array" ref="S991:T991">_xlfn.TEXTSPLIT(R991, "/", , FALSE)</f>
        <v>publishing</v>
      </c>
      <c r="T991" t="str">
        <v>translations</v>
      </c>
    </row>
    <row r="992" spans="1:20" ht="17" x14ac:dyDescent="0.2">
      <c r="A992">
        <v>990</v>
      </c>
      <c r="B992" t="s">
        <v>2104</v>
      </c>
      <c r="C992" s="3" t="s">
        <v>2105</v>
      </c>
      <c r="D992">
        <v>7800</v>
      </c>
      <c r="E992">
        <v>6839</v>
      </c>
      <c r="F992" s="5">
        <f t="shared" si="30"/>
        <v>0.87679487179487181</v>
      </c>
      <c r="G992" t="s">
        <v>6</v>
      </c>
      <c r="H992">
        <v>64</v>
      </c>
      <c r="I992">
        <f t="shared" si="31"/>
        <v>106.859375</v>
      </c>
      <c r="J992" t="s">
        <v>109</v>
      </c>
      <c r="K992" t="s">
        <v>110</v>
      </c>
      <c r="L992" s="4">
        <v>42432.25</v>
      </c>
      <c r="M992" s="4" t="s">
        <v>49</v>
      </c>
      <c r="N992" s="4" t="s">
        <v>153</v>
      </c>
      <c r="O992" s="4">
        <v>42454.208333333328</v>
      </c>
      <c r="P992" t="b">
        <v>0</v>
      </c>
      <c r="Q992" t="b">
        <v>1</v>
      </c>
      <c r="R992" t="s">
        <v>146</v>
      </c>
      <c r="S992" t="str" cm="1">
        <f t="array" ref="S992:T992">_xlfn.TEXTSPLIT(R992, "/", , FALSE)</f>
        <v>film &amp; video</v>
      </c>
      <c r="T992" t="str">
        <v>drama</v>
      </c>
    </row>
    <row r="993" spans="1:20" ht="17" x14ac:dyDescent="0.2">
      <c r="A993">
        <v>991</v>
      </c>
      <c r="B993" t="s">
        <v>1175</v>
      </c>
      <c r="C993" s="3" t="s">
        <v>2106</v>
      </c>
      <c r="D993">
        <v>9800</v>
      </c>
      <c r="E993">
        <v>11091</v>
      </c>
      <c r="F993" s="5">
        <f t="shared" si="30"/>
        <v>1.131734693877551</v>
      </c>
      <c r="G993" t="s">
        <v>8</v>
      </c>
      <c r="H993">
        <v>241</v>
      </c>
      <c r="I993">
        <f t="shared" si="31"/>
        <v>46.020746887966808</v>
      </c>
      <c r="J993" t="s">
        <v>109</v>
      </c>
      <c r="K993" t="s">
        <v>110</v>
      </c>
      <c r="L993" s="4">
        <v>41907.208333333336</v>
      </c>
      <c r="M993" s="4" t="s">
        <v>55</v>
      </c>
      <c r="N993" s="4" t="s">
        <v>111</v>
      </c>
      <c r="O993" s="4">
        <v>41911.208333333336</v>
      </c>
      <c r="P993" t="b">
        <v>0</v>
      </c>
      <c r="Q993" t="b">
        <v>1</v>
      </c>
      <c r="R993" t="s">
        <v>112</v>
      </c>
      <c r="S993" t="str" cm="1">
        <f t="array" ref="S993:T993">_xlfn.TEXTSPLIT(R993, "/", , FALSE)</f>
        <v>music</v>
      </c>
      <c r="T993" t="str">
        <v>rock</v>
      </c>
    </row>
    <row r="994" spans="1:20" ht="17" x14ac:dyDescent="0.2">
      <c r="A994">
        <v>992</v>
      </c>
      <c r="B994" t="s">
        <v>2107</v>
      </c>
      <c r="C994" s="3" t="s">
        <v>2108</v>
      </c>
      <c r="D994">
        <v>3100</v>
      </c>
      <c r="E994">
        <v>13223</v>
      </c>
      <c r="F994" s="5">
        <f t="shared" si="30"/>
        <v>4.2654838709677421</v>
      </c>
      <c r="G994" t="s">
        <v>8</v>
      </c>
      <c r="H994">
        <v>132</v>
      </c>
      <c r="I994">
        <f t="shared" si="31"/>
        <v>100.17424242424242</v>
      </c>
      <c r="J994" t="s">
        <v>109</v>
      </c>
      <c r="K994" t="s">
        <v>110</v>
      </c>
      <c r="L994" s="4">
        <v>43227.208333333328</v>
      </c>
      <c r="M994" s="4" t="s">
        <v>51</v>
      </c>
      <c r="N994" s="4" t="s">
        <v>169</v>
      </c>
      <c r="O994" s="4">
        <v>43241.208333333328</v>
      </c>
      <c r="P994" t="b">
        <v>0</v>
      </c>
      <c r="Q994" t="b">
        <v>1</v>
      </c>
      <c r="R994" t="s">
        <v>146</v>
      </c>
      <c r="S994" t="str" cm="1">
        <f t="array" ref="S994:T994">_xlfn.TEXTSPLIT(R994, "/", , FALSE)</f>
        <v>film &amp; video</v>
      </c>
      <c r="T994" t="str">
        <v>drama</v>
      </c>
    </row>
    <row r="995" spans="1:20" ht="17" x14ac:dyDescent="0.2">
      <c r="A995">
        <v>993</v>
      </c>
      <c r="B995" t="s">
        <v>2109</v>
      </c>
      <c r="C995" s="3" t="s">
        <v>2110</v>
      </c>
      <c r="D995">
        <v>9800</v>
      </c>
      <c r="E995">
        <v>7608</v>
      </c>
      <c r="F995" s="5">
        <f t="shared" si="30"/>
        <v>0.77632653061224488</v>
      </c>
      <c r="G995" t="s">
        <v>5</v>
      </c>
      <c r="H995">
        <v>75</v>
      </c>
      <c r="I995">
        <f t="shared" si="31"/>
        <v>101.44</v>
      </c>
      <c r="J995" t="s">
        <v>202</v>
      </c>
      <c r="K995" t="s">
        <v>203</v>
      </c>
      <c r="L995" s="4">
        <v>42362.25</v>
      </c>
      <c r="M995" s="4" t="s">
        <v>58</v>
      </c>
      <c r="N995" s="4" t="s">
        <v>105</v>
      </c>
      <c r="O995" s="4">
        <v>42379.25</v>
      </c>
      <c r="P995" t="b">
        <v>0</v>
      </c>
      <c r="Q995" t="b">
        <v>1</v>
      </c>
      <c r="R995" t="s">
        <v>217</v>
      </c>
      <c r="S995" t="str" cm="1">
        <f t="array" ref="S995:T995">_xlfn.TEXTSPLIT(R995, "/", , FALSE)</f>
        <v>photography</v>
      </c>
      <c r="T995" t="str">
        <v>photography books</v>
      </c>
    </row>
    <row r="996" spans="1:20" ht="17" x14ac:dyDescent="0.2">
      <c r="A996">
        <v>994</v>
      </c>
      <c r="B996" t="s">
        <v>2111</v>
      </c>
      <c r="C996" s="3" t="s">
        <v>2112</v>
      </c>
      <c r="D996">
        <v>141100</v>
      </c>
      <c r="E996">
        <v>74073</v>
      </c>
      <c r="F996" s="5">
        <f t="shared" si="30"/>
        <v>0.52496810772501767</v>
      </c>
      <c r="G996" t="s">
        <v>6</v>
      </c>
      <c r="H996">
        <v>842</v>
      </c>
      <c r="I996">
        <f t="shared" si="31"/>
        <v>87.972684085510693</v>
      </c>
      <c r="J996" t="s">
        <v>109</v>
      </c>
      <c r="K996" t="s">
        <v>110</v>
      </c>
      <c r="L996" s="4">
        <v>41929.208333333336</v>
      </c>
      <c r="M996" s="4" t="s">
        <v>56</v>
      </c>
      <c r="N996" s="4" t="s">
        <v>111</v>
      </c>
      <c r="O996" s="4">
        <v>41935.208333333336</v>
      </c>
      <c r="P996" t="b">
        <v>0</v>
      </c>
      <c r="Q996" t="b">
        <v>1</v>
      </c>
      <c r="R996" t="s">
        <v>301</v>
      </c>
      <c r="S996" t="str" cm="1">
        <f t="array" ref="S996:T996">_xlfn.TEXTSPLIT(R996, "/", , FALSE)</f>
        <v>publishing</v>
      </c>
      <c r="T996" t="str">
        <v>translations</v>
      </c>
    </row>
    <row r="997" spans="1:20" ht="17" x14ac:dyDescent="0.2">
      <c r="A997">
        <v>995</v>
      </c>
      <c r="B997" t="s">
        <v>2113</v>
      </c>
      <c r="C997" s="3" t="s">
        <v>2114</v>
      </c>
      <c r="D997">
        <v>97300</v>
      </c>
      <c r="E997">
        <v>153216</v>
      </c>
      <c r="F997" s="5">
        <f t="shared" si="30"/>
        <v>1.5746762589928058</v>
      </c>
      <c r="G997" t="s">
        <v>8</v>
      </c>
      <c r="H997">
        <v>2043</v>
      </c>
      <c r="I997">
        <f t="shared" si="31"/>
        <v>74.995594713656388</v>
      </c>
      <c r="J997" t="s">
        <v>109</v>
      </c>
      <c r="K997" t="s">
        <v>110</v>
      </c>
      <c r="L997" s="4">
        <v>43408.208333333328</v>
      </c>
      <c r="M997" s="4" t="s">
        <v>57</v>
      </c>
      <c r="N997" s="4" t="s">
        <v>169</v>
      </c>
      <c r="O997" s="4">
        <v>43437.25</v>
      </c>
      <c r="P997" t="b">
        <v>0</v>
      </c>
      <c r="Q997" t="b">
        <v>1</v>
      </c>
      <c r="R997" t="s">
        <v>106</v>
      </c>
      <c r="S997" t="str" cm="1">
        <f t="array" ref="S997:T997">_xlfn.TEXTSPLIT(R997, "/", , FALSE)</f>
        <v>food</v>
      </c>
      <c r="T997" t="str">
        <v>food trucks</v>
      </c>
    </row>
    <row r="998" spans="1:20" ht="34" x14ac:dyDescent="0.2">
      <c r="A998">
        <v>996</v>
      </c>
      <c r="B998" t="s">
        <v>2115</v>
      </c>
      <c r="C998" s="3" t="s">
        <v>2116</v>
      </c>
      <c r="D998">
        <v>6600</v>
      </c>
      <c r="E998">
        <v>4814</v>
      </c>
      <c r="F998" s="5">
        <f t="shared" si="30"/>
        <v>0.72939393939393937</v>
      </c>
      <c r="G998" t="s">
        <v>6</v>
      </c>
      <c r="H998">
        <v>112</v>
      </c>
      <c r="I998">
        <f t="shared" si="31"/>
        <v>42.982142857142854</v>
      </c>
      <c r="J998" t="s">
        <v>109</v>
      </c>
      <c r="K998" t="s">
        <v>110</v>
      </c>
      <c r="L998" s="4">
        <v>41276.25</v>
      </c>
      <c r="M998" s="4" t="s">
        <v>47</v>
      </c>
      <c r="N998" s="4" t="s">
        <v>117</v>
      </c>
      <c r="O998" s="4">
        <v>41306.25</v>
      </c>
      <c r="P998" t="b">
        <v>0</v>
      </c>
      <c r="Q998" t="b">
        <v>0</v>
      </c>
      <c r="R998" t="s">
        <v>124</v>
      </c>
      <c r="S998" t="str" cm="1">
        <f t="array" ref="S998:T998">_xlfn.TEXTSPLIT(R998, "/", , FALSE)</f>
        <v>theater</v>
      </c>
      <c r="T998" t="str">
        <v>plays</v>
      </c>
    </row>
    <row r="999" spans="1:20" ht="17" x14ac:dyDescent="0.2">
      <c r="A999">
        <v>997</v>
      </c>
      <c r="B999" t="s">
        <v>2117</v>
      </c>
      <c r="C999" s="3" t="s">
        <v>2118</v>
      </c>
      <c r="D999">
        <v>7600</v>
      </c>
      <c r="E999">
        <v>4603</v>
      </c>
      <c r="F999" s="5">
        <f t="shared" si="30"/>
        <v>0.60565789473684206</v>
      </c>
      <c r="G999" t="s">
        <v>5</v>
      </c>
      <c r="H999">
        <v>139</v>
      </c>
      <c r="I999">
        <f t="shared" si="31"/>
        <v>33.115107913669064</v>
      </c>
      <c r="J999" t="s">
        <v>202</v>
      </c>
      <c r="K999" t="s">
        <v>203</v>
      </c>
      <c r="L999" s="4">
        <v>41659.25</v>
      </c>
      <c r="M999" s="4" t="s">
        <v>47</v>
      </c>
      <c r="N999" s="4" t="s">
        <v>111</v>
      </c>
      <c r="O999" s="4">
        <v>41664.25</v>
      </c>
      <c r="P999" t="b">
        <v>0</v>
      </c>
      <c r="Q999" t="b">
        <v>0</v>
      </c>
      <c r="R999" t="s">
        <v>124</v>
      </c>
      <c r="S999" t="str" cm="1">
        <f t="array" ref="S999:T999">_xlfn.TEXTSPLIT(R999, "/", , FALSE)</f>
        <v>theater</v>
      </c>
      <c r="T999" t="str">
        <v>plays</v>
      </c>
    </row>
    <row r="1000" spans="1:20" ht="17" x14ac:dyDescent="0.2">
      <c r="A1000">
        <v>998</v>
      </c>
      <c r="B1000" t="s">
        <v>2119</v>
      </c>
      <c r="C1000" s="3" t="s">
        <v>2120</v>
      </c>
      <c r="D1000">
        <v>66600</v>
      </c>
      <c r="E1000">
        <v>37823</v>
      </c>
      <c r="F1000" s="5">
        <f t="shared" si="30"/>
        <v>0.5679129129129129</v>
      </c>
      <c r="G1000" t="s">
        <v>6</v>
      </c>
      <c r="H1000">
        <v>374</v>
      </c>
      <c r="I1000">
        <f t="shared" si="31"/>
        <v>101.13101604278074</v>
      </c>
      <c r="J1000" t="s">
        <v>109</v>
      </c>
      <c r="K1000" t="s">
        <v>110</v>
      </c>
      <c r="L1000" s="4">
        <v>40220.25</v>
      </c>
      <c r="M1000" s="4" t="s">
        <v>48</v>
      </c>
      <c r="N1000" s="4" t="s">
        <v>140</v>
      </c>
      <c r="O1000" s="4">
        <v>40234.25</v>
      </c>
      <c r="P1000" t="b">
        <v>0</v>
      </c>
      <c r="Q1000" t="b">
        <v>1</v>
      </c>
      <c r="R1000" t="s">
        <v>154</v>
      </c>
      <c r="S1000" t="str" cm="1">
        <f t="array" ref="S1000:T1000">_xlfn.TEXTSPLIT(R1000, "/", , FALSE)</f>
        <v>music</v>
      </c>
      <c r="T1000" t="str">
        <v>indie rock</v>
      </c>
    </row>
    <row r="1001" spans="1:20" ht="17" x14ac:dyDescent="0.2">
      <c r="A1001">
        <v>999</v>
      </c>
      <c r="B1001" t="s">
        <v>2121</v>
      </c>
      <c r="C1001" s="3" t="s">
        <v>2122</v>
      </c>
      <c r="D1001">
        <v>111100</v>
      </c>
      <c r="E1001">
        <v>62819</v>
      </c>
      <c r="F1001" s="5">
        <f t="shared" si="30"/>
        <v>0.56542754275427543</v>
      </c>
      <c r="G1001" t="s">
        <v>5</v>
      </c>
      <c r="H1001">
        <v>1122</v>
      </c>
      <c r="I1001">
        <f t="shared" si="31"/>
        <v>55.98841354723708</v>
      </c>
      <c r="J1001" t="s">
        <v>109</v>
      </c>
      <c r="K1001" t="s">
        <v>110</v>
      </c>
      <c r="L1001" s="4">
        <v>42550.208333333328</v>
      </c>
      <c r="M1001" s="4" t="s">
        <v>52</v>
      </c>
      <c r="N1001" s="4" t="s">
        <v>153</v>
      </c>
      <c r="O1001" s="4">
        <v>42557.208333333328</v>
      </c>
      <c r="P1001" t="b">
        <v>0</v>
      </c>
      <c r="Q1001" t="b">
        <v>0</v>
      </c>
      <c r="R1001" t="s">
        <v>106</v>
      </c>
      <c r="S1001" t="str" cm="1">
        <f t="array" ref="S1001:T1001">_xlfn.TEXTSPLIT(R1001, "/", , FALSE)</f>
        <v>food</v>
      </c>
      <c r="T1001" t="str">
        <v>food trucks</v>
      </c>
    </row>
  </sheetData>
  <conditionalFormatting sqref="F1:F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01">
    <cfRule type="containsText" dxfId="3" priority="1" operator="containsText" text="canceled">
      <formula>NOT(ISERROR(SEARCH("canceled",G2)))</formula>
    </cfRule>
    <cfRule type="containsText" dxfId="2" priority="2" operator="containsText" text="live">
      <formula>NOT(ISERROR(SEARCH("live",G2)))</formula>
    </cfRule>
    <cfRule type="containsText" dxfId="1" priority="3" operator="containsText" text="successful">
      <formula>NOT(ISERROR(SEARCH("successful",G2)))</formula>
    </cfRule>
    <cfRule type="containsText" dxfId="0" priority="4" operator="containsText" text="failed">
      <formula>NOT(ISERROR(SEARCH("failed",G2)))</formula>
    </cfRule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Outcome by Parent Category</vt:lpstr>
      <vt:lpstr>Outcome by Sub Category</vt:lpstr>
      <vt:lpstr>Outcome by month</vt:lpstr>
      <vt:lpstr>Backer Count (frfr)</vt:lpstr>
      <vt:lpstr>Sheet1</vt:lpstr>
      <vt:lpstr>Outcomes Based on Goal</vt:lpstr>
      <vt:lpstr>Crowdfunding (2)</vt:lpstr>
      <vt:lpstr>Sheet2</vt:lpstr>
      <vt:lpstr>Crowdfunding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Dominica Corless</dc:creator>
  <cp:keywords/>
  <dc:description/>
  <cp:lastModifiedBy>Sage Hanson</cp:lastModifiedBy>
  <cp:revision/>
  <dcterms:created xsi:type="dcterms:W3CDTF">2021-09-29T18:52:28Z</dcterms:created>
  <dcterms:modified xsi:type="dcterms:W3CDTF">2024-11-01T02:58:34Z</dcterms:modified>
  <cp:category/>
  <cp:contentStatus/>
</cp:coreProperties>
</file>